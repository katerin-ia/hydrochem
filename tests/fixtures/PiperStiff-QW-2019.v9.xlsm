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khalford\HalfordHydrology_LLC\WebSite\ExcelTools\PiperStiff-QW-2019.v9\"/>
    </mc:Choice>
  </mc:AlternateContent>
  <xr:revisionPtr revIDLastSave="0" documentId="13_ncr:1_{33EB728B-FDB6-4883-BD93-D27F031F4734}" xr6:coauthVersionLast="46" xr6:coauthVersionMax="46" xr10:uidLastSave="{00000000-0000-0000-0000-000000000000}"/>
  <bookViews>
    <workbookView xWindow="2610" yWindow="1200" windowWidth="21765" windowHeight="13845" firstSheet="1" activeTab="2" xr2:uid="{B59CCB31-6692-404E-87D4-84E0B1F82E08}"/>
  </bookViews>
  <sheets>
    <sheet name="CONTROL" sheetId="2" state="hidden" r:id="rId1"/>
    <sheet name="DATA" sheetId="1" r:id="rId2"/>
    <sheet name="PIPER" sheetId="3" r:id="rId3"/>
  </sheets>
  <functionGroups builtInGroupCount="19"/>
  <definedNames>
    <definedName name="AnionOffset">CONTROL!$F$2</definedName>
    <definedName name="ApexCAT">CONTROL!$L$8</definedName>
    <definedName name="dAnionOFF">CONTROL!$C$2</definedName>
    <definedName name="dNULL">CONTROL!$AU$4</definedName>
    <definedName name="LabelOFF">CONTROL!$R$3</definedName>
    <definedName name="lCNTsites">DATA!$D$13</definedName>
    <definedName name="NumberOFF">CONTROL!$R$4</definedName>
    <definedName name="pickANgrp">DATA!$C$9:$C$11</definedName>
    <definedName name="pickCATgrp">DATA!$C$6:$C$8</definedName>
    <definedName name="pickELEMENT">CONTROL!$H$7:$H$9</definedName>
    <definedName name="pickION">OFFSET(CONTROL!$B$7,0,0,COUNTA(CONTROL!$B$7:$B$100),1)</definedName>
    <definedName name="pickSCALE">CONTROL!$BM$2:$BM$3</definedName>
    <definedName name="pickSITE">OFFSET(CONTROL!$AB$7,0,0,CONTROL!$AB$5+1,1)</definedName>
    <definedName name="sSITEnow">PIPER!$J$1</definedName>
    <definedName name="sTEXTform">CONTROL!$C$4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P2" i="2" l="1"/>
  <c r="CC5" i="2"/>
  <c r="BQ8" i="2" l="1"/>
  <c r="BQ9" i="2"/>
  <c r="BQ10" i="2"/>
  <c r="BQ11" i="2"/>
  <c r="BQ12" i="2"/>
  <c r="BQ13" i="2"/>
  <c r="BQ14" i="2"/>
  <c r="BQ15" i="2"/>
  <c r="BQ16" i="2"/>
  <c r="BQ17" i="2"/>
  <c r="BQ18" i="2"/>
  <c r="BQ19" i="2"/>
  <c r="BQ7" i="2"/>
  <c r="BO1" i="2" l="1"/>
  <c r="BW5" i="2" s="1"/>
  <c r="D16" i="2" l="1"/>
  <c r="AJ314" i="2" l="1"/>
  <c r="AI314" i="2"/>
  <c r="AH314" i="2"/>
  <c r="AG314" i="2"/>
  <c r="AF314" i="2"/>
  <c r="AE314" i="2"/>
  <c r="AJ313" i="2"/>
  <c r="AI313" i="2"/>
  <c r="AH313" i="2"/>
  <c r="AG313" i="2"/>
  <c r="AF313" i="2"/>
  <c r="AE313" i="2"/>
  <c r="AJ312" i="2"/>
  <c r="AI312" i="2"/>
  <c r="AH312" i="2"/>
  <c r="AG312" i="2"/>
  <c r="AF312" i="2"/>
  <c r="AE312" i="2"/>
  <c r="AJ311" i="2"/>
  <c r="AI311" i="2"/>
  <c r="AH311" i="2"/>
  <c r="AG311" i="2"/>
  <c r="AF311" i="2"/>
  <c r="AE311" i="2"/>
  <c r="AJ310" i="2"/>
  <c r="AI310" i="2"/>
  <c r="AH310" i="2"/>
  <c r="AG310" i="2"/>
  <c r="AF310" i="2"/>
  <c r="AE310" i="2"/>
  <c r="AJ309" i="2"/>
  <c r="AI309" i="2"/>
  <c r="AH309" i="2"/>
  <c r="AG309" i="2"/>
  <c r="AF309" i="2"/>
  <c r="AE309" i="2"/>
  <c r="AJ308" i="2"/>
  <c r="AI308" i="2"/>
  <c r="AH308" i="2"/>
  <c r="AG308" i="2"/>
  <c r="AF308" i="2"/>
  <c r="AE308" i="2"/>
  <c r="AJ307" i="2"/>
  <c r="AI307" i="2"/>
  <c r="AH307" i="2"/>
  <c r="AG307" i="2"/>
  <c r="AF307" i="2"/>
  <c r="AE307" i="2"/>
  <c r="AJ306" i="2"/>
  <c r="AI306" i="2"/>
  <c r="AH306" i="2"/>
  <c r="AG306" i="2"/>
  <c r="AF306" i="2"/>
  <c r="AE306" i="2"/>
  <c r="AJ305" i="2"/>
  <c r="AI305" i="2"/>
  <c r="AH305" i="2"/>
  <c r="AG305" i="2"/>
  <c r="AF305" i="2"/>
  <c r="AE305" i="2"/>
  <c r="AJ304" i="2"/>
  <c r="AI304" i="2"/>
  <c r="AH304" i="2"/>
  <c r="AG304" i="2"/>
  <c r="AF304" i="2"/>
  <c r="AE304" i="2"/>
  <c r="AJ303" i="2"/>
  <c r="AI303" i="2"/>
  <c r="AH303" i="2"/>
  <c r="AG303" i="2"/>
  <c r="AF303" i="2"/>
  <c r="AE303" i="2"/>
  <c r="AJ302" i="2"/>
  <c r="AI302" i="2"/>
  <c r="AH302" i="2"/>
  <c r="AG302" i="2"/>
  <c r="AF302" i="2"/>
  <c r="AE302" i="2"/>
  <c r="AJ301" i="2"/>
  <c r="AI301" i="2"/>
  <c r="AH301" i="2"/>
  <c r="AG301" i="2"/>
  <c r="AF301" i="2"/>
  <c r="AE301" i="2"/>
  <c r="AJ300" i="2"/>
  <c r="AI300" i="2"/>
  <c r="AH300" i="2"/>
  <c r="AG300" i="2"/>
  <c r="AF300" i="2"/>
  <c r="AE300" i="2"/>
  <c r="AJ299" i="2"/>
  <c r="AI299" i="2"/>
  <c r="AH299" i="2"/>
  <c r="AG299" i="2"/>
  <c r="AF299" i="2"/>
  <c r="AE299" i="2"/>
  <c r="AJ298" i="2"/>
  <c r="AI298" i="2"/>
  <c r="AH298" i="2"/>
  <c r="AG298" i="2"/>
  <c r="AF298" i="2"/>
  <c r="AE298" i="2"/>
  <c r="AJ297" i="2"/>
  <c r="AI297" i="2"/>
  <c r="AH297" i="2"/>
  <c r="AG297" i="2"/>
  <c r="AF297" i="2"/>
  <c r="AE297" i="2"/>
  <c r="AJ296" i="2"/>
  <c r="AI296" i="2"/>
  <c r="AH296" i="2"/>
  <c r="AG296" i="2"/>
  <c r="AF296" i="2"/>
  <c r="AE296" i="2"/>
  <c r="AJ295" i="2"/>
  <c r="AI295" i="2"/>
  <c r="AH295" i="2"/>
  <c r="AG295" i="2"/>
  <c r="AF295" i="2"/>
  <c r="AE295" i="2"/>
  <c r="AJ294" i="2"/>
  <c r="AI294" i="2"/>
  <c r="AH294" i="2"/>
  <c r="AG294" i="2"/>
  <c r="AF294" i="2"/>
  <c r="AE294" i="2"/>
  <c r="AJ293" i="2"/>
  <c r="AI293" i="2"/>
  <c r="AH293" i="2"/>
  <c r="AG293" i="2"/>
  <c r="AF293" i="2"/>
  <c r="AE293" i="2"/>
  <c r="AJ292" i="2"/>
  <c r="AI292" i="2"/>
  <c r="AH292" i="2"/>
  <c r="AG292" i="2"/>
  <c r="AF292" i="2"/>
  <c r="AE292" i="2"/>
  <c r="AJ291" i="2"/>
  <c r="AI291" i="2"/>
  <c r="AH291" i="2"/>
  <c r="AG291" i="2"/>
  <c r="AF291" i="2"/>
  <c r="AE291" i="2"/>
  <c r="AJ290" i="2"/>
  <c r="AI290" i="2"/>
  <c r="AH290" i="2"/>
  <c r="AG290" i="2"/>
  <c r="AF290" i="2"/>
  <c r="AE290" i="2"/>
  <c r="AJ289" i="2"/>
  <c r="AI289" i="2"/>
  <c r="AH289" i="2"/>
  <c r="AG289" i="2"/>
  <c r="AF289" i="2"/>
  <c r="AE289" i="2"/>
  <c r="AJ288" i="2"/>
  <c r="AI288" i="2"/>
  <c r="AH288" i="2"/>
  <c r="AG288" i="2"/>
  <c r="AF288" i="2"/>
  <c r="AE288" i="2"/>
  <c r="AJ287" i="2"/>
  <c r="AI287" i="2"/>
  <c r="AH287" i="2"/>
  <c r="AG287" i="2"/>
  <c r="AF287" i="2"/>
  <c r="AE287" i="2"/>
  <c r="AJ286" i="2"/>
  <c r="AI286" i="2"/>
  <c r="AH286" i="2"/>
  <c r="AG286" i="2"/>
  <c r="AF286" i="2"/>
  <c r="AE286" i="2"/>
  <c r="AJ285" i="2"/>
  <c r="AI285" i="2"/>
  <c r="AH285" i="2"/>
  <c r="AG285" i="2"/>
  <c r="AF285" i="2"/>
  <c r="AE285" i="2"/>
  <c r="AJ284" i="2"/>
  <c r="AI284" i="2"/>
  <c r="AH284" i="2"/>
  <c r="AG284" i="2"/>
  <c r="AF284" i="2"/>
  <c r="AE284" i="2"/>
  <c r="AJ283" i="2"/>
  <c r="AI283" i="2"/>
  <c r="AH283" i="2"/>
  <c r="AG283" i="2"/>
  <c r="AF283" i="2"/>
  <c r="AE283" i="2"/>
  <c r="AJ282" i="2"/>
  <c r="AI282" i="2"/>
  <c r="AH282" i="2"/>
  <c r="AG282" i="2"/>
  <c r="AF282" i="2"/>
  <c r="AE282" i="2"/>
  <c r="AJ281" i="2"/>
  <c r="AI281" i="2"/>
  <c r="AH281" i="2"/>
  <c r="AG281" i="2"/>
  <c r="AF281" i="2"/>
  <c r="AE281" i="2"/>
  <c r="AJ280" i="2"/>
  <c r="AI280" i="2"/>
  <c r="AH280" i="2"/>
  <c r="AG280" i="2"/>
  <c r="AF280" i="2"/>
  <c r="AE280" i="2"/>
  <c r="AJ279" i="2"/>
  <c r="AI279" i="2"/>
  <c r="AH279" i="2"/>
  <c r="AG279" i="2"/>
  <c r="AF279" i="2"/>
  <c r="AE279" i="2"/>
  <c r="AJ278" i="2"/>
  <c r="AI278" i="2"/>
  <c r="AH278" i="2"/>
  <c r="AG278" i="2"/>
  <c r="AF278" i="2"/>
  <c r="AE278" i="2"/>
  <c r="AJ277" i="2"/>
  <c r="AI277" i="2"/>
  <c r="AH277" i="2"/>
  <c r="AG277" i="2"/>
  <c r="AF277" i="2"/>
  <c r="AE277" i="2"/>
  <c r="AJ276" i="2"/>
  <c r="AI276" i="2"/>
  <c r="AH276" i="2"/>
  <c r="AG276" i="2"/>
  <c r="AF276" i="2"/>
  <c r="AE276" i="2"/>
  <c r="AJ275" i="2"/>
  <c r="AI275" i="2"/>
  <c r="AH275" i="2"/>
  <c r="AG275" i="2"/>
  <c r="AF275" i="2"/>
  <c r="AE275" i="2"/>
  <c r="AJ274" i="2"/>
  <c r="AI274" i="2"/>
  <c r="AH274" i="2"/>
  <c r="AG274" i="2"/>
  <c r="AF274" i="2"/>
  <c r="AE274" i="2"/>
  <c r="AJ273" i="2"/>
  <c r="AI273" i="2"/>
  <c r="AH273" i="2"/>
  <c r="AG273" i="2"/>
  <c r="AF273" i="2"/>
  <c r="AE273" i="2"/>
  <c r="AJ272" i="2"/>
  <c r="AI272" i="2"/>
  <c r="AH272" i="2"/>
  <c r="AG272" i="2"/>
  <c r="AF272" i="2"/>
  <c r="AE272" i="2"/>
  <c r="AJ271" i="2"/>
  <c r="AI271" i="2"/>
  <c r="AH271" i="2"/>
  <c r="AG271" i="2"/>
  <c r="AF271" i="2"/>
  <c r="AE271" i="2"/>
  <c r="AJ270" i="2"/>
  <c r="AI270" i="2"/>
  <c r="AH270" i="2"/>
  <c r="AG270" i="2"/>
  <c r="AF270" i="2"/>
  <c r="AE270" i="2"/>
  <c r="AJ269" i="2"/>
  <c r="AI269" i="2"/>
  <c r="AH269" i="2"/>
  <c r="AG269" i="2"/>
  <c r="AF269" i="2"/>
  <c r="AE269" i="2"/>
  <c r="AJ268" i="2"/>
  <c r="AI268" i="2"/>
  <c r="AH268" i="2"/>
  <c r="AG268" i="2"/>
  <c r="AF268" i="2"/>
  <c r="AE268" i="2"/>
  <c r="AJ267" i="2"/>
  <c r="AI267" i="2"/>
  <c r="AH267" i="2"/>
  <c r="AG267" i="2"/>
  <c r="AF267" i="2"/>
  <c r="AE267" i="2"/>
  <c r="AJ266" i="2"/>
  <c r="AI266" i="2"/>
  <c r="AH266" i="2"/>
  <c r="AG266" i="2"/>
  <c r="AF266" i="2"/>
  <c r="AE266" i="2"/>
  <c r="AJ265" i="2"/>
  <c r="AI265" i="2"/>
  <c r="AH265" i="2"/>
  <c r="AG265" i="2"/>
  <c r="AF265" i="2"/>
  <c r="AE265" i="2"/>
  <c r="AJ264" i="2"/>
  <c r="AI264" i="2"/>
  <c r="AH264" i="2"/>
  <c r="AG264" i="2"/>
  <c r="AF264" i="2"/>
  <c r="AE264" i="2"/>
  <c r="AJ263" i="2"/>
  <c r="AI263" i="2"/>
  <c r="AH263" i="2"/>
  <c r="AG263" i="2"/>
  <c r="AF263" i="2"/>
  <c r="AE263" i="2"/>
  <c r="AJ262" i="2"/>
  <c r="AI262" i="2"/>
  <c r="AH262" i="2"/>
  <c r="AG262" i="2"/>
  <c r="AF262" i="2"/>
  <c r="AE262" i="2"/>
  <c r="AJ261" i="2"/>
  <c r="AI261" i="2"/>
  <c r="AH261" i="2"/>
  <c r="AG261" i="2"/>
  <c r="AF261" i="2"/>
  <c r="AE261" i="2"/>
  <c r="AJ260" i="2"/>
  <c r="AI260" i="2"/>
  <c r="AH260" i="2"/>
  <c r="AG260" i="2"/>
  <c r="AF260" i="2"/>
  <c r="AE260" i="2"/>
  <c r="AJ259" i="2"/>
  <c r="AI259" i="2"/>
  <c r="AH259" i="2"/>
  <c r="AG259" i="2"/>
  <c r="AF259" i="2"/>
  <c r="AE259" i="2"/>
  <c r="AJ258" i="2"/>
  <c r="AI258" i="2"/>
  <c r="AH258" i="2"/>
  <c r="AG258" i="2"/>
  <c r="AF258" i="2"/>
  <c r="AE258" i="2"/>
  <c r="AJ257" i="2"/>
  <c r="AI257" i="2"/>
  <c r="AH257" i="2"/>
  <c r="AG257" i="2"/>
  <c r="AF257" i="2"/>
  <c r="AE257" i="2"/>
  <c r="AJ256" i="2"/>
  <c r="AI256" i="2"/>
  <c r="AH256" i="2"/>
  <c r="AG256" i="2"/>
  <c r="AF256" i="2"/>
  <c r="AE256" i="2"/>
  <c r="AJ255" i="2"/>
  <c r="AI255" i="2"/>
  <c r="AH255" i="2"/>
  <c r="AG255" i="2"/>
  <c r="AF255" i="2"/>
  <c r="AE255" i="2"/>
  <c r="AJ254" i="2"/>
  <c r="AI254" i="2"/>
  <c r="AH254" i="2"/>
  <c r="AG254" i="2"/>
  <c r="AF254" i="2"/>
  <c r="AE254" i="2"/>
  <c r="AJ253" i="2"/>
  <c r="AI253" i="2"/>
  <c r="AH253" i="2"/>
  <c r="AG253" i="2"/>
  <c r="AF253" i="2"/>
  <c r="AE253" i="2"/>
  <c r="AJ252" i="2"/>
  <c r="AI252" i="2"/>
  <c r="AH252" i="2"/>
  <c r="AG252" i="2"/>
  <c r="AF252" i="2"/>
  <c r="AE252" i="2"/>
  <c r="AJ251" i="2"/>
  <c r="AI251" i="2"/>
  <c r="AH251" i="2"/>
  <c r="AG251" i="2"/>
  <c r="AF251" i="2"/>
  <c r="AE251" i="2"/>
  <c r="AJ250" i="2"/>
  <c r="AI250" i="2"/>
  <c r="AH250" i="2"/>
  <c r="AG250" i="2"/>
  <c r="AF250" i="2"/>
  <c r="AE250" i="2"/>
  <c r="AJ249" i="2"/>
  <c r="AI249" i="2"/>
  <c r="AH249" i="2"/>
  <c r="AG249" i="2"/>
  <c r="AF249" i="2"/>
  <c r="AE249" i="2"/>
  <c r="AJ248" i="2"/>
  <c r="AI248" i="2"/>
  <c r="AH248" i="2"/>
  <c r="AG248" i="2"/>
  <c r="AF248" i="2"/>
  <c r="AE248" i="2"/>
  <c r="AJ247" i="2"/>
  <c r="AI247" i="2"/>
  <c r="AH247" i="2"/>
  <c r="AG247" i="2"/>
  <c r="AF247" i="2"/>
  <c r="AE247" i="2"/>
  <c r="AJ246" i="2"/>
  <c r="AI246" i="2"/>
  <c r="AH246" i="2"/>
  <c r="AG246" i="2"/>
  <c r="AF246" i="2"/>
  <c r="AE246" i="2"/>
  <c r="AJ245" i="2"/>
  <c r="AI245" i="2"/>
  <c r="AH245" i="2"/>
  <c r="AG245" i="2"/>
  <c r="AF245" i="2"/>
  <c r="AE245" i="2"/>
  <c r="AJ244" i="2"/>
  <c r="AI244" i="2"/>
  <c r="AH244" i="2"/>
  <c r="AG244" i="2"/>
  <c r="AF244" i="2"/>
  <c r="AE244" i="2"/>
  <c r="AJ243" i="2"/>
  <c r="AI243" i="2"/>
  <c r="AH243" i="2"/>
  <c r="AG243" i="2"/>
  <c r="AF243" i="2"/>
  <c r="AE243" i="2"/>
  <c r="AJ242" i="2"/>
  <c r="AI242" i="2"/>
  <c r="AH242" i="2"/>
  <c r="AG242" i="2"/>
  <c r="AF242" i="2"/>
  <c r="AE242" i="2"/>
  <c r="AJ241" i="2"/>
  <c r="AI241" i="2"/>
  <c r="AH241" i="2"/>
  <c r="AG241" i="2"/>
  <c r="AF241" i="2"/>
  <c r="AE241" i="2"/>
  <c r="AJ240" i="2"/>
  <c r="AI240" i="2"/>
  <c r="AH240" i="2"/>
  <c r="AG240" i="2"/>
  <c r="AF240" i="2"/>
  <c r="AE240" i="2"/>
  <c r="AJ239" i="2"/>
  <c r="AI239" i="2"/>
  <c r="AH239" i="2"/>
  <c r="AG239" i="2"/>
  <c r="AF239" i="2"/>
  <c r="AE239" i="2"/>
  <c r="AJ238" i="2"/>
  <c r="AI238" i="2"/>
  <c r="AH238" i="2"/>
  <c r="AG238" i="2"/>
  <c r="AF238" i="2"/>
  <c r="AE238" i="2"/>
  <c r="AJ237" i="2"/>
  <c r="AI237" i="2"/>
  <c r="AH237" i="2"/>
  <c r="AG237" i="2"/>
  <c r="AF237" i="2"/>
  <c r="AE237" i="2"/>
  <c r="AJ236" i="2"/>
  <c r="AI236" i="2"/>
  <c r="AH236" i="2"/>
  <c r="AG236" i="2"/>
  <c r="AF236" i="2"/>
  <c r="AE236" i="2"/>
  <c r="AJ235" i="2"/>
  <c r="AI235" i="2"/>
  <c r="AH235" i="2"/>
  <c r="AG235" i="2"/>
  <c r="AF235" i="2"/>
  <c r="AE235" i="2"/>
  <c r="AJ234" i="2"/>
  <c r="AI234" i="2"/>
  <c r="AH234" i="2"/>
  <c r="AG234" i="2"/>
  <c r="AF234" i="2"/>
  <c r="AE234" i="2"/>
  <c r="AJ233" i="2"/>
  <c r="AI233" i="2"/>
  <c r="AH233" i="2"/>
  <c r="AG233" i="2"/>
  <c r="AF233" i="2"/>
  <c r="AE233" i="2"/>
  <c r="AJ232" i="2"/>
  <c r="AI232" i="2"/>
  <c r="AH232" i="2"/>
  <c r="AG232" i="2"/>
  <c r="AF232" i="2"/>
  <c r="AE232" i="2"/>
  <c r="AJ231" i="2"/>
  <c r="AI231" i="2"/>
  <c r="AH231" i="2"/>
  <c r="AG231" i="2"/>
  <c r="AF231" i="2"/>
  <c r="AE231" i="2"/>
  <c r="AJ230" i="2"/>
  <c r="AI230" i="2"/>
  <c r="AH230" i="2"/>
  <c r="AG230" i="2"/>
  <c r="AF230" i="2"/>
  <c r="AE230" i="2"/>
  <c r="AJ229" i="2"/>
  <c r="AI229" i="2"/>
  <c r="AH229" i="2"/>
  <c r="AG229" i="2"/>
  <c r="AF229" i="2"/>
  <c r="AE229" i="2"/>
  <c r="AJ228" i="2"/>
  <c r="AI228" i="2"/>
  <c r="AH228" i="2"/>
  <c r="AG228" i="2"/>
  <c r="AF228" i="2"/>
  <c r="AE228" i="2"/>
  <c r="AJ227" i="2"/>
  <c r="AI227" i="2"/>
  <c r="AH227" i="2"/>
  <c r="AG227" i="2"/>
  <c r="AF227" i="2"/>
  <c r="AE227" i="2"/>
  <c r="AJ226" i="2"/>
  <c r="AI226" i="2"/>
  <c r="AH226" i="2"/>
  <c r="AG226" i="2"/>
  <c r="AF226" i="2"/>
  <c r="AE226" i="2"/>
  <c r="AJ225" i="2"/>
  <c r="AI225" i="2"/>
  <c r="AH225" i="2"/>
  <c r="AG225" i="2"/>
  <c r="AF225" i="2"/>
  <c r="AE225" i="2"/>
  <c r="AJ224" i="2"/>
  <c r="AI224" i="2"/>
  <c r="AH224" i="2"/>
  <c r="AG224" i="2"/>
  <c r="AF224" i="2"/>
  <c r="AE224" i="2"/>
  <c r="AJ223" i="2"/>
  <c r="AI223" i="2"/>
  <c r="AH223" i="2"/>
  <c r="AG223" i="2"/>
  <c r="AF223" i="2"/>
  <c r="AE223" i="2"/>
  <c r="AJ222" i="2"/>
  <c r="AI222" i="2"/>
  <c r="AH222" i="2"/>
  <c r="AG222" i="2"/>
  <c r="AF222" i="2"/>
  <c r="AE222" i="2"/>
  <c r="AJ221" i="2"/>
  <c r="AI221" i="2"/>
  <c r="AH221" i="2"/>
  <c r="AG221" i="2"/>
  <c r="AF221" i="2"/>
  <c r="AE221" i="2"/>
  <c r="AJ220" i="2"/>
  <c r="AI220" i="2"/>
  <c r="AH220" i="2"/>
  <c r="AG220" i="2"/>
  <c r="AF220" i="2"/>
  <c r="AE220" i="2"/>
  <c r="AJ219" i="2"/>
  <c r="AI219" i="2"/>
  <c r="AH219" i="2"/>
  <c r="AG219" i="2"/>
  <c r="AF219" i="2"/>
  <c r="AE219" i="2"/>
  <c r="AJ218" i="2"/>
  <c r="AI218" i="2"/>
  <c r="AH218" i="2"/>
  <c r="AG218" i="2"/>
  <c r="AF218" i="2"/>
  <c r="AE218" i="2"/>
  <c r="AJ217" i="2"/>
  <c r="AI217" i="2"/>
  <c r="AH217" i="2"/>
  <c r="AG217" i="2"/>
  <c r="AF217" i="2"/>
  <c r="AE217" i="2"/>
  <c r="AJ216" i="2"/>
  <c r="AI216" i="2"/>
  <c r="AH216" i="2"/>
  <c r="AG216" i="2"/>
  <c r="AF216" i="2"/>
  <c r="AE216" i="2"/>
  <c r="AJ215" i="2"/>
  <c r="AI215" i="2"/>
  <c r="AH215" i="2"/>
  <c r="AG215" i="2"/>
  <c r="AF215" i="2"/>
  <c r="AE215" i="2"/>
  <c r="AJ214" i="2"/>
  <c r="AI214" i="2"/>
  <c r="AH214" i="2"/>
  <c r="AG214" i="2"/>
  <c r="AF214" i="2"/>
  <c r="AE214" i="2"/>
  <c r="AJ213" i="2"/>
  <c r="AI213" i="2"/>
  <c r="AH213" i="2"/>
  <c r="AG213" i="2"/>
  <c r="AF213" i="2"/>
  <c r="AE213" i="2"/>
  <c r="AJ212" i="2"/>
  <c r="AI212" i="2"/>
  <c r="AH212" i="2"/>
  <c r="AG212" i="2"/>
  <c r="AF212" i="2"/>
  <c r="AE212" i="2"/>
  <c r="AJ211" i="2"/>
  <c r="AI211" i="2"/>
  <c r="AH211" i="2"/>
  <c r="AG211" i="2"/>
  <c r="AF211" i="2"/>
  <c r="AE211" i="2"/>
  <c r="AJ210" i="2"/>
  <c r="AI210" i="2"/>
  <c r="AH210" i="2"/>
  <c r="AG210" i="2"/>
  <c r="AF210" i="2"/>
  <c r="AE210" i="2"/>
  <c r="AJ209" i="2"/>
  <c r="AI209" i="2"/>
  <c r="AH209" i="2"/>
  <c r="AG209" i="2"/>
  <c r="AF209" i="2"/>
  <c r="AE209" i="2"/>
  <c r="AJ208" i="2"/>
  <c r="AI208" i="2"/>
  <c r="AH208" i="2"/>
  <c r="AG208" i="2"/>
  <c r="AF208" i="2"/>
  <c r="AE208" i="2"/>
  <c r="AJ207" i="2"/>
  <c r="AI207" i="2"/>
  <c r="AH207" i="2"/>
  <c r="AG207" i="2"/>
  <c r="AF207" i="2"/>
  <c r="AE207" i="2"/>
  <c r="AJ206" i="2"/>
  <c r="AI206" i="2"/>
  <c r="AH206" i="2"/>
  <c r="AG206" i="2"/>
  <c r="AF206" i="2"/>
  <c r="AE206" i="2"/>
  <c r="AJ205" i="2"/>
  <c r="AI205" i="2"/>
  <c r="AH205" i="2"/>
  <c r="AG205" i="2"/>
  <c r="AF205" i="2"/>
  <c r="AE205" i="2"/>
  <c r="AJ204" i="2"/>
  <c r="AI204" i="2"/>
  <c r="AH204" i="2"/>
  <c r="AG204" i="2"/>
  <c r="AF204" i="2"/>
  <c r="AE204" i="2"/>
  <c r="AJ203" i="2"/>
  <c r="AI203" i="2"/>
  <c r="AH203" i="2"/>
  <c r="AG203" i="2"/>
  <c r="AF203" i="2"/>
  <c r="AE203" i="2"/>
  <c r="AJ202" i="2"/>
  <c r="AI202" i="2"/>
  <c r="AH202" i="2"/>
  <c r="AG202" i="2"/>
  <c r="AF202" i="2"/>
  <c r="AE202" i="2"/>
  <c r="AJ201" i="2"/>
  <c r="AI201" i="2"/>
  <c r="AH201" i="2"/>
  <c r="AG201" i="2"/>
  <c r="AF201" i="2"/>
  <c r="AE201" i="2"/>
  <c r="AJ200" i="2"/>
  <c r="AI200" i="2"/>
  <c r="AH200" i="2"/>
  <c r="AG200" i="2"/>
  <c r="AF200" i="2"/>
  <c r="AE200" i="2"/>
  <c r="AJ199" i="2"/>
  <c r="AI199" i="2"/>
  <c r="AH199" i="2"/>
  <c r="AG199" i="2"/>
  <c r="AF199" i="2"/>
  <c r="AE199" i="2"/>
  <c r="AJ198" i="2"/>
  <c r="AI198" i="2"/>
  <c r="AH198" i="2"/>
  <c r="AG198" i="2"/>
  <c r="AF198" i="2"/>
  <c r="AE198" i="2"/>
  <c r="AJ197" i="2"/>
  <c r="AI197" i="2"/>
  <c r="AH197" i="2"/>
  <c r="AG197" i="2"/>
  <c r="AF197" i="2"/>
  <c r="AE197" i="2"/>
  <c r="AJ196" i="2"/>
  <c r="AI196" i="2"/>
  <c r="AH196" i="2"/>
  <c r="AG196" i="2"/>
  <c r="AF196" i="2"/>
  <c r="AE196" i="2"/>
  <c r="AJ195" i="2"/>
  <c r="AI195" i="2"/>
  <c r="AH195" i="2"/>
  <c r="AG195" i="2"/>
  <c r="AF195" i="2"/>
  <c r="AE195" i="2"/>
  <c r="AJ194" i="2"/>
  <c r="AI194" i="2"/>
  <c r="AH194" i="2"/>
  <c r="AG194" i="2"/>
  <c r="AF194" i="2"/>
  <c r="AE194" i="2"/>
  <c r="AJ193" i="2"/>
  <c r="AI193" i="2"/>
  <c r="AH193" i="2"/>
  <c r="AG193" i="2"/>
  <c r="AF193" i="2"/>
  <c r="AE193" i="2"/>
  <c r="AJ192" i="2"/>
  <c r="AI192" i="2"/>
  <c r="AH192" i="2"/>
  <c r="AG192" i="2"/>
  <c r="AF192" i="2"/>
  <c r="AE192" i="2"/>
  <c r="AJ191" i="2"/>
  <c r="AI191" i="2"/>
  <c r="AH191" i="2"/>
  <c r="AG191" i="2"/>
  <c r="AF191" i="2"/>
  <c r="AE191" i="2"/>
  <c r="AJ190" i="2"/>
  <c r="AI190" i="2"/>
  <c r="AH190" i="2"/>
  <c r="AG190" i="2"/>
  <c r="AF190" i="2"/>
  <c r="AE190" i="2"/>
  <c r="AJ189" i="2"/>
  <c r="AI189" i="2"/>
  <c r="AH189" i="2"/>
  <c r="AG189" i="2"/>
  <c r="AF189" i="2"/>
  <c r="AE189" i="2"/>
  <c r="AJ188" i="2"/>
  <c r="AI188" i="2"/>
  <c r="AH188" i="2"/>
  <c r="AG188" i="2"/>
  <c r="AF188" i="2"/>
  <c r="AE188" i="2"/>
  <c r="AJ187" i="2"/>
  <c r="AI187" i="2"/>
  <c r="AH187" i="2"/>
  <c r="AG187" i="2"/>
  <c r="AF187" i="2"/>
  <c r="AE187" i="2"/>
  <c r="AJ186" i="2"/>
  <c r="AI186" i="2"/>
  <c r="AH186" i="2"/>
  <c r="AG186" i="2"/>
  <c r="AF186" i="2"/>
  <c r="AE186" i="2"/>
  <c r="AJ185" i="2"/>
  <c r="AI185" i="2"/>
  <c r="AH185" i="2"/>
  <c r="AG185" i="2"/>
  <c r="AF185" i="2"/>
  <c r="AE185" i="2"/>
  <c r="AJ184" i="2"/>
  <c r="AI184" i="2"/>
  <c r="AH184" i="2"/>
  <c r="AG184" i="2"/>
  <c r="AF184" i="2"/>
  <c r="AE184" i="2"/>
  <c r="AJ183" i="2"/>
  <c r="AI183" i="2"/>
  <c r="AH183" i="2"/>
  <c r="AG183" i="2"/>
  <c r="AF183" i="2"/>
  <c r="AE183" i="2"/>
  <c r="AJ182" i="2"/>
  <c r="AI182" i="2"/>
  <c r="AH182" i="2"/>
  <c r="AG182" i="2"/>
  <c r="AF182" i="2"/>
  <c r="AE182" i="2"/>
  <c r="AJ181" i="2"/>
  <c r="AI181" i="2"/>
  <c r="AH181" i="2"/>
  <c r="AG181" i="2"/>
  <c r="AF181" i="2"/>
  <c r="AE181" i="2"/>
  <c r="AJ180" i="2"/>
  <c r="AI180" i="2"/>
  <c r="AH180" i="2"/>
  <c r="AG180" i="2"/>
  <c r="AF180" i="2"/>
  <c r="AE180" i="2"/>
  <c r="AJ179" i="2"/>
  <c r="AI179" i="2"/>
  <c r="AH179" i="2"/>
  <c r="AG179" i="2"/>
  <c r="AF179" i="2"/>
  <c r="AE179" i="2"/>
  <c r="AJ178" i="2"/>
  <c r="AI178" i="2"/>
  <c r="AH178" i="2"/>
  <c r="AG178" i="2"/>
  <c r="AF178" i="2"/>
  <c r="AE178" i="2"/>
  <c r="AJ177" i="2"/>
  <c r="AI177" i="2"/>
  <c r="AH177" i="2"/>
  <c r="AG177" i="2"/>
  <c r="AF177" i="2"/>
  <c r="AE177" i="2"/>
  <c r="AJ176" i="2"/>
  <c r="AI176" i="2"/>
  <c r="AH176" i="2"/>
  <c r="AG176" i="2"/>
  <c r="AF176" i="2"/>
  <c r="AE176" i="2"/>
  <c r="AJ175" i="2"/>
  <c r="AI175" i="2"/>
  <c r="AH175" i="2"/>
  <c r="AG175" i="2"/>
  <c r="AF175" i="2"/>
  <c r="AE175" i="2"/>
  <c r="AJ174" i="2"/>
  <c r="AI174" i="2"/>
  <c r="AH174" i="2"/>
  <c r="AG174" i="2"/>
  <c r="AF174" i="2"/>
  <c r="AE174" i="2"/>
  <c r="AJ173" i="2"/>
  <c r="AI173" i="2"/>
  <c r="AH173" i="2"/>
  <c r="AG173" i="2"/>
  <c r="AF173" i="2"/>
  <c r="AE173" i="2"/>
  <c r="AJ172" i="2"/>
  <c r="AI172" i="2"/>
  <c r="AH172" i="2"/>
  <c r="AG172" i="2"/>
  <c r="AF172" i="2"/>
  <c r="AE172" i="2"/>
  <c r="AJ171" i="2"/>
  <c r="AI171" i="2"/>
  <c r="AH171" i="2"/>
  <c r="AG171" i="2"/>
  <c r="AF171" i="2"/>
  <c r="AE171" i="2"/>
  <c r="AJ170" i="2"/>
  <c r="AI170" i="2"/>
  <c r="AH170" i="2"/>
  <c r="AG170" i="2"/>
  <c r="AF170" i="2"/>
  <c r="AE170" i="2"/>
  <c r="AJ169" i="2"/>
  <c r="AI169" i="2"/>
  <c r="AH169" i="2"/>
  <c r="AG169" i="2"/>
  <c r="AF169" i="2"/>
  <c r="AE169" i="2"/>
  <c r="AJ168" i="2"/>
  <c r="AI168" i="2"/>
  <c r="AH168" i="2"/>
  <c r="AG168" i="2"/>
  <c r="AF168" i="2"/>
  <c r="AE168" i="2"/>
  <c r="AJ167" i="2"/>
  <c r="AI167" i="2"/>
  <c r="AH167" i="2"/>
  <c r="AG167" i="2"/>
  <c r="AF167" i="2"/>
  <c r="AE167" i="2"/>
  <c r="AJ166" i="2"/>
  <c r="AI166" i="2"/>
  <c r="AH166" i="2"/>
  <c r="AG166" i="2"/>
  <c r="AF166" i="2"/>
  <c r="AE166" i="2"/>
  <c r="AJ165" i="2"/>
  <c r="AI165" i="2"/>
  <c r="AH165" i="2"/>
  <c r="AG165" i="2"/>
  <c r="AF165" i="2"/>
  <c r="AE165" i="2"/>
  <c r="AJ164" i="2"/>
  <c r="AI164" i="2"/>
  <c r="AH164" i="2"/>
  <c r="AG164" i="2"/>
  <c r="AF164" i="2"/>
  <c r="AE164" i="2"/>
  <c r="AJ163" i="2"/>
  <c r="AI163" i="2"/>
  <c r="AH163" i="2"/>
  <c r="AG163" i="2"/>
  <c r="AF163" i="2"/>
  <c r="AE163" i="2"/>
  <c r="AJ162" i="2"/>
  <c r="AI162" i="2"/>
  <c r="AH162" i="2"/>
  <c r="AG162" i="2"/>
  <c r="AF162" i="2"/>
  <c r="AE162" i="2"/>
  <c r="AJ161" i="2"/>
  <c r="AI161" i="2"/>
  <c r="AH161" i="2"/>
  <c r="AG161" i="2"/>
  <c r="AF161" i="2"/>
  <c r="AE161" i="2"/>
  <c r="AJ160" i="2"/>
  <c r="AI160" i="2"/>
  <c r="AH160" i="2"/>
  <c r="AG160" i="2"/>
  <c r="AF160" i="2"/>
  <c r="AE160" i="2"/>
  <c r="AJ159" i="2"/>
  <c r="AI159" i="2"/>
  <c r="AH159" i="2"/>
  <c r="AG159" i="2"/>
  <c r="AF159" i="2"/>
  <c r="AE159" i="2"/>
  <c r="AJ158" i="2"/>
  <c r="AI158" i="2"/>
  <c r="AH158" i="2"/>
  <c r="AG158" i="2"/>
  <c r="AF158" i="2"/>
  <c r="AE158" i="2"/>
  <c r="AJ157" i="2"/>
  <c r="AI157" i="2"/>
  <c r="AH157" i="2"/>
  <c r="AG157" i="2"/>
  <c r="AF157" i="2"/>
  <c r="AE157" i="2"/>
  <c r="AJ156" i="2"/>
  <c r="AI156" i="2"/>
  <c r="AH156" i="2"/>
  <c r="AG156" i="2"/>
  <c r="AF156" i="2"/>
  <c r="AE156" i="2"/>
  <c r="AJ155" i="2"/>
  <c r="AI155" i="2"/>
  <c r="AH155" i="2"/>
  <c r="AG155" i="2"/>
  <c r="AF155" i="2"/>
  <c r="AE155" i="2"/>
  <c r="AJ154" i="2"/>
  <c r="AI154" i="2"/>
  <c r="AH154" i="2"/>
  <c r="AG154" i="2"/>
  <c r="AF154" i="2"/>
  <c r="AE154" i="2"/>
  <c r="AJ153" i="2"/>
  <c r="AI153" i="2"/>
  <c r="AH153" i="2"/>
  <c r="AG153" i="2"/>
  <c r="AF153" i="2"/>
  <c r="AE153" i="2"/>
  <c r="AJ152" i="2"/>
  <c r="AI152" i="2"/>
  <c r="AH152" i="2"/>
  <c r="AG152" i="2"/>
  <c r="AF152" i="2"/>
  <c r="AE152" i="2"/>
  <c r="AJ151" i="2"/>
  <c r="AI151" i="2"/>
  <c r="AH151" i="2"/>
  <c r="AG151" i="2"/>
  <c r="AF151" i="2"/>
  <c r="AE151" i="2"/>
  <c r="AJ150" i="2"/>
  <c r="AI150" i="2"/>
  <c r="AH150" i="2"/>
  <c r="AG150" i="2"/>
  <c r="AF150" i="2"/>
  <c r="AE150" i="2"/>
  <c r="AJ149" i="2"/>
  <c r="AI149" i="2"/>
  <c r="AH149" i="2"/>
  <c r="AG149" i="2"/>
  <c r="AF149" i="2"/>
  <c r="AE149" i="2"/>
  <c r="AJ148" i="2"/>
  <c r="AI148" i="2"/>
  <c r="AH148" i="2"/>
  <c r="AG148" i="2"/>
  <c r="AF148" i="2"/>
  <c r="AE148" i="2"/>
  <c r="AJ147" i="2"/>
  <c r="AI147" i="2"/>
  <c r="AH147" i="2"/>
  <c r="AG147" i="2"/>
  <c r="AF147" i="2"/>
  <c r="AE147" i="2"/>
  <c r="AJ146" i="2"/>
  <c r="AI146" i="2"/>
  <c r="AH146" i="2"/>
  <c r="AG146" i="2"/>
  <c r="AF146" i="2"/>
  <c r="AE146" i="2"/>
  <c r="AJ145" i="2"/>
  <c r="AI145" i="2"/>
  <c r="AH145" i="2"/>
  <c r="AG145" i="2"/>
  <c r="AF145" i="2"/>
  <c r="AE145" i="2"/>
  <c r="AJ144" i="2"/>
  <c r="AI144" i="2"/>
  <c r="AH144" i="2"/>
  <c r="AG144" i="2"/>
  <c r="AF144" i="2"/>
  <c r="AE144" i="2"/>
  <c r="AJ143" i="2"/>
  <c r="AI143" i="2"/>
  <c r="AH143" i="2"/>
  <c r="AG143" i="2"/>
  <c r="AF143" i="2"/>
  <c r="AE143" i="2"/>
  <c r="AJ142" i="2"/>
  <c r="AI142" i="2"/>
  <c r="AH142" i="2"/>
  <c r="AG142" i="2"/>
  <c r="AF142" i="2"/>
  <c r="AE142" i="2"/>
  <c r="AJ141" i="2"/>
  <c r="AI141" i="2"/>
  <c r="AH141" i="2"/>
  <c r="AG141" i="2"/>
  <c r="AF141" i="2"/>
  <c r="AE141" i="2"/>
  <c r="AJ140" i="2"/>
  <c r="AI140" i="2"/>
  <c r="AH140" i="2"/>
  <c r="AG140" i="2"/>
  <c r="AF140" i="2"/>
  <c r="AE140" i="2"/>
  <c r="AJ139" i="2"/>
  <c r="AI139" i="2"/>
  <c r="AH139" i="2"/>
  <c r="AG139" i="2"/>
  <c r="AF139" i="2"/>
  <c r="AE139" i="2"/>
  <c r="AJ138" i="2"/>
  <c r="AI138" i="2"/>
  <c r="AH138" i="2"/>
  <c r="AG138" i="2"/>
  <c r="AF138" i="2"/>
  <c r="AE138" i="2"/>
  <c r="AJ137" i="2"/>
  <c r="AI137" i="2"/>
  <c r="AH137" i="2"/>
  <c r="AG137" i="2"/>
  <c r="AF137" i="2"/>
  <c r="AE137" i="2"/>
  <c r="AJ136" i="2"/>
  <c r="AI136" i="2"/>
  <c r="AH136" i="2"/>
  <c r="AG136" i="2"/>
  <c r="AF136" i="2"/>
  <c r="AE136" i="2"/>
  <c r="AJ135" i="2"/>
  <c r="AI135" i="2"/>
  <c r="AH135" i="2"/>
  <c r="AG135" i="2"/>
  <c r="AF135" i="2"/>
  <c r="AE135" i="2"/>
  <c r="AJ134" i="2"/>
  <c r="AI134" i="2"/>
  <c r="AH134" i="2"/>
  <c r="AG134" i="2"/>
  <c r="AF134" i="2"/>
  <c r="AE134" i="2"/>
  <c r="AJ133" i="2"/>
  <c r="AI133" i="2"/>
  <c r="AH133" i="2"/>
  <c r="AG133" i="2"/>
  <c r="AF133" i="2"/>
  <c r="AE133" i="2"/>
  <c r="AJ132" i="2"/>
  <c r="AI132" i="2"/>
  <c r="AH132" i="2"/>
  <c r="AG132" i="2"/>
  <c r="AF132" i="2"/>
  <c r="AE132" i="2"/>
  <c r="AJ131" i="2"/>
  <c r="AI131" i="2"/>
  <c r="AH131" i="2"/>
  <c r="AG131" i="2"/>
  <c r="AF131" i="2"/>
  <c r="AE131" i="2"/>
  <c r="AJ130" i="2"/>
  <c r="AI130" i="2"/>
  <c r="AH130" i="2"/>
  <c r="AG130" i="2"/>
  <c r="AF130" i="2"/>
  <c r="AE130" i="2"/>
  <c r="AJ129" i="2"/>
  <c r="AI129" i="2"/>
  <c r="AH129" i="2"/>
  <c r="AG129" i="2"/>
  <c r="AF129" i="2"/>
  <c r="AE129" i="2"/>
  <c r="AJ128" i="2"/>
  <c r="AI128" i="2"/>
  <c r="AH128" i="2"/>
  <c r="AG128" i="2"/>
  <c r="AF128" i="2"/>
  <c r="AE128" i="2"/>
  <c r="AJ127" i="2"/>
  <c r="AI127" i="2"/>
  <c r="AH127" i="2"/>
  <c r="AG127" i="2"/>
  <c r="AF127" i="2"/>
  <c r="AE127" i="2"/>
  <c r="AJ126" i="2"/>
  <c r="AI126" i="2"/>
  <c r="AH126" i="2"/>
  <c r="AG126" i="2"/>
  <c r="AF126" i="2"/>
  <c r="AE126" i="2"/>
  <c r="AJ125" i="2"/>
  <c r="AI125" i="2"/>
  <c r="AH125" i="2"/>
  <c r="AG125" i="2"/>
  <c r="AF125" i="2"/>
  <c r="AE125" i="2"/>
  <c r="AJ124" i="2"/>
  <c r="AI124" i="2"/>
  <c r="AH124" i="2"/>
  <c r="AG124" i="2"/>
  <c r="AF124" i="2"/>
  <c r="AE124" i="2"/>
  <c r="AJ123" i="2"/>
  <c r="AI123" i="2"/>
  <c r="AH123" i="2"/>
  <c r="AG123" i="2"/>
  <c r="AF123" i="2"/>
  <c r="AE123" i="2"/>
  <c r="AJ122" i="2"/>
  <c r="AI122" i="2"/>
  <c r="AH122" i="2"/>
  <c r="AG122" i="2"/>
  <c r="AF122" i="2"/>
  <c r="AE122" i="2"/>
  <c r="AJ121" i="2"/>
  <c r="AI121" i="2"/>
  <c r="AH121" i="2"/>
  <c r="AG121" i="2"/>
  <c r="AF121" i="2"/>
  <c r="AE121" i="2"/>
  <c r="AJ120" i="2"/>
  <c r="AI120" i="2"/>
  <c r="AH120" i="2"/>
  <c r="AG120" i="2"/>
  <c r="AF120" i="2"/>
  <c r="AE120" i="2"/>
  <c r="AJ119" i="2"/>
  <c r="AI119" i="2"/>
  <c r="AH119" i="2"/>
  <c r="AG119" i="2"/>
  <c r="AF119" i="2"/>
  <c r="AE119" i="2"/>
  <c r="AJ118" i="2"/>
  <c r="AI118" i="2"/>
  <c r="AH118" i="2"/>
  <c r="AG118" i="2"/>
  <c r="AF118" i="2"/>
  <c r="AE118" i="2"/>
  <c r="AJ117" i="2"/>
  <c r="AI117" i="2"/>
  <c r="AH117" i="2"/>
  <c r="AG117" i="2"/>
  <c r="AF117" i="2"/>
  <c r="AE117" i="2"/>
  <c r="AJ116" i="2"/>
  <c r="AI116" i="2"/>
  <c r="AH116" i="2"/>
  <c r="AG116" i="2"/>
  <c r="AF116" i="2"/>
  <c r="AE116" i="2"/>
  <c r="AJ115" i="2"/>
  <c r="AI115" i="2"/>
  <c r="AH115" i="2"/>
  <c r="AG115" i="2"/>
  <c r="AF115" i="2"/>
  <c r="AE115" i="2"/>
  <c r="AJ114" i="2"/>
  <c r="AI114" i="2"/>
  <c r="AH114" i="2"/>
  <c r="AG114" i="2"/>
  <c r="AF114" i="2"/>
  <c r="AE114" i="2"/>
  <c r="AJ113" i="2"/>
  <c r="AI113" i="2"/>
  <c r="AH113" i="2"/>
  <c r="AG113" i="2"/>
  <c r="AF113" i="2"/>
  <c r="AE113" i="2"/>
  <c r="AJ112" i="2"/>
  <c r="AI112" i="2"/>
  <c r="AH112" i="2"/>
  <c r="AG112" i="2"/>
  <c r="AF112" i="2"/>
  <c r="AE112" i="2"/>
  <c r="AJ111" i="2"/>
  <c r="AI111" i="2"/>
  <c r="AH111" i="2"/>
  <c r="AG111" i="2"/>
  <c r="AF111" i="2"/>
  <c r="AE111" i="2"/>
  <c r="AJ110" i="2"/>
  <c r="AI110" i="2"/>
  <c r="AH110" i="2"/>
  <c r="AG110" i="2"/>
  <c r="AF110" i="2"/>
  <c r="AE110" i="2"/>
  <c r="AJ109" i="2"/>
  <c r="AI109" i="2"/>
  <c r="AH109" i="2"/>
  <c r="AG109" i="2"/>
  <c r="AF109" i="2"/>
  <c r="AE109" i="2"/>
  <c r="AJ108" i="2"/>
  <c r="AI108" i="2"/>
  <c r="AH108" i="2"/>
  <c r="AG108" i="2"/>
  <c r="AF108" i="2"/>
  <c r="AE108" i="2"/>
  <c r="AJ107" i="2"/>
  <c r="AI107" i="2"/>
  <c r="AH107" i="2"/>
  <c r="AG107" i="2"/>
  <c r="AF107" i="2"/>
  <c r="AE107" i="2"/>
  <c r="AJ106" i="2"/>
  <c r="AI106" i="2"/>
  <c r="AH106" i="2"/>
  <c r="AG106" i="2"/>
  <c r="AF106" i="2"/>
  <c r="AE106" i="2"/>
  <c r="AJ105" i="2"/>
  <c r="AI105" i="2"/>
  <c r="AH105" i="2"/>
  <c r="AG105" i="2"/>
  <c r="AF105" i="2"/>
  <c r="AE105" i="2"/>
  <c r="AJ104" i="2"/>
  <c r="AI104" i="2"/>
  <c r="AH104" i="2"/>
  <c r="AG104" i="2"/>
  <c r="AF104" i="2"/>
  <c r="AE104" i="2"/>
  <c r="AJ103" i="2"/>
  <c r="AI103" i="2"/>
  <c r="AH103" i="2"/>
  <c r="AG103" i="2"/>
  <c r="AF103" i="2"/>
  <c r="AE103" i="2"/>
  <c r="AJ102" i="2"/>
  <c r="AI102" i="2"/>
  <c r="AH102" i="2"/>
  <c r="AG102" i="2"/>
  <c r="AF102" i="2"/>
  <c r="AE102" i="2"/>
  <c r="AJ101" i="2"/>
  <c r="AI101" i="2"/>
  <c r="AH101" i="2"/>
  <c r="AG101" i="2"/>
  <c r="AF101" i="2"/>
  <c r="AE101" i="2"/>
  <c r="AJ100" i="2"/>
  <c r="AI100" i="2"/>
  <c r="AH100" i="2"/>
  <c r="AG100" i="2"/>
  <c r="AF100" i="2"/>
  <c r="AE100" i="2"/>
  <c r="AJ99" i="2"/>
  <c r="AI99" i="2"/>
  <c r="AH99" i="2"/>
  <c r="AG99" i="2"/>
  <c r="AF99" i="2"/>
  <c r="AE99" i="2"/>
  <c r="AP132" i="2" l="1"/>
  <c r="AP136" i="2"/>
  <c r="AP140" i="2"/>
  <c r="AP144" i="2"/>
  <c r="AP148" i="2"/>
  <c r="AP152" i="2"/>
  <c r="AP156" i="2"/>
  <c r="AP160" i="2"/>
  <c r="AP164" i="2"/>
  <c r="AP168" i="2"/>
  <c r="AP172" i="2"/>
  <c r="AP176" i="2"/>
  <c r="AP180" i="2"/>
  <c r="AP184" i="2"/>
  <c r="AP188" i="2"/>
  <c r="AP192" i="2"/>
  <c r="AP196" i="2"/>
  <c r="AP200" i="2"/>
  <c r="AP204" i="2"/>
  <c r="AP208" i="2"/>
  <c r="AP212" i="2"/>
  <c r="AP216" i="2"/>
  <c r="AP220" i="2"/>
  <c r="AP224" i="2"/>
  <c r="AP228" i="2"/>
  <c r="AP232" i="2"/>
  <c r="AP236" i="2"/>
  <c r="AP240" i="2"/>
  <c r="AP244" i="2"/>
  <c r="AP248" i="2"/>
  <c r="AP252" i="2"/>
  <c r="AP256" i="2"/>
  <c r="AP260" i="2"/>
  <c r="AP264" i="2"/>
  <c r="AP268" i="2"/>
  <c r="AP272" i="2"/>
  <c r="AP276" i="2"/>
  <c r="AP280" i="2"/>
  <c r="AP284" i="2"/>
  <c r="AP288" i="2"/>
  <c r="AP292" i="2"/>
  <c r="AP296" i="2"/>
  <c r="AP300" i="2"/>
  <c r="AN110" i="2"/>
  <c r="AN114" i="2"/>
  <c r="AN118" i="2"/>
  <c r="AN122" i="2"/>
  <c r="AN126" i="2"/>
  <c r="AN130" i="2"/>
  <c r="AP304" i="2"/>
  <c r="AL99" i="2"/>
  <c r="AL103" i="2"/>
  <c r="AL107" i="2"/>
  <c r="AL111" i="2"/>
  <c r="AL115" i="2"/>
  <c r="AL119" i="2"/>
  <c r="AL123" i="2"/>
  <c r="AL127" i="2"/>
  <c r="AL131" i="2"/>
  <c r="AL135" i="2"/>
  <c r="AL139" i="2"/>
  <c r="AL143" i="2"/>
  <c r="AL147" i="2"/>
  <c r="AL151" i="2"/>
  <c r="AL155" i="2"/>
  <c r="AL159" i="2"/>
  <c r="AL163" i="2"/>
  <c r="AL167" i="2"/>
  <c r="AL171" i="2"/>
  <c r="AL175" i="2"/>
  <c r="AL179" i="2"/>
  <c r="AL183" i="2"/>
  <c r="AL187" i="2"/>
  <c r="AL191" i="2"/>
  <c r="AL195" i="2"/>
  <c r="AL199" i="2"/>
  <c r="AL203" i="2"/>
  <c r="AL205" i="2"/>
  <c r="AL207" i="2"/>
  <c r="AL209" i="2"/>
  <c r="AL211" i="2"/>
  <c r="AL213" i="2"/>
  <c r="AL215" i="2"/>
  <c r="AL217" i="2"/>
  <c r="AL219" i="2"/>
  <c r="AL221" i="2"/>
  <c r="AL223" i="2"/>
  <c r="AL225" i="2"/>
  <c r="AL227" i="2"/>
  <c r="AL229" i="2"/>
  <c r="AL231" i="2"/>
  <c r="AL233" i="2"/>
  <c r="AL235" i="2"/>
  <c r="AL237" i="2"/>
  <c r="AL239" i="2"/>
  <c r="AL241" i="2"/>
  <c r="AL243" i="2"/>
  <c r="AL245" i="2"/>
  <c r="AL247" i="2"/>
  <c r="AL249" i="2"/>
  <c r="AL251" i="2"/>
  <c r="AL253" i="2"/>
  <c r="AL255" i="2"/>
  <c r="AL257" i="2"/>
  <c r="AL259" i="2"/>
  <c r="AL261" i="2"/>
  <c r="AL263" i="2"/>
  <c r="AL265" i="2"/>
  <c r="AL267" i="2"/>
  <c r="AL269" i="2"/>
  <c r="AL271" i="2"/>
  <c r="AL273" i="2"/>
  <c r="AL275" i="2"/>
  <c r="AL277" i="2"/>
  <c r="AL279" i="2"/>
  <c r="AL281" i="2"/>
  <c r="AL283" i="2"/>
  <c r="AL285" i="2"/>
  <c r="AL287" i="2"/>
  <c r="AL289" i="2"/>
  <c r="AL291" i="2"/>
  <c r="AL293" i="2"/>
  <c r="AL295" i="2"/>
  <c r="AL297" i="2"/>
  <c r="AL299" i="2"/>
  <c r="AL301" i="2"/>
  <c r="AL303" i="2"/>
  <c r="AP112" i="2"/>
  <c r="AP124" i="2"/>
  <c r="AP128" i="2"/>
  <c r="AP104" i="2"/>
  <c r="AO101" i="2"/>
  <c r="AO105" i="2"/>
  <c r="AO109" i="2"/>
  <c r="AO113" i="2"/>
  <c r="AO117" i="2"/>
  <c r="AO121" i="2"/>
  <c r="AO125" i="2"/>
  <c r="AO129" i="2"/>
  <c r="AO133" i="2"/>
  <c r="AO137" i="2"/>
  <c r="AO141" i="2"/>
  <c r="AO145" i="2"/>
  <c r="AO149" i="2"/>
  <c r="AO153" i="2"/>
  <c r="AO157" i="2"/>
  <c r="AO161" i="2"/>
  <c r="AO165" i="2"/>
  <c r="AO169" i="2"/>
  <c r="AO173" i="2"/>
  <c r="AO177" i="2"/>
  <c r="AO181" i="2"/>
  <c r="AO185" i="2"/>
  <c r="AO189" i="2"/>
  <c r="AO193" i="2"/>
  <c r="AO197" i="2"/>
  <c r="AO201" i="2"/>
  <c r="AO205" i="2"/>
  <c r="AO209" i="2"/>
  <c r="AO213" i="2"/>
  <c r="AO217" i="2"/>
  <c r="AO221" i="2"/>
  <c r="AO225" i="2"/>
  <c r="AO229" i="2"/>
  <c r="AO233" i="2"/>
  <c r="AO237" i="2"/>
  <c r="AO241" i="2"/>
  <c r="AO245" i="2"/>
  <c r="AO249" i="2"/>
  <c r="AO253" i="2"/>
  <c r="AO257" i="2"/>
  <c r="AO261" i="2"/>
  <c r="AO265" i="2"/>
  <c r="AO269" i="2"/>
  <c r="AO273" i="2"/>
  <c r="AO277" i="2"/>
  <c r="AO281" i="2"/>
  <c r="AO285" i="2"/>
  <c r="AO289" i="2"/>
  <c r="AO293" i="2"/>
  <c r="AO297" i="2"/>
  <c r="AO301" i="2"/>
  <c r="AO305" i="2"/>
  <c r="AP108" i="2"/>
  <c r="AP100" i="2"/>
  <c r="AP120" i="2"/>
  <c r="AO238" i="2"/>
  <c r="AO246" i="2"/>
  <c r="AO250" i="2"/>
  <c r="AO254" i="2"/>
  <c r="AO258" i="2"/>
  <c r="AO262" i="2"/>
  <c r="AO266" i="2"/>
  <c r="AO270" i="2"/>
  <c r="AO274" i="2"/>
  <c r="AO278" i="2"/>
  <c r="AO282" i="2"/>
  <c r="AO286" i="2"/>
  <c r="AO290" i="2"/>
  <c r="AO294" i="2"/>
  <c r="AO298" i="2"/>
  <c r="AO302" i="2"/>
  <c r="AO306" i="2"/>
  <c r="AP116" i="2"/>
  <c r="AN134" i="2"/>
  <c r="AN138" i="2"/>
  <c r="AN146" i="2"/>
  <c r="AN99" i="2"/>
  <c r="AN103" i="2"/>
  <c r="AN107" i="2"/>
  <c r="AN111" i="2"/>
  <c r="AN115" i="2"/>
  <c r="AN119" i="2"/>
  <c r="AN123" i="2"/>
  <c r="AN127" i="2"/>
  <c r="AN131" i="2"/>
  <c r="AN135" i="2"/>
  <c r="AN139" i="2"/>
  <c r="AN143" i="2"/>
  <c r="AN147" i="2"/>
  <c r="AN151" i="2"/>
  <c r="AN155" i="2"/>
  <c r="AN159" i="2"/>
  <c r="AN163" i="2"/>
  <c r="AN167" i="2"/>
  <c r="AN171" i="2"/>
  <c r="AN175" i="2"/>
  <c r="AN179" i="2"/>
  <c r="AN183" i="2"/>
  <c r="AN187" i="2"/>
  <c r="AN191" i="2"/>
  <c r="AN195" i="2"/>
  <c r="AN199" i="2"/>
  <c r="AN203" i="2"/>
  <c r="AN207" i="2"/>
  <c r="AN211" i="2"/>
  <c r="AN215" i="2"/>
  <c r="AN219" i="2"/>
  <c r="AN223" i="2"/>
  <c r="AN227" i="2"/>
  <c r="AN231" i="2"/>
  <c r="AN235" i="2"/>
  <c r="AN239" i="2"/>
  <c r="AN243" i="2"/>
  <c r="AN247" i="2"/>
  <c r="AN251" i="2"/>
  <c r="AN255" i="2"/>
  <c r="AN259" i="2"/>
  <c r="AN263" i="2"/>
  <c r="AN267" i="2"/>
  <c r="AN271" i="2"/>
  <c r="AN275" i="2"/>
  <c r="AN279" i="2"/>
  <c r="AN283" i="2"/>
  <c r="AN287" i="2"/>
  <c r="AN295" i="2"/>
  <c r="AP305" i="2"/>
  <c r="AQ100" i="2"/>
  <c r="AM106" i="2"/>
  <c r="AQ112" i="2"/>
  <c r="AQ140" i="2"/>
  <c r="AQ148" i="2"/>
  <c r="AM158" i="2"/>
  <c r="AQ180" i="2"/>
  <c r="AM186" i="2"/>
  <c r="AQ188" i="2"/>
  <c r="AQ196" i="2"/>
  <c r="AQ208" i="2"/>
  <c r="AQ236" i="2"/>
  <c r="AM242" i="2"/>
  <c r="AM246" i="2"/>
  <c r="AM258" i="2"/>
  <c r="AQ284" i="2"/>
  <c r="AM294" i="2"/>
  <c r="AP290" i="2"/>
  <c r="AO291" i="2"/>
  <c r="AP294" i="2"/>
  <c r="AO295" i="2"/>
  <c r="AP298" i="2"/>
  <c r="AO299" i="2"/>
  <c r="AP302" i="2"/>
  <c r="AO303" i="2"/>
  <c r="AL305" i="2"/>
  <c r="AP306" i="2"/>
  <c r="AM110" i="2"/>
  <c r="AQ116" i="2"/>
  <c r="AQ136" i="2"/>
  <c r="AQ144" i="2"/>
  <c r="AM150" i="2"/>
  <c r="AQ156" i="2"/>
  <c r="AM162" i="2"/>
  <c r="AM170" i="2"/>
  <c r="AM182" i="2"/>
  <c r="AM190" i="2"/>
  <c r="AQ200" i="2"/>
  <c r="AM206" i="2"/>
  <c r="AM210" i="2"/>
  <c r="AM226" i="2"/>
  <c r="AM230" i="2"/>
  <c r="AQ240" i="2"/>
  <c r="AQ252" i="2"/>
  <c r="AQ256" i="2"/>
  <c r="AQ260" i="2"/>
  <c r="AM278" i="2"/>
  <c r="AQ288" i="2"/>
  <c r="AQ304" i="2"/>
  <c r="AM133" i="2"/>
  <c r="AM137" i="2"/>
  <c r="AM141" i="2"/>
  <c r="AM102" i="2"/>
  <c r="AQ120" i="2"/>
  <c r="AQ124" i="2"/>
  <c r="AQ128" i="2"/>
  <c r="AQ132" i="2"/>
  <c r="AM138" i="2"/>
  <c r="AM142" i="2"/>
  <c r="AM146" i="2"/>
  <c r="AQ160" i="2"/>
  <c r="AM166" i="2"/>
  <c r="AQ168" i="2"/>
  <c r="AM174" i="2"/>
  <c r="AQ176" i="2"/>
  <c r="AM194" i="2"/>
  <c r="AM214" i="2"/>
  <c r="AM218" i="2"/>
  <c r="AM222" i="2"/>
  <c r="AQ224" i="2"/>
  <c r="AQ228" i="2"/>
  <c r="AM234" i="2"/>
  <c r="AQ244" i="2"/>
  <c r="AQ264" i="2"/>
  <c r="AM270" i="2"/>
  <c r="AQ272" i="2"/>
  <c r="AQ280" i="2"/>
  <c r="AM286" i="2"/>
  <c r="AM290" i="2"/>
  <c r="AM109" i="2"/>
  <c r="AM129" i="2"/>
  <c r="AP141" i="2"/>
  <c r="AO142" i="2"/>
  <c r="AP145" i="2"/>
  <c r="AO146" i="2"/>
  <c r="AP149" i="2"/>
  <c r="AO150" i="2"/>
  <c r="AP153" i="2"/>
  <c r="AO154" i="2"/>
  <c r="AP157" i="2"/>
  <c r="AO158" i="2"/>
  <c r="AP161" i="2"/>
  <c r="AO162" i="2"/>
  <c r="AP165" i="2"/>
  <c r="AO166" i="2"/>
  <c r="AP169" i="2"/>
  <c r="AO170" i="2"/>
  <c r="AP173" i="2"/>
  <c r="AO174" i="2"/>
  <c r="AP177" i="2"/>
  <c r="AO178" i="2"/>
  <c r="AP181" i="2"/>
  <c r="AO182" i="2"/>
  <c r="AP185" i="2"/>
  <c r="AO186" i="2"/>
  <c r="AP189" i="2"/>
  <c r="AO190" i="2"/>
  <c r="AP193" i="2"/>
  <c r="AO194" i="2"/>
  <c r="AP197" i="2"/>
  <c r="AO198" i="2"/>
  <c r="AP201" i="2"/>
  <c r="AO202" i="2"/>
  <c r="AO206" i="2"/>
  <c r="AO210" i="2"/>
  <c r="AO214" i="2"/>
  <c r="AO218" i="2"/>
  <c r="AO222" i="2"/>
  <c r="AO226" i="2"/>
  <c r="AO230" i="2"/>
  <c r="AO234" i="2"/>
  <c r="AO242" i="2"/>
  <c r="AP285" i="2"/>
  <c r="AP289" i="2"/>
  <c r="AP293" i="2"/>
  <c r="AP297" i="2"/>
  <c r="AP301" i="2"/>
  <c r="AQ104" i="2"/>
  <c r="AQ108" i="2"/>
  <c r="AM114" i="2"/>
  <c r="AM118" i="2"/>
  <c r="AM122" i="2"/>
  <c r="AM126" i="2"/>
  <c r="AM130" i="2"/>
  <c r="AM134" i="2"/>
  <c r="AQ152" i="2"/>
  <c r="AM154" i="2"/>
  <c r="AQ164" i="2"/>
  <c r="AQ172" i="2"/>
  <c r="AM178" i="2"/>
  <c r="AQ184" i="2"/>
  <c r="AQ192" i="2"/>
  <c r="AM198" i="2"/>
  <c r="AM202" i="2"/>
  <c r="AQ204" i="2"/>
  <c r="AQ212" i="2"/>
  <c r="AQ216" i="2"/>
  <c r="AQ220" i="2"/>
  <c r="AQ232" i="2"/>
  <c r="AM238" i="2"/>
  <c r="AQ248" i="2"/>
  <c r="AM250" i="2"/>
  <c r="AM254" i="2"/>
  <c r="AM262" i="2"/>
  <c r="AM266" i="2"/>
  <c r="AQ268" i="2"/>
  <c r="AM274" i="2"/>
  <c r="AQ276" i="2"/>
  <c r="AM282" i="2"/>
  <c r="AQ292" i="2"/>
  <c r="AQ296" i="2"/>
  <c r="AQ300" i="2"/>
  <c r="AM101" i="2"/>
  <c r="AM105" i="2"/>
  <c r="AM113" i="2"/>
  <c r="AM117" i="2"/>
  <c r="AM121" i="2"/>
  <c r="AM125" i="2"/>
  <c r="AQ102" i="2"/>
  <c r="AQ106" i="2"/>
  <c r="AQ110" i="2"/>
  <c r="AQ114" i="2"/>
  <c r="AQ118" i="2"/>
  <c r="AQ122" i="2"/>
  <c r="AQ126" i="2"/>
  <c r="AQ130" i="2"/>
  <c r="AQ134" i="2"/>
  <c r="AQ138" i="2"/>
  <c r="AQ146" i="2"/>
  <c r="AM99" i="2"/>
  <c r="AN100" i="2"/>
  <c r="AQ101" i="2"/>
  <c r="AM103" i="2"/>
  <c r="AN104" i="2"/>
  <c r="AQ105" i="2"/>
  <c r="AM107" i="2"/>
  <c r="AN108" i="2"/>
  <c r="AQ109" i="2"/>
  <c r="AM111" i="2"/>
  <c r="AN112" i="2"/>
  <c r="AQ113" i="2"/>
  <c r="AM115" i="2"/>
  <c r="AN116" i="2"/>
  <c r="AQ117" i="2"/>
  <c r="AM119" i="2"/>
  <c r="AN120" i="2"/>
  <c r="AQ121" i="2"/>
  <c r="AM123" i="2"/>
  <c r="AN124" i="2"/>
  <c r="AQ125" i="2"/>
  <c r="AM127" i="2"/>
  <c r="AN128" i="2"/>
  <c r="AQ129" i="2"/>
  <c r="AM131" i="2"/>
  <c r="AN132" i="2"/>
  <c r="AQ133" i="2"/>
  <c r="AM135" i="2"/>
  <c r="AN136" i="2"/>
  <c r="AQ137" i="2"/>
  <c r="AM139" i="2"/>
  <c r="AN140" i="2"/>
  <c r="AQ141" i="2"/>
  <c r="AM143" i="2"/>
  <c r="AN144" i="2"/>
  <c r="AQ145" i="2"/>
  <c r="AM147" i="2"/>
  <c r="AN148" i="2"/>
  <c r="AQ149" i="2"/>
  <c r="AM151" i="2"/>
  <c r="AN152" i="2"/>
  <c r="AQ153" i="2"/>
  <c r="AM155" i="2"/>
  <c r="AN156" i="2"/>
  <c r="AQ157" i="2"/>
  <c r="AM159" i="2"/>
  <c r="AN160" i="2"/>
  <c r="AQ161" i="2"/>
  <c r="AM163" i="2"/>
  <c r="AN164" i="2"/>
  <c r="AQ165" i="2"/>
  <c r="AM167" i="2"/>
  <c r="AN168" i="2"/>
  <c r="AQ169" i="2"/>
  <c r="AM171" i="2"/>
  <c r="AN172" i="2"/>
  <c r="AQ173" i="2"/>
  <c r="AM175" i="2"/>
  <c r="AN176" i="2"/>
  <c r="AQ177" i="2"/>
  <c r="AM179" i="2"/>
  <c r="AN180" i="2"/>
  <c r="AQ181" i="2"/>
  <c r="AM183" i="2"/>
  <c r="AN184" i="2"/>
  <c r="AQ185" i="2"/>
  <c r="AM187" i="2"/>
  <c r="AN188" i="2"/>
  <c r="AQ189" i="2"/>
  <c r="AM191" i="2"/>
  <c r="AN192" i="2"/>
  <c r="AP99" i="2"/>
  <c r="AO100" i="2"/>
  <c r="AL102" i="2"/>
  <c r="AP103" i="2"/>
  <c r="AO104" i="2"/>
  <c r="AL106" i="2"/>
  <c r="AP107" i="2"/>
  <c r="AO108" i="2"/>
  <c r="AL110" i="2"/>
  <c r="AP111" i="2"/>
  <c r="AO112" i="2"/>
  <c r="AL114" i="2"/>
  <c r="AP115" i="2"/>
  <c r="AO116" i="2"/>
  <c r="AL118" i="2"/>
  <c r="AP119" i="2"/>
  <c r="AO120" i="2"/>
  <c r="AL122" i="2"/>
  <c r="AP123" i="2"/>
  <c r="AO124" i="2"/>
  <c r="AL126" i="2"/>
  <c r="AP127" i="2"/>
  <c r="AO128" i="2"/>
  <c r="AL130" i="2"/>
  <c r="AP131" i="2"/>
  <c r="AO132" i="2"/>
  <c r="AL134" i="2"/>
  <c r="AP135" i="2"/>
  <c r="AO136" i="2"/>
  <c r="AL138" i="2"/>
  <c r="AP139" i="2"/>
  <c r="AO140" i="2"/>
  <c r="AL142" i="2"/>
  <c r="AP143" i="2"/>
  <c r="AO144" i="2"/>
  <c r="AL146" i="2"/>
  <c r="AP147" i="2"/>
  <c r="AO148" i="2"/>
  <c r="AL150" i="2"/>
  <c r="AP151" i="2"/>
  <c r="AO152" i="2"/>
  <c r="AL154" i="2"/>
  <c r="AP155" i="2"/>
  <c r="AO156" i="2"/>
  <c r="AL158" i="2"/>
  <c r="AP159" i="2"/>
  <c r="AO160" i="2"/>
  <c r="AL162" i="2"/>
  <c r="AP163" i="2"/>
  <c r="AO164" i="2"/>
  <c r="AL166" i="2"/>
  <c r="AP167" i="2"/>
  <c r="AO168" i="2"/>
  <c r="AL170" i="2"/>
  <c r="AP171" i="2"/>
  <c r="AO172" i="2"/>
  <c r="AL174" i="2"/>
  <c r="AP175" i="2"/>
  <c r="AO176" i="2"/>
  <c r="AL178" i="2"/>
  <c r="AP179" i="2"/>
  <c r="AO180" i="2"/>
  <c r="AL182" i="2"/>
  <c r="AP183" i="2"/>
  <c r="AO184" i="2"/>
  <c r="AL186" i="2"/>
  <c r="AP187" i="2"/>
  <c r="AO188" i="2"/>
  <c r="AL190" i="2"/>
  <c r="AP191" i="2"/>
  <c r="AO192" i="2"/>
  <c r="AO99" i="2"/>
  <c r="AL101" i="2"/>
  <c r="AP102" i="2"/>
  <c r="AO103" i="2"/>
  <c r="AL105" i="2"/>
  <c r="AP106" i="2"/>
  <c r="AO107" i="2"/>
  <c r="AL109" i="2"/>
  <c r="AP110" i="2"/>
  <c r="AO111" i="2"/>
  <c r="AL113" i="2"/>
  <c r="AP114" i="2"/>
  <c r="AO115" i="2"/>
  <c r="AL117" i="2"/>
  <c r="AP118" i="2"/>
  <c r="AO119" i="2"/>
  <c r="AL121" i="2"/>
  <c r="AP122" i="2"/>
  <c r="AO123" i="2"/>
  <c r="AL125" i="2"/>
  <c r="AP126" i="2"/>
  <c r="AO127" i="2"/>
  <c r="AL129" i="2"/>
  <c r="AP130" i="2"/>
  <c r="AO131" i="2"/>
  <c r="AL133" i="2"/>
  <c r="AP134" i="2"/>
  <c r="AO135" i="2"/>
  <c r="AL137" i="2"/>
  <c r="AP138" i="2"/>
  <c r="AO139" i="2"/>
  <c r="AL141" i="2"/>
  <c r="AP142" i="2"/>
  <c r="AO143" i="2"/>
  <c r="AL145" i="2"/>
  <c r="AP146" i="2"/>
  <c r="AO147" i="2"/>
  <c r="AL149" i="2"/>
  <c r="AP150" i="2"/>
  <c r="AO151" i="2"/>
  <c r="AL153" i="2"/>
  <c r="AP154" i="2"/>
  <c r="AO155" i="2"/>
  <c r="AL157" i="2"/>
  <c r="AP158" i="2"/>
  <c r="AO159" i="2"/>
  <c r="AL161" i="2"/>
  <c r="AP162" i="2"/>
  <c r="AO163" i="2"/>
  <c r="AL165" i="2"/>
  <c r="AP166" i="2"/>
  <c r="AO167" i="2"/>
  <c r="AL169" i="2"/>
  <c r="AP170" i="2"/>
  <c r="AO171" i="2"/>
  <c r="AL173" i="2"/>
  <c r="AP174" i="2"/>
  <c r="AO175" i="2"/>
  <c r="AL177" i="2"/>
  <c r="AP178" i="2"/>
  <c r="AO179" i="2"/>
  <c r="AL181" i="2"/>
  <c r="AP182" i="2"/>
  <c r="AO183" i="2"/>
  <c r="AL185" i="2"/>
  <c r="AP186" i="2"/>
  <c r="AO187" i="2"/>
  <c r="AL189" i="2"/>
  <c r="AP190" i="2"/>
  <c r="AO191" i="2"/>
  <c r="AL193" i="2"/>
  <c r="AP194" i="2"/>
  <c r="AO195" i="2"/>
  <c r="AL197" i="2"/>
  <c r="AP198" i="2"/>
  <c r="AO199" i="2"/>
  <c r="AL201" i="2"/>
  <c r="AP202" i="2"/>
  <c r="AQ99" i="2"/>
  <c r="AQ103" i="2"/>
  <c r="AQ107" i="2"/>
  <c r="AQ111" i="2"/>
  <c r="AQ115" i="2"/>
  <c r="AQ119" i="2"/>
  <c r="AQ123" i="2"/>
  <c r="AQ127" i="2"/>
  <c r="AQ131" i="2"/>
  <c r="AQ135" i="2"/>
  <c r="AQ139" i="2"/>
  <c r="AN142" i="2"/>
  <c r="AQ143" i="2"/>
  <c r="AM145" i="2"/>
  <c r="AQ147" i="2"/>
  <c r="AM149" i="2"/>
  <c r="AN150" i="2"/>
  <c r="AQ151" i="2"/>
  <c r="AM153" i="2"/>
  <c r="AN154" i="2"/>
  <c r="AQ155" i="2"/>
  <c r="AM157" i="2"/>
  <c r="AN158" i="2"/>
  <c r="AQ159" i="2"/>
  <c r="AM161" i="2"/>
  <c r="AN162" i="2"/>
  <c r="AQ163" i="2"/>
  <c r="AM165" i="2"/>
  <c r="AN166" i="2"/>
  <c r="AQ167" i="2"/>
  <c r="AM169" i="2"/>
  <c r="AN170" i="2"/>
  <c r="AQ171" i="2"/>
  <c r="AM173" i="2"/>
  <c r="AN174" i="2"/>
  <c r="AQ175" i="2"/>
  <c r="AM177" i="2"/>
  <c r="AN178" i="2"/>
  <c r="AQ179" i="2"/>
  <c r="AM181" i="2"/>
  <c r="AN182" i="2"/>
  <c r="AQ183" i="2"/>
  <c r="AM185" i="2"/>
  <c r="AN186" i="2"/>
  <c r="AQ187" i="2"/>
  <c r="AM189" i="2"/>
  <c r="AN190" i="2"/>
  <c r="AQ191" i="2"/>
  <c r="AM193" i="2"/>
  <c r="AN194" i="2"/>
  <c r="AN102" i="2"/>
  <c r="AN106" i="2"/>
  <c r="AL100" i="2"/>
  <c r="AP101" i="2"/>
  <c r="AO102" i="2"/>
  <c r="AL104" i="2"/>
  <c r="AP105" i="2"/>
  <c r="AO106" i="2"/>
  <c r="AL108" i="2"/>
  <c r="AP109" i="2"/>
  <c r="AO110" i="2"/>
  <c r="AL112" i="2"/>
  <c r="AP113" i="2"/>
  <c r="AO114" i="2"/>
  <c r="AL116" i="2"/>
  <c r="AP117" i="2"/>
  <c r="AO118" i="2"/>
  <c r="AL120" i="2"/>
  <c r="AP121" i="2"/>
  <c r="AO122" i="2"/>
  <c r="AL124" i="2"/>
  <c r="AP125" i="2"/>
  <c r="AO126" i="2"/>
  <c r="AL128" i="2"/>
  <c r="AP129" i="2"/>
  <c r="AO130" i="2"/>
  <c r="AL132" i="2"/>
  <c r="AP133" i="2"/>
  <c r="AO134" i="2"/>
  <c r="AL136" i="2"/>
  <c r="AP137" i="2"/>
  <c r="AO138" i="2"/>
  <c r="AL140" i="2"/>
  <c r="AL144" i="2"/>
  <c r="AL148" i="2"/>
  <c r="AL152" i="2"/>
  <c r="AL156" i="2"/>
  <c r="AL160" i="2"/>
  <c r="AL164" i="2"/>
  <c r="AL168" i="2"/>
  <c r="AL172" i="2"/>
  <c r="AL176" i="2"/>
  <c r="AL180" i="2"/>
  <c r="AL184" i="2"/>
  <c r="AL188" i="2"/>
  <c r="AL192" i="2"/>
  <c r="AL196" i="2"/>
  <c r="AL200" i="2"/>
  <c r="AM100" i="2"/>
  <c r="AN101" i="2"/>
  <c r="AM104" i="2"/>
  <c r="AN105" i="2"/>
  <c r="AM108" i="2"/>
  <c r="AN109" i="2"/>
  <c r="AM112" i="2"/>
  <c r="AN113" i="2"/>
  <c r="AM116" i="2"/>
  <c r="AN117" i="2"/>
  <c r="AM120" i="2"/>
  <c r="AN121" i="2"/>
  <c r="AM124" i="2"/>
  <c r="AN125" i="2"/>
  <c r="AM128" i="2"/>
  <c r="AN129" i="2"/>
  <c r="AM132" i="2"/>
  <c r="AN133" i="2"/>
  <c r="AM136" i="2"/>
  <c r="AN137" i="2"/>
  <c r="AM140" i="2"/>
  <c r="AN141" i="2"/>
  <c r="AQ142" i="2"/>
  <c r="AM144" i="2"/>
  <c r="AN145" i="2"/>
  <c r="AM148" i="2"/>
  <c r="AN149" i="2"/>
  <c r="AQ150" i="2"/>
  <c r="AM152" i="2"/>
  <c r="AN153" i="2"/>
  <c r="AQ154" i="2"/>
  <c r="AM156" i="2"/>
  <c r="AN157" i="2"/>
  <c r="AQ158" i="2"/>
  <c r="AM160" i="2"/>
  <c r="AN161" i="2"/>
  <c r="AQ162" i="2"/>
  <c r="AM164" i="2"/>
  <c r="AN165" i="2"/>
  <c r="AQ166" i="2"/>
  <c r="AM168" i="2"/>
  <c r="AN169" i="2"/>
  <c r="AQ170" i="2"/>
  <c r="AM172" i="2"/>
  <c r="AN173" i="2"/>
  <c r="AQ174" i="2"/>
  <c r="AM176" i="2"/>
  <c r="AN177" i="2"/>
  <c r="AQ178" i="2"/>
  <c r="AM180" i="2"/>
  <c r="AN181" i="2"/>
  <c r="AQ182" i="2"/>
  <c r="AM184" i="2"/>
  <c r="AN185" i="2"/>
  <c r="AQ186" i="2"/>
  <c r="AM188" i="2"/>
  <c r="AN189" i="2"/>
  <c r="AQ190" i="2"/>
  <c r="AM192" i="2"/>
  <c r="AN193" i="2"/>
  <c r="AQ194" i="2"/>
  <c r="AQ193" i="2"/>
  <c r="AM195" i="2"/>
  <c r="AN196" i="2"/>
  <c r="AQ197" i="2"/>
  <c r="AM199" i="2"/>
  <c r="AN200" i="2"/>
  <c r="AQ201" i="2"/>
  <c r="AM203" i="2"/>
  <c r="AN204" i="2"/>
  <c r="AQ205" i="2"/>
  <c r="AM207" i="2"/>
  <c r="AN208" i="2"/>
  <c r="AQ209" i="2"/>
  <c r="AM211" i="2"/>
  <c r="AN212" i="2"/>
  <c r="AQ213" i="2"/>
  <c r="AM215" i="2"/>
  <c r="AN216" i="2"/>
  <c r="AQ217" i="2"/>
  <c r="AM219" i="2"/>
  <c r="AN220" i="2"/>
  <c r="AQ221" i="2"/>
  <c r="AM223" i="2"/>
  <c r="AN224" i="2"/>
  <c r="AQ225" i="2"/>
  <c r="AM227" i="2"/>
  <c r="AN228" i="2"/>
  <c r="AQ229" i="2"/>
  <c r="AM231" i="2"/>
  <c r="AN232" i="2"/>
  <c r="AQ233" i="2"/>
  <c r="AM235" i="2"/>
  <c r="AN236" i="2"/>
  <c r="AQ237" i="2"/>
  <c r="AM239" i="2"/>
  <c r="AN240" i="2"/>
  <c r="AQ241" i="2"/>
  <c r="AM243" i="2"/>
  <c r="AN244" i="2"/>
  <c r="AQ245" i="2"/>
  <c r="AM247" i="2"/>
  <c r="AN248" i="2"/>
  <c r="AQ249" i="2"/>
  <c r="AM251" i="2"/>
  <c r="AN252" i="2"/>
  <c r="AQ253" i="2"/>
  <c r="AM255" i="2"/>
  <c r="AN256" i="2"/>
  <c r="AQ257" i="2"/>
  <c r="AM259" i="2"/>
  <c r="AN260" i="2"/>
  <c r="AQ261" i="2"/>
  <c r="AM263" i="2"/>
  <c r="AN264" i="2"/>
  <c r="AQ265" i="2"/>
  <c r="AM267" i="2"/>
  <c r="AN268" i="2"/>
  <c r="AQ269" i="2"/>
  <c r="AM271" i="2"/>
  <c r="AN272" i="2"/>
  <c r="AQ273" i="2"/>
  <c r="AM275" i="2"/>
  <c r="AN276" i="2"/>
  <c r="AQ277" i="2"/>
  <c r="AM279" i="2"/>
  <c r="AN280" i="2"/>
  <c r="AQ281" i="2"/>
  <c r="AM283" i="2"/>
  <c r="AN284" i="2"/>
  <c r="AQ285" i="2"/>
  <c r="AM287" i="2"/>
  <c r="AN288" i="2"/>
  <c r="AQ289" i="2"/>
  <c r="AM291" i="2"/>
  <c r="AN292" i="2"/>
  <c r="AQ293" i="2"/>
  <c r="AM295" i="2"/>
  <c r="AN296" i="2"/>
  <c r="AQ297" i="2"/>
  <c r="AM299" i="2"/>
  <c r="AN300" i="2"/>
  <c r="AQ301" i="2"/>
  <c r="AM303" i="2"/>
  <c r="AN304" i="2"/>
  <c r="AQ305" i="2"/>
  <c r="AL194" i="2"/>
  <c r="AP195" i="2"/>
  <c r="AO196" i="2"/>
  <c r="AL198" i="2"/>
  <c r="AP199" i="2"/>
  <c r="AO200" i="2"/>
  <c r="AL202" i="2"/>
  <c r="AP203" i="2"/>
  <c r="AO204" i="2"/>
  <c r="AL206" i="2"/>
  <c r="AP207" i="2"/>
  <c r="AO208" i="2"/>
  <c r="AL210" i="2"/>
  <c r="AP211" i="2"/>
  <c r="AO212" i="2"/>
  <c r="AL214" i="2"/>
  <c r="AP215" i="2"/>
  <c r="AO216" i="2"/>
  <c r="AL218" i="2"/>
  <c r="AP219" i="2"/>
  <c r="AO220" i="2"/>
  <c r="AL222" i="2"/>
  <c r="AP223" i="2"/>
  <c r="AO224" i="2"/>
  <c r="AL226" i="2"/>
  <c r="AP227" i="2"/>
  <c r="AO228" i="2"/>
  <c r="AL230" i="2"/>
  <c r="AP231" i="2"/>
  <c r="AO232" i="2"/>
  <c r="AL234" i="2"/>
  <c r="AP235" i="2"/>
  <c r="AO236" i="2"/>
  <c r="AL238" i="2"/>
  <c r="AP239" i="2"/>
  <c r="AO240" i="2"/>
  <c r="AL242" i="2"/>
  <c r="AP243" i="2"/>
  <c r="AO244" i="2"/>
  <c r="AL246" i="2"/>
  <c r="AP247" i="2"/>
  <c r="AO248" i="2"/>
  <c r="AL250" i="2"/>
  <c r="AP251" i="2"/>
  <c r="AO252" i="2"/>
  <c r="AL254" i="2"/>
  <c r="AP255" i="2"/>
  <c r="AO256" i="2"/>
  <c r="AL258" i="2"/>
  <c r="AP259" i="2"/>
  <c r="AO260" i="2"/>
  <c r="AL262" i="2"/>
  <c r="AP263" i="2"/>
  <c r="AO264" i="2"/>
  <c r="AL266" i="2"/>
  <c r="AP267" i="2"/>
  <c r="AO268" i="2"/>
  <c r="AL270" i="2"/>
  <c r="AP271" i="2"/>
  <c r="AO272" i="2"/>
  <c r="AL274" i="2"/>
  <c r="AP275" i="2"/>
  <c r="AO276" i="2"/>
  <c r="AL278" i="2"/>
  <c r="AP279" i="2"/>
  <c r="AO280" i="2"/>
  <c r="AL282" i="2"/>
  <c r="AP283" i="2"/>
  <c r="AO284" i="2"/>
  <c r="AL286" i="2"/>
  <c r="AP287" i="2"/>
  <c r="AO288" i="2"/>
  <c r="AL290" i="2"/>
  <c r="AP291" i="2"/>
  <c r="AO292" i="2"/>
  <c r="AL294" i="2"/>
  <c r="AP295" i="2"/>
  <c r="AO296" i="2"/>
  <c r="AL298" i="2"/>
  <c r="AP299" i="2"/>
  <c r="AO300" i="2"/>
  <c r="AL302" i="2"/>
  <c r="AP303" i="2"/>
  <c r="AO304" i="2"/>
  <c r="AL306" i="2"/>
  <c r="AN291" i="2"/>
  <c r="AM298" i="2"/>
  <c r="AN299" i="2"/>
  <c r="AM302" i="2"/>
  <c r="AN303" i="2"/>
  <c r="AM306" i="2"/>
  <c r="AO203" i="2"/>
  <c r="AP206" i="2"/>
  <c r="AO207" i="2"/>
  <c r="AP210" i="2"/>
  <c r="AO211" i="2"/>
  <c r="AP214" i="2"/>
  <c r="AO215" i="2"/>
  <c r="AP218" i="2"/>
  <c r="AO219" i="2"/>
  <c r="AP222" i="2"/>
  <c r="AO223" i="2"/>
  <c r="AP226" i="2"/>
  <c r="AO227" i="2"/>
  <c r="AP230" i="2"/>
  <c r="AO231" i="2"/>
  <c r="AP234" i="2"/>
  <c r="AO235" i="2"/>
  <c r="AP238" i="2"/>
  <c r="AO239" i="2"/>
  <c r="AP242" i="2"/>
  <c r="AO243" i="2"/>
  <c r="AP246" i="2"/>
  <c r="AO247" i="2"/>
  <c r="AP250" i="2"/>
  <c r="AO251" i="2"/>
  <c r="AP254" i="2"/>
  <c r="AO255" i="2"/>
  <c r="AP258" i="2"/>
  <c r="AO259" i="2"/>
  <c r="AP262" i="2"/>
  <c r="AO263" i="2"/>
  <c r="AP266" i="2"/>
  <c r="AO267" i="2"/>
  <c r="AP270" i="2"/>
  <c r="AO271" i="2"/>
  <c r="AP274" i="2"/>
  <c r="AO275" i="2"/>
  <c r="AP278" i="2"/>
  <c r="AO279" i="2"/>
  <c r="AP282" i="2"/>
  <c r="AO283" i="2"/>
  <c r="AP286" i="2"/>
  <c r="AO287" i="2"/>
  <c r="AQ195" i="2"/>
  <c r="AM197" i="2"/>
  <c r="AN198" i="2"/>
  <c r="AQ199" i="2"/>
  <c r="AM201" i="2"/>
  <c r="AN202" i="2"/>
  <c r="AQ203" i="2"/>
  <c r="AM205" i="2"/>
  <c r="AN206" i="2"/>
  <c r="AQ207" i="2"/>
  <c r="AM209" i="2"/>
  <c r="AN210" i="2"/>
  <c r="AQ211" i="2"/>
  <c r="AM213" i="2"/>
  <c r="AN214" i="2"/>
  <c r="AQ215" i="2"/>
  <c r="AM217" i="2"/>
  <c r="AN218" i="2"/>
  <c r="AQ219" i="2"/>
  <c r="AM221" i="2"/>
  <c r="AN222" i="2"/>
  <c r="AQ223" i="2"/>
  <c r="AM225" i="2"/>
  <c r="AN226" i="2"/>
  <c r="AQ227" i="2"/>
  <c r="AM229" i="2"/>
  <c r="AN230" i="2"/>
  <c r="AQ231" i="2"/>
  <c r="AM233" i="2"/>
  <c r="AN234" i="2"/>
  <c r="AQ235" i="2"/>
  <c r="AM237" i="2"/>
  <c r="AN238" i="2"/>
  <c r="AQ239" i="2"/>
  <c r="AM241" i="2"/>
  <c r="AN242" i="2"/>
  <c r="AQ243" i="2"/>
  <c r="AM245" i="2"/>
  <c r="AN246" i="2"/>
  <c r="AQ247" i="2"/>
  <c r="AM249" i="2"/>
  <c r="AN250" i="2"/>
  <c r="AQ251" i="2"/>
  <c r="AM253" i="2"/>
  <c r="AN254" i="2"/>
  <c r="AQ255" i="2"/>
  <c r="AM257" i="2"/>
  <c r="AN258" i="2"/>
  <c r="AQ259" i="2"/>
  <c r="AM261" i="2"/>
  <c r="AN262" i="2"/>
  <c r="AQ263" i="2"/>
  <c r="AM265" i="2"/>
  <c r="AN266" i="2"/>
  <c r="AQ267" i="2"/>
  <c r="AM269" i="2"/>
  <c r="AN270" i="2"/>
  <c r="AQ271" i="2"/>
  <c r="AM273" i="2"/>
  <c r="AN274" i="2"/>
  <c r="AQ275" i="2"/>
  <c r="AM277" i="2"/>
  <c r="AN278" i="2"/>
  <c r="AQ279" i="2"/>
  <c r="AM281" i="2"/>
  <c r="AN282" i="2"/>
  <c r="AQ283" i="2"/>
  <c r="AM285" i="2"/>
  <c r="AN286" i="2"/>
  <c r="AQ287" i="2"/>
  <c r="AM289" i="2"/>
  <c r="AN290" i="2"/>
  <c r="AQ291" i="2"/>
  <c r="AM293" i="2"/>
  <c r="AN294" i="2"/>
  <c r="AQ295" i="2"/>
  <c r="AM297" i="2"/>
  <c r="AN298" i="2"/>
  <c r="AQ299" i="2"/>
  <c r="AM301" i="2"/>
  <c r="AN302" i="2"/>
  <c r="AQ303" i="2"/>
  <c r="AM305" i="2"/>
  <c r="AN306" i="2"/>
  <c r="AL204" i="2"/>
  <c r="AP205" i="2"/>
  <c r="AL208" i="2"/>
  <c r="AP209" i="2"/>
  <c r="AL212" i="2"/>
  <c r="AP213" i="2"/>
  <c r="AL216" i="2"/>
  <c r="AP217" i="2"/>
  <c r="AL220" i="2"/>
  <c r="AP221" i="2"/>
  <c r="AL224" i="2"/>
  <c r="AP225" i="2"/>
  <c r="AL228" i="2"/>
  <c r="AP229" i="2"/>
  <c r="AL232" i="2"/>
  <c r="AP233" i="2"/>
  <c r="AL236" i="2"/>
  <c r="AP237" i="2"/>
  <c r="AL240" i="2"/>
  <c r="AP241" i="2"/>
  <c r="AL244" i="2"/>
  <c r="AP245" i="2"/>
  <c r="AL248" i="2"/>
  <c r="AP249" i="2"/>
  <c r="AL252" i="2"/>
  <c r="AP253" i="2"/>
  <c r="AL256" i="2"/>
  <c r="AP257" i="2"/>
  <c r="AL260" i="2"/>
  <c r="AP261" i="2"/>
  <c r="AL264" i="2"/>
  <c r="AP265" i="2"/>
  <c r="AL268" i="2"/>
  <c r="AP269" i="2"/>
  <c r="AL272" i="2"/>
  <c r="AP273" i="2"/>
  <c r="AL276" i="2"/>
  <c r="AP277" i="2"/>
  <c r="AL280" i="2"/>
  <c r="AP281" i="2"/>
  <c r="AL284" i="2"/>
  <c r="AL288" i="2"/>
  <c r="AL292" i="2"/>
  <c r="AL296" i="2"/>
  <c r="AL300" i="2"/>
  <c r="AL304" i="2"/>
  <c r="AM196" i="2"/>
  <c r="AN197" i="2"/>
  <c r="AQ198" i="2"/>
  <c r="AM200" i="2"/>
  <c r="AN201" i="2"/>
  <c r="AQ202" i="2"/>
  <c r="AM204" i="2"/>
  <c r="AN205" i="2"/>
  <c r="AQ206" i="2"/>
  <c r="AM208" i="2"/>
  <c r="AN209" i="2"/>
  <c r="AQ210" i="2"/>
  <c r="AM212" i="2"/>
  <c r="AN213" i="2"/>
  <c r="AQ214" i="2"/>
  <c r="AM216" i="2"/>
  <c r="AN217" i="2"/>
  <c r="AQ218" i="2"/>
  <c r="AM220" i="2"/>
  <c r="AN221" i="2"/>
  <c r="AQ222" i="2"/>
  <c r="AM224" i="2"/>
  <c r="AN225" i="2"/>
  <c r="AQ226" i="2"/>
  <c r="AM228" i="2"/>
  <c r="AN229" i="2"/>
  <c r="AQ230" i="2"/>
  <c r="AM232" i="2"/>
  <c r="AN233" i="2"/>
  <c r="AQ234" i="2"/>
  <c r="AM236" i="2"/>
  <c r="AN237" i="2"/>
  <c r="AQ238" i="2"/>
  <c r="AM240" i="2"/>
  <c r="AN241" i="2"/>
  <c r="AQ242" i="2"/>
  <c r="AM244" i="2"/>
  <c r="AN245" i="2"/>
  <c r="AQ246" i="2"/>
  <c r="AM248" i="2"/>
  <c r="AN249" i="2"/>
  <c r="AQ250" i="2"/>
  <c r="AM252" i="2"/>
  <c r="AN253" i="2"/>
  <c r="AQ254" i="2"/>
  <c r="AM256" i="2"/>
  <c r="AN257" i="2"/>
  <c r="AQ258" i="2"/>
  <c r="AM260" i="2"/>
  <c r="AN261" i="2"/>
  <c r="AQ262" i="2"/>
  <c r="AM264" i="2"/>
  <c r="AN265" i="2"/>
  <c r="AQ266" i="2"/>
  <c r="AM268" i="2"/>
  <c r="AN269" i="2"/>
  <c r="AQ270" i="2"/>
  <c r="AM272" i="2"/>
  <c r="AN273" i="2"/>
  <c r="AQ274" i="2"/>
  <c r="AM276" i="2"/>
  <c r="AN277" i="2"/>
  <c r="AQ278" i="2"/>
  <c r="AM280" i="2"/>
  <c r="AN281" i="2"/>
  <c r="AQ282" i="2"/>
  <c r="AM284" i="2"/>
  <c r="AN285" i="2"/>
  <c r="AQ286" i="2"/>
  <c r="AM288" i="2"/>
  <c r="AN289" i="2"/>
  <c r="AQ290" i="2"/>
  <c r="AM292" i="2"/>
  <c r="AN293" i="2"/>
  <c r="AQ294" i="2"/>
  <c r="AM296" i="2"/>
  <c r="AN297" i="2"/>
  <c r="AQ298" i="2"/>
  <c r="AM300" i="2"/>
  <c r="AN301" i="2"/>
  <c r="AQ302" i="2"/>
  <c r="AM304" i="2"/>
  <c r="AN305" i="2"/>
  <c r="AQ306" i="2"/>
  <c r="Q242" i="1"/>
  <c r="Q241" i="1"/>
  <c r="Q240" i="1"/>
  <c r="Q239" i="1"/>
  <c r="Q238" i="1"/>
  <c r="Q237" i="1"/>
  <c r="Q236" i="1"/>
  <c r="Q235" i="1"/>
  <c r="Q234" i="1"/>
  <c r="Q233" i="1"/>
  <c r="Q232" i="1"/>
  <c r="Q231" i="1"/>
  <c r="Q230" i="1"/>
  <c r="Q229" i="1"/>
  <c r="Q228" i="1"/>
  <c r="Q227" i="1"/>
  <c r="Q226" i="1"/>
  <c r="Q225" i="1"/>
  <c r="Q224" i="1"/>
  <c r="Q223" i="1"/>
  <c r="Q222" i="1"/>
  <c r="Q221" i="1"/>
  <c r="Q220" i="1"/>
  <c r="Q219" i="1"/>
  <c r="Q218" i="1"/>
  <c r="Q217" i="1"/>
  <c r="Q216" i="1"/>
  <c r="Q215" i="1"/>
  <c r="Q214" i="1"/>
  <c r="Q213" i="1"/>
  <c r="Q212" i="1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CD17" i="2" l="1"/>
  <c r="CE17" i="2" s="1"/>
  <c r="CD16" i="2"/>
  <c r="CE16" i="2" s="1"/>
  <c r="CD15" i="2"/>
  <c r="CE15" i="2" s="1"/>
  <c r="CD14" i="2"/>
  <c r="CE14" i="2" s="1"/>
  <c r="CD13" i="2"/>
  <c r="CE13" i="2" s="1"/>
  <c r="CD12" i="2"/>
  <c r="CE12" i="2" s="1"/>
  <c r="CD11" i="2"/>
  <c r="CE11" i="2" s="1"/>
  <c r="CD10" i="2"/>
  <c r="CE10" i="2" s="1"/>
  <c r="CD9" i="2"/>
  <c r="CE9" i="2" s="1"/>
  <c r="CD8" i="2"/>
  <c r="CE3" i="2"/>
  <c r="CE7" i="2" s="1"/>
  <c r="BK9" i="2" l="1"/>
  <c r="BJ9" i="2"/>
  <c r="BK8" i="2"/>
  <c r="BJ8" i="2"/>
  <c r="BK7" i="2"/>
  <c r="BJ7" i="2"/>
  <c r="BN14" i="2"/>
  <c r="BN17" i="2" s="1"/>
  <c r="BN13" i="2"/>
  <c r="BN16" i="2" s="1"/>
  <c r="BN12" i="2"/>
  <c r="BN15" i="2" s="1"/>
  <c r="BL17" i="2" l="1"/>
  <c r="BL16" i="2"/>
  <c r="BL14" i="2"/>
  <c r="BL13" i="2"/>
  <c r="BL15" i="2"/>
  <c r="BL12" i="2"/>
  <c r="BW9" i="2"/>
  <c r="BX5" i="2"/>
  <c r="BX9" i="2" s="1"/>
  <c r="BW11" i="2"/>
  <c r="BW13" i="2"/>
  <c r="BW15" i="2"/>
  <c r="BW17" i="2"/>
  <c r="BW19" i="2"/>
  <c r="BW21" i="2"/>
  <c r="BW23" i="2"/>
  <c r="BW25" i="2"/>
  <c r="BW27" i="2"/>
  <c r="BW29" i="2"/>
  <c r="BW31" i="2"/>
  <c r="BW33" i="2"/>
  <c r="BW35" i="2"/>
  <c r="BW37" i="2"/>
  <c r="BW39" i="2"/>
  <c r="BW41" i="2"/>
  <c r="BW43" i="2"/>
  <c r="BW45" i="2"/>
  <c r="BW47" i="2"/>
  <c r="BW49" i="2"/>
  <c r="BW51" i="2"/>
  <c r="BW53" i="2"/>
  <c r="BW55" i="2"/>
  <c r="BW57" i="2"/>
  <c r="BW59" i="2"/>
  <c r="BW61" i="2"/>
  <c r="BW63" i="2"/>
  <c r="BW65" i="2"/>
  <c r="BW67" i="2"/>
  <c r="BW69" i="2"/>
  <c r="BW71" i="2"/>
  <c r="BW73" i="2"/>
  <c r="BW75" i="2"/>
  <c r="BW77" i="2"/>
  <c r="BW79" i="2"/>
  <c r="BW81" i="2"/>
  <c r="BW83" i="2"/>
  <c r="BW85" i="2"/>
  <c r="BW87" i="2"/>
  <c r="BW89" i="2"/>
  <c r="BW91" i="2"/>
  <c r="BW93" i="2"/>
  <c r="BW95" i="2"/>
  <c r="BW97" i="2"/>
  <c r="BW99" i="2"/>
  <c r="BW101" i="2"/>
  <c r="BW103" i="2"/>
  <c r="BW105" i="2"/>
  <c r="BW107" i="2"/>
  <c r="BW109" i="2"/>
  <c r="BW111" i="2"/>
  <c r="BW113" i="2"/>
  <c r="BW115" i="2"/>
  <c r="BW117" i="2"/>
  <c r="BW119" i="2"/>
  <c r="BW121" i="2"/>
  <c r="BW123" i="2"/>
  <c r="BW125" i="2"/>
  <c r="BW127" i="2"/>
  <c r="BW129" i="2"/>
  <c r="BW131" i="2"/>
  <c r="BW133" i="2"/>
  <c r="BW135" i="2"/>
  <c r="BW137" i="2"/>
  <c r="BW139" i="2"/>
  <c r="BW141" i="2"/>
  <c r="BW143" i="2"/>
  <c r="BW145" i="2"/>
  <c r="BW147" i="2"/>
  <c r="BW149" i="2"/>
  <c r="BW151" i="2"/>
  <c r="BW153" i="2"/>
  <c r="BW155" i="2"/>
  <c r="BW157" i="2"/>
  <c r="BW159" i="2"/>
  <c r="BW161" i="2"/>
  <c r="BW163" i="2"/>
  <c r="BW165" i="2"/>
  <c r="BW167" i="2"/>
  <c r="BW169" i="2"/>
  <c r="BW171" i="2"/>
  <c r="BW173" i="2"/>
  <c r="BW175" i="2"/>
  <c r="BW177" i="2"/>
  <c r="BW179" i="2"/>
  <c r="BW181" i="2"/>
  <c r="BW183" i="2"/>
  <c r="BW185" i="2"/>
  <c r="BW187" i="2"/>
  <c r="BW189" i="2"/>
  <c r="BW191" i="2"/>
  <c r="BW193" i="2"/>
  <c r="BW195" i="2"/>
  <c r="BW197" i="2"/>
  <c r="BW199" i="2"/>
  <c r="BW201" i="2"/>
  <c r="BW203" i="2"/>
  <c r="BW205" i="2"/>
  <c r="BW207" i="2"/>
  <c r="BW7" i="2"/>
  <c r="BV7" i="2"/>
  <c r="BU7" i="2" s="1"/>
  <c r="R14" i="1"/>
  <c r="R2" i="1" s="1"/>
  <c r="R5" i="1" s="1"/>
  <c r="S14" i="1"/>
  <c r="S2" i="1" s="1"/>
  <c r="T14" i="1"/>
  <c r="T2" i="1" s="1"/>
  <c r="U14" i="1"/>
  <c r="U2" i="1" s="1"/>
  <c r="U4" i="1" s="1"/>
  <c r="U20" i="1" s="1"/>
  <c r="V14" i="1"/>
  <c r="V2" i="1" s="1"/>
  <c r="V5" i="1" s="1"/>
  <c r="V10" i="1" s="1"/>
  <c r="I10" i="1" s="1"/>
  <c r="W14" i="1"/>
  <c r="W2" i="1" s="1"/>
  <c r="X14" i="1"/>
  <c r="X2" i="1" s="1"/>
  <c r="X5" i="1" s="1"/>
  <c r="X10" i="1" s="1"/>
  <c r="K10" i="1" s="1"/>
  <c r="Y14" i="1"/>
  <c r="Y2" i="1" s="1"/>
  <c r="Y4" i="1" s="1"/>
  <c r="Y103" i="1" s="1"/>
  <c r="Z14" i="1"/>
  <c r="Z2" i="1" s="1"/>
  <c r="Z5" i="1" s="1"/>
  <c r="Z10" i="1" s="1"/>
  <c r="M10" i="1" s="1"/>
  <c r="AA14" i="1"/>
  <c r="AA2" i="1" s="1"/>
  <c r="AA4" i="1" s="1"/>
  <c r="E3" i="1"/>
  <c r="E1" i="1"/>
  <c r="CE8" i="2" s="1"/>
  <c r="N1" i="1"/>
  <c r="M1" i="1"/>
  <c r="L1" i="1"/>
  <c r="K1" i="1"/>
  <c r="J1" i="1"/>
  <c r="I1" i="1"/>
  <c r="H1" i="1"/>
  <c r="G1" i="1"/>
  <c r="F1" i="1"/>
  <c r="Y6" i="2"/>
  <c r="Y5" i="2"/>
  <c r="E2" i="1" s="1"/>
  <c r="BH6" i="2"/>
  <c r="BG6" i="2"/>
  <c r="BF6" i="2"/>
  <c r="BE6" i="2"/>
  <c r="BD6" i="2"/>
  <c r="BC6" i="2"/>
  <c r="BB6" i="2"/>
  <c r="BA6" i="2"/>
  <c r="AZ6" i="2"/>
  <c r="AY6" i="2"/>
  <c r="AX6" i="2"/>
  <c r="AW6" i="2"/>
  <c r="Q49" i="2"/>
  <c r="O184" i="2"/>
  <c r="O181" i="2"/>
  <c r="O178" i="2"/>
  <c r="O175" i="2"/>
  <c r="O172" i="2"/>
  <c r="O169" i="2"/>
  <c r="O166" i="2"/>
  <c r="O163" i="2"/>
  <c r="O160" i="2"/>
  <c r="O157" i="2"/>
  <c r="O124" i="2"/>
  <c r="O121" i="2"/>
  <c r="O118" i="2"/>
  <c r="O115" i="2"/>
  <c r="O112" i="2"/>
  <c r="O109" i="2"/>
  <c r="O106" i="2"/>
  <c r="O103" i="2"/>
  <c r="O100" i="2"/>
  <c r="O97" i="2"/>
  <c r="R4" i="2"/>
  <c r="Q27" i="2" s="1"/>
  <c r="Q60" i="2" s="1"/>
  <c r="N5" i="2"/>
  <c r="T83" i="2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71" i="2"/>
  <c r="T60" i="2"/>
  <c r="T58" i="2"/>
  <c r="T57" i="2"/>
  <c r="T56" i="2"/>
  <c r="T55" i="2"/>
  <c r="T54" i="2"/>
  <c r="T53" i="2"/>
  <c r="T52" i="2"/>
  <c r="T51" i="2"/>
  <c r="T50" i="2"/>
  <c r="T49" i="2"/>
  <c r="T39" i="2"/>
  <c r="T40" i="2" s="1"/>
  <c r="T28" i="2"/>
  <c r="T61" i="2" s="1"/>
  <c r="S27" i="2"/>
  <c r="S49" i="2"/>
  <c r="S71" i="2"/>
  <c r="S16" i="2"/>
  <c r="S38" i="2" s="1"/>
  <c r="S60" i="2" s="1"/>
  <c r="Q8" i="2"/>
  <c r="N67" i="2"/>
  <c r="N70" i="2" s="1"/>
  <c r="Q17" i="2"/>
  <c r="S28" i="2" s="1"/>
  <c r="S50" i="2" s="1"/>
  <c r="S72" i="2" s="1"/>
  <c r="N7" i="2"/>
  <c r="S82" i="2"/>
  <c r="S104" i="2" s="1"/>
  <c r="N97" i="2"/>
  <c r="N10" i="2"/>
  <c r="N13" i="2" s="1"/>
  <c r="N157" i="2"/>
  <c r="N8" i="2"/>
  <c r="N98" i="2" s="1"/>
  <c r="N217" i="2" s="1"/>
  <c r="P242" i="1"/>
  <c r="P241" i="1"/>
  <c r="P240" i="1"/>
  <c r="P239" i="1"/>
  <c r="P238" i="1"/>
  <c r="P237" i="1"/>
  <c r="P236" i="1"/>
  <c r="P235" i="1"/>
  <c r="P234" i="1"/>
  <c r="P233" i="1"/>
  <c r="P232" i="1"/>
  <c r="P231" i="1"/>
  <c r="P230" i="1"/>
  <c r="P229" i="1"/>
  <c r="P228" i="1"/>
  <c r="P227" i="1"/>
  <c r="P226" i="1"/>
  <c r="P225" i="1"/>
  <c r="P224" i="1"/>
  <c r="P223" i="1"/>
  <c r="P222" i="1"/>
  <c r="P221" i="1"/>
  <c r="P220" i="1"/>
  <c r="P219" i="1"/>
  <c r="P218" i="1"/>
  <c r="P217" i="1"/>
  <c r="P216" i="1"/>
  <c r="P215" i="1"/>
  <c r="P214" i="1"/>
  <c r="P213" i="1"/>
  <c r="P212" i="1"/>
  <c r="P211" i="1"/>
  <c r="P210" i="1"/>
  <c r="P209" i="1"/>
  <c r="P208" i="1"/>
  <c r="P207" i="1"/>
  <c r="P206" i="1"/>
  <c r="P205" i="1"/>
  <c r="P204" i="1"/>
  <c r="P203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90" i="1"/>
  <c r="P189" i="1"/>
  <c r="P188" i="1"/>
  <c r="P187" i="1"/>
  <c r="P186" i="1"/>
  <c r="P185" i="1"/>
  <c r="P184" i="1"/>
  <c r="P183" i="1"/>
  <c r="P182" i="1"/>
  <c r="P181" i="1"/>
  <c r="P180" i="1"/>
  <c r="P179" i="1"/>
  <c r="P178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65" i="1"/>
  <c r="P164" i="1"/>
  <c r="P163" i="1"/>
  <c r="P162" i="1"/>
  <c r="P161" i="1"/>
  <c r="P160" i="1"/>
  <c r="P159" i="1"/>
  <c r="P158" i="1"/>
  <c r="P157" i="1"/>
  <c r="P156" i="1"/>
  <c r="P155" i="1"/>
  <c r="P154" i="1"/>
  <c r="P153" i="1"/>
  <c r="P152" i="1"/>
  <c r="P151" i="1"/>
  <c r="P150" i="1"/>
  <c r="P149" i="1"/>
  <c r="P148" i="1"/>
  <c r="P147" i="1"/>
  <c r="P146" i="1"/>
  <c r="P145" i="1"/>
  <c r="P144" i="1"/>
  <c r="P143" i="1"/>
  <c r="P142" i="1"/>
  <c r="P141" i="1"/>
  <c r="P140" i="1"/>
  <c r="P139" i="1"/>
  <c r="P138" i="1"/>
  <c r="P137" i="1"/>
  <c r="P136" i="1"/>
  <c r="P135" i="1"/>
  <c r="P134" i="1"/>
  <c r="P133" i="1"/>
  <c r="P132" i="1"/>
  <c r="P131" i="1"/>
  <c r="P130" i="1"/>
  <c r="P129" i="1"/>
  <c r="P128" i="1"/>
  <c r="P127" i="1"/>
  <c r="P126" i="1"/>
  <c r="P125" i="1"/>
  <c r="P124" i="1"/>
  <c r="P123" i="1"/>
  <c r="P122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AM6" i="2"/>
  <c r="AL6" i="2"/>
  <c r="D13" i="1"/>
  <c r="AT866" i="2" s="1"/>
  <c r="AV866" i="2" s="1"/>
  <c r="L17" i="2"/>
  <c r="K15" i="2"/>
  <c r="K14" i="2"/>
  <c r="K13" i="2"/>
  <c r="K12" i="2"/>
  <c r="AA15" i="1"/>
  <c r="AA242" i="1"/>
  <c r="Z242" i="1"/>
  <c r="Y242" i="1"/>
  <c r="X242" i="1"/>
  <c r="W242" i="1"/>
  <c r="V242" i="1"/>
  <c r="U242" i="1"/>
  <c r="T242" i="1"/>
  <c r="S242" i="1"/>
  <c r="R242" i="1"/>
  <c r="AA241" i="1"/>
  <c r="Z241" i="1"/>
  <c r="Y241" i="1"/>
  <c r="X241" i="1"/>
  <c r="W241" i="1"/>
  <c r="V241" i="1"/>
  <c r="U241" i="1"/>
  <c r="T241" i="1"/>
  <c r="S241" i="1"/>
  <c r="R241" i="1"/>
  <c r="AA240" i="1"/>
  <c r="Z240" i="1"/>
  <c r="Y240" i="1"/>
  <c r="X240" i="1"/>
  <c r="W240" i="1"/>
  <c r="V240" i="1"/>
  <c r="U240" i="1"/>
  <c r="T240" i="1"/>
  <c r="S240" i="1"/>
  <c r="R240" i="1"/>
  <c r="AA239" i="1"/>
  <c r="Z239" i="1"/>
  <c r="Y239" i="1"/>
  <c r="X239" i="1"/>
  <c r="W239" i="1"/>
  <c r="V239" i="1"/>
  <c r="U239" i="1"/>
  <c r="T239" i="1"/>
  <c r="S239" i="1"/>
  <c r="R239" i="1"/>
  <c r="AA238" i="1"/>
  <c r="Z238" i="1"/>
  <c r="Y238" i="1"/>
  <c r="X238" i="1"/>
  <c r="W238" i="1"/>
  <c r="V238" i="1"/>
  <c r="U238" i="1"/>
  <c r="T238" i="1"/>
  <c r="S238" i="1"/>
  <c r="R238" i="1"/>
  <c r="AA237" i="1"/>
  <c r="Z237" i="1"/>
  <c r="Y237" i="1"/>
  <c r="X237" i="1"/>
  <c r="W237" i="1"/>
  <c r="V237" i="1"/>
  <c r="U237" i="1"/>
  <c r="T237" i="1"/>
  <c r="S237" i="1"/>
  <c r="R237" i="1"/>
  <c r="AA236" i="1"/>
  <c r="Z236" i="1"/>
  <c r="Y236" i="1"/>
  <c r="X236" i="1"/>
  <c r="W236" i="1"/>
  <c r="V236" i="1"/>
  <c r="U236" i="1"/>
  <c r="T236" i="1"/>
  <c r="S236" i="1"/>
  <c r="R236" i="1"/>
  <c r="AA235" i="1"/>
  <c r="Z235" i="1"/>
  <c r="Y235" i="1"/>
  <c r="X235" i="1"/>
  <c r="W235" i="1"/>
  <c r="V235" i="1"/>
  <c r="U235" i="1"/>
  <c r="T235" i="1"/>
  <c r="S235" i="1"/>
  <c r="R235" i="1"/>
  <c r="AA234" i="1"/>
  <c r="Z234" i="1"/>
  <c r="Y234" i="1"/>
  <c r="X234" i="1"/>
  <c r="W234" i="1"/>
  <c r="V234" i="1"/>
  <c r="U234" i="1"/>
  <c r="T234" i="1"/>
  <c r="S234" i="1"/>
  <c r="R234" i="1"/>
  <c r="AA233" i="1"/>
  <c r="Z233" i="1"/>
  <c r="Y233" i="1"/>
  <c r="X233" i="1"/>
  <c r="W233" i="1"/>
  <c r="V233" i="1"/>
  <c r="U233" i="1"/>
  <c r="T233" i="1"/>
  <c r="S233" i="1"/>
  <c r="R233" i="1"/>
  <c r="AA232" i="1"/>
  <c r="Z232" i="1"/>
  <c r="Y232" i="1"/>
  <c r="X232" i="1"/>
  <c r="W232" i="1"/>
  <c r="V232" i="1"/>
  <c r="U232" i="1"/>
  <c r="T232" i="1"/>
  <c r="S232" i="1"/>
  <c r="R232" i="1"/>
  <c r="AA231" i="1"/>
  <c r="Z231" i="1"/>
  <c r="Y231" i="1"/>
  <c r="X231" i="1"/>
  <c r="W231" i="1"/>
  <c r="V231" i="1"/>
  <c r="U231" i="1"/>
  <c r="T231" i="1"/>
  <c r="S231" i="1"/>
  <c r="R231" i="1"/>
  <c r="AA230" i="1"/>
  <c r="Z230" i="1"/>
  <c r="Y230" i="1"/>
  <c r="X230" i="1"/>
  <c r="W230" i="1"/>
  <c r="V230" i="1"/>
  <c r="U230" i="1"/>
  <c r="T230" i="1"/>
  <c r="S230" i="1"/>
  <c r="R230" i="1"/>
  <c r="AA229" i="1"/>
  <c r="Z229" i="1"/>
  <c r="Y229" i="1"/>
  <c r="X229" i="1"/>
  <c r="W229" i="1"/>
  <c r="V229" i="1"/>
  <c r="U229" i="1"/>
  <c r="T229" i="1"/>
  <c r="S229" i="1"/>
  <c r="R229" i="1"/>
  <c r="AA228" i="1"/>
  <c r="Z228" i="1"/>
  <c r="Y228" i="1"/>
  <c r="X228" i="1"/>
  <c r="W228" i="1"/>
  <c r="V228" i="1"/>
  <c r="U228" i="1"/>
  <c r="T228" i="1"/>
  <c r="S228" i="1"/>
  <c r="R228" i="1"/>
  <c r="AA227" i="1"/>
  <c r="Z227" i="1"/>
  <c r="Y227" i="1"/>
  <c r="X227" i="1"/>
  <c r="W227" i="1"/>
  <c r="V227" i="1"/>
  <c r="U227" i="1"/>
  <c r="T227" i="1"/>
  <c r="S227" i="1"/>
  <c r="R227" i="1"/>
  <c r="AA226" i="1"/>
  <c r="Z226" i="1"/>
  <c r="Y226" i="1"/>
  <c r="X226" i="1"/>
  <c r="W226" i="1"/>
  <c r="V226" i="1"/>
  <c r="U226" i="1"/>
  <c r="T226" i="1"/>
  <c r="S226" i="1"/>
  <c r="R226" i="1"/>
  <c r="AA225" i="1"/>
  <c r="Z225" i="1"/>
  <c r="Y225" i="1"/>
  <c r="X225" i="1"/>
  <c r="W225" i="1"/>
  <c r="V225" i="1"/>
  <c r="U225" i="1"/>
  <c r="T225" i="1"/>
  <c r="S225" i="1"/>
  <c r="R225" i="1"/>
  <c r="AA224" i="1"/>
  <c r="Z224" i="1"/>
  <c r="Y224" i="1"/>
  <c r="X224" i="1"/>
  <c r="W224" i="1"/>
  <c r="V224" i="1"/>
  <c r="U224" i="1"/>
  <c r="T224" i="1"/>
  <c r="S224" i="1"/>
  <c r="R224" i="1"/>
  <c r="AA223" i="1"/>
  <c r="Z223" i="1"/>
  <c r="Y223" i="1"/>
  <c r="X223" i="1"/>
  <c r="W223" i="1"/>
  <c r="V223" i="1"/>
  <c r="U223" i="1"/>
  <c r="T223" i="1"/>
  <c r="S223" i="1"/>
  <c r="R223" i="1"/>
  <c r="AA222" i="1"/>
  <c r="Z222" i="1"/>
  <c r="Y222" i="1"/>
  <c r="X222" i="1"/>
  <c r="W222" i="1"/>
  <c r="V222" i="1"/>
  <c r="U222" i="1"/>
  <c r="T222" i="1"/>
  <c r="S222" i="1"/>
  <c r="R222" i="1"/>
  <c r="AA221" i="1"/>
  <c r="Z221" i="1"/>
  <c r="Y221" i="1"/>
  <c r="X221" i="1"/>
  <c r="W221" i="1"/>
  <c r="V221" i="1"/>
  <c r="U221" i="1"/>
  <c r="T221" i="1"/>
  <c r="S221" i="1"/>
  <c r="R221" i="1"/>
  <c r="AA220" i="1"/>
  <c r="Z220" i="1"/>
  <c r="Y220" i="1"/>
  <c r="X220" i="1"/>
  <c r="W220" i="1"/>
  <c r="V220" i="1"/>
  <c r="U220" i="1"/>
  <c r="T220" i="1"/>
  <c r="S220" i="1"/>
  <c r="R220" i="1"/>
  <c r="AA219" i="1"/>
  <c r="Z219" i="1"/>
  <c r="Y219" i="1"/>
  <c r="X219" i="1"/>
  <c r="W219" i="1"/>
  <c r="V219" i="1"/>
  <c r="U219" i="1"/>
  <c r="T219" i="1"/>
  <c r="S219" i="1"/>
  <c r="R219" i="1"/>
  <c r="AA218" i="1"/>
  <c r="Z218" i="1"/>
  <c r="Y218" i="1"/>
  <c r="X218" i="1"/>
  <c r="W218" i="1"/>
  <c r="V218" i="1"/>
  <c r="U218" i="1"/>
  <c r="T218" i="1"/>
  <c r="S218" i="1"/>
  <c r="R218" i="1"/>
  <c r="AA217" i="1"/>
  <c r="Z217" i="1"/>
  <c r="Y217" i="1"/>
  <c r="X217" i="1"/>
  <c r="W217" i="1"/>
  <c r="V217" i="1"/>
  <c r="U217" i="1"/>
  <c r="T217" i="1"/>
  <c r="S217" i="1"/>
  <c r="R217" i="1"/>
  <c r="AA216" i="1"/>
  <c r="Z216" i="1"/>
  <c r="Y216" i="1"/>
  <c r="X216" i="1"/>
  <c r="W216" i="1"/>
  <c r="V216" i="1"/>
  <c r="U216" i="1"/>
  <c r="T216" i="1"/>
  <c r="S216" i="1"/>
  <c r="R216" i="1"/>
  <c r="AA215" i="1"/>
  <c r="Z215" i="1"/>
  <c r="Y215" i="1"/>
  <c r="X215" i="1"/>
  <c r="W215" i="1"/>
  <c r="V215" i="1"/>
  <c r="U215" i="1"/>
  <c r="T215" i="1"/>
  <c r="S215" i="1"/>
  <c r="R215" i="1"/>
  <c r="AA214" i="1"/>
  <c r="Z214" i="1"/>
  <c r="Y214" i="1"/>
  <c r="X214" i="1"/>
  <c r="W214" i="1"/>
  <c r="V214" i="1"/>
  <c r="U214" i="1"/>
  <c r="T214" i="1"/>
  <c r="S214" i="1"/>
  <c r="R214" i="1"/>
  <c r="AA213" i="1"/>
  <c r="Z213" i="1"/>
  <c r="Y213" i="1"/>
  <c r="X213" i="1"/>
  <c r="W213" i="1"/>
  <c r="V213" i="1"/>
  <c r="U213" i="1"/>
  <c r="T213" i="1"/>
  <c r="S213" i="1"/>
  <c r="R213" i="1"/>
  <c r="AA212" i="1"/>
  <c r="Z212" i="1"/>
  <c r="Y212" i="1"/>
  <c r="X212" i="1"/>
  <c r="W212" i="1"/>
  <c r="V212" i="1"/>
  <c r="U212" i="1"/>
  <c r="T212" i="1"/>
  <c r="S212" i="1"/>
  <c r="R212" i="1"/>
  <c r="AA211" i="1"/>
  <c r="Z211" i="1"/>
  <c r="Y211" i="1"/>
  <c r="X211" i="1"/>
  <c r="W211" i="1"/>
  <c r="V211" i="1"/>
  <c r="U211" i="1"/>
  <c r="T211" i="1"/>
  <c r="S211" i="1"/>
  <c r="R211" i="1"/>
  <c r="AA210" i="1"/>
  <c r="Z210" i="1"/>
  <c r="Y210" i="1"/>
  <c r="X210" i="1"/>
  <c r="W210" i="1"/>
  <c r="V210" i="1"/>
  <c r="U210" i="1"/>
  <c r="T210" i="1"/>
  <c r="S210" i="1"/>
  <c r="R210" i="1"/>
  <c r="AA209" i="1"/>
  <c r="Z209" i="1"/>
  <c r="Y209" i="1"/>
  <c r="X209" i="1"/>
  <c r="W209" i="1"/>
  <c r="V209" i="1"/>
  <c r="U209" i="1"/>
  <c r="T209" i="1"/>
  <c r="S209" i="1"/>
  <c r="R209" i="1"/>
  <c r="AA208" i="1"/>
  <c r="Z208" i="1"/>
  <c r="Y208" i="1"/>
  <c r="X208" i="1"/>
  <c r="W208" i="1"/>
  <c r="V208" i="1"/>
  <c r="U208" i="1"/>
  <c r="T208" i="1"/>
  <c r="S208" i="1"/>
  <c r="R208" i="1"/>
  <c r="AA207" i="1"/>
  <c r="Z207" i="1"/>
  <c r="Y207" i="1"/>
  <c r="X207" i="1"/>
  <c r="W207" i="1"/>
  <c r="V207" i="1"/>
  <c r="U207" i="1"/>
  <c r="T207" i="1"/>
  <c r="S207" i="1"/>
  <c r="R207" i="1"/>
  <c r="AA206" i="1"/>
  <c r="Z206" i="1"/>
  <c r="Y206" i="1"/>
  <c r="X206" i="1"/>
  <c r="W206" i="1"/>
  <c r="V206" i="1"/>
  <c r="U206" i="1"/>
  <c r="T206" i="1"/>
  <c r="S206" i="1"/>
  <c r="R206" i="1"/>
  <c r="AA205" i="1"/>
  <c r="Z205" i="1"/>
  <c r="Y205" i="1"/>
  <c r="X205" i="1"/>
  <c r="W205" i="1"/>
  <c r="V205" i="1"/>
  <c r="U205" i="1"/>
  <c r="T205" i="1"/>
  <c r="S205" i="1"/>
  <c r="R205" i="1"/>
  <c r="AA204" i="1"/>
  <c r="Z204" i="1"/>
  <c r="Y204" i="1"/>
  <c r="X204" i="1"/>
  <c r="W204" i="1"/>
  <c r="V204" i="1"/>
  <c r="U204" i="1"/>
  <c r="T204" i="1"/>
  <c r="S204" i="1"/>
  <c r="R204" i="1"/>
  <c r="AA203" i="1"/>
  <c r="Z203" i="1"/>
  <c r="Y203" i="1"/>
  <c r="X203" i="1"/>
  <c r="W203" i="1"/>
  <c r="V203" i="1"/>
  <c r="U203" i="1"/>
  <c r="T203" i="1"/>
  <c r="S203" i="1"/>
  <c r="R203" i="1"/>
  <c r="AA202" i="1"/>
  <c r="Z202" i="1"/>
  <c r="Y202" i="1"/>
  <c r="X202" i="1"/>
  <c r="W202" i="1"/>
  <c r="V202" i="1"/>
  <c r="U202" i="1"/>
  <c r="T202" i="1"/>
  <c r="S202" i="1"/>
  <c r="R202" i="1"/>
  <c r="AA201" i="1"/>
  <c r="Z201" i="1"/>
  <c r="Y201" i="1"/>
  <c r="X201" i="1"/>
  <c r="W201" i="1"/>
  <c r="V201" i="1"/>
  <c r="U201" i="1"/>
  <c r="T201" i="1"/>
  <c r="S201" i="1"/>
  <c r="R201" i="1"/>
  <c r="AA200" i="1"/>
  <c r="Z200" i="1"/>
  <c r="Y200" i="1"/>
  <c r="X200" i="1"/>
  <c r="W200" i="1"/>
  <c r="V200" i="1"/>
  <c r="U200" i="1"/>
  <c r="T200" i="1"/>
  <c r="S200" i="1"/>
  <c r="R200" i="1"/>
  <c r="AA199" i="1"/>
  <c r="Z199" i="1"/>
  <c r="Y199" i="1"/>
  <c r="X199" i="1"/>
  <c r="W199" i="1"/>
  <c r="V199" i="1"/>
  <c r="U199" i="1"/>
  <c r="T199" i="1"/>
  <c r="S199" i="1"/>
  <c r="R199" i="1"/>
  <c r="AA198" i="1"/>
  <c r="Z198" i="1"/>
  <c r="Y198" i="1"/>
  <c r="X198" i="1"/>
  <c r="W198" i="1"/>
  <c r="V198" i="1"/>
  <c r="U198" i="1"/>
  <c r="T198" i="1"/>
  <c r="S198" i="1"/>
  <c r="R198" i="1"/>
  <c r="AA197" i="1"/>
  <c r="Z197" i="1"/>
  <c r="Y197" i="1"/>
  <c r="X197" i="1"/>
  <c r="W197" i="1"/>
  <c r="V197" i="1"/>
  <c r="U197" i="1"/>
  <c r="T197" i="1"/>
  <c r="S197" i="1"/>
  <c r="R197" i="1"/>
  <c r="AA196" i="1"/>
  <c r="Z196" i="1"/>
  <c r="Y196" i="1"/>
  <c r="X196" i="1"/>
  <c r="W196" i="1"/>
  <c r="V196" i="1"/>
  <c r="U196" i="1"/>
  <c r="T196" i="1"/>
  <c r="S196" i="1"/>
  <c r="R196" i="1"/>
  <c r="AA195" i="1"/>
  <c r="Z195" i="1"/>
  <c r="Y195" i="1"/>
  <c r="X195" i="1"/>
  <c r="W195" i="1"/>
  <c r="V195" i="1"/>
  <c r="U195" i="1"/>
  <c r="T195" i="1"/>
  <c r="S195" i="1"/>
  <c r="R195" i="1"/>
  <c r="AA194" i="1"/>
  <c r="Z194" i="1"/>
  <c r="Y194" i="1"/>
  <c r="X194" i="1"/>
  <c r="W194" i="1"/>
  <c r="V194" i="1"/>
  <c r="U194" i="1"/>
  <c r="T194" i="1"/>
  <c r="S194" i="1"/>
  <c r="R194" i="1"/>
  <c r="AA193" i="1"/>
  <c r="Z193" i="1"/>
  <c r="Y193" i="1"/>
  <c r="X193" i="1"/>
  <c r="W193" i="1"/>
  <c r="V193" i="1"/>
  <c r="U193" i="1"/>
  <c r="T193" i="1"/>
  <c r="S193" i="1"/>
  <c r="R193" i="1"/>
  <c r="AA192" i="1"/>
  <c r="Z192" i="1"/>
  <c r="Y192" i="1"/>
  <c r="X192" i="1"/>
  <c r="W192" i="1"/>
  <c r="V192" i="1"/>
  <c r="U192" i="1"/>
  <c r="T192" i="1"/>
  <c r="S192" i="1"/>
  <c r="R192" i="1"/>
  <c r="AA191" i="1"/>
  <c r="Z191" i="1"/>
  <c r="Y191" i="1"/>
  <c r="X191" i="1"/>
  <c r="W191" i="1"/>
  <c r="V191" i="1"/>
  <c r="U191" i="1"/>
  <c r="T191" i="1"/>
  <c r="S191" i="1"/>
  <c r="R191" i="1"/>
  <c r="AA190" i="1"/>
  <c r="Z190" i="1"/>
  <c r="Y190" i="1"/>
  <c r="X190" i="1"/>
  <c r="W190" i="1"/>
  <c r="V190" i="1"/>
  <c r="U190" i="1"/>
  <c r="T190" i="1"/>
  <c r="S190" i="1"/>
  <c r="R190" i="1"/>
  <c r="AA189" i="1"/>
  <c r="Z189" i="1"/>
  <c r="Y189" i="1"/>
  <c r="X189" i="1"/>
  <c r="W189" i="1"/>
  <c r="V189" i="1"/>
  <c r="U189" i="1"/>
  <c r="T189" i="1"/>
  <c r="S189" i="1"/>
  <c r="R189" i="1"/>
  <c r="AA188" i="1"/>
  <c r="Z188" i="1"/>
  <c r="Y188" i="1"/>
  <c r="X188" i="1"/>
  <c r="W188" i="1"/>
  <c r="V188" i="1"/>
  <c r="U188" i="1"/>
  <c r="T188" i="1"/>
  <c r="S188" i="1"/>
  <c r="R188" i="1"/>
  <c r="AA187" i="1"/>
  <c r="Z187" i="1"/>
  <c r="Y187" i="1"/>
  <c r="X187" i="1"/>
  <c r="W187" i="1"/>
  <c r="V187" i="1"/>
  <c r="U187" i="1"/>
  <c r="T187" i="1"/>
  <c r="S187" i="1"/>
  <c r="R187" i="1"/>
  <c r="AA186" i="1"/>
  <c r="Z186" i="1"/>
  <c r="Y186" i="1"/>
  <c r="X186" i="1"/>
  <c r="W186" i="1"/>
  <c r="V186" i="1"/>
  <c r="U186" i="1"/>
  <c r="T186" i="1"/>
  <c r="S186" i="1"/>
  <c r="R186" i="1"/>
  <c r="AA185" i="1"/>
  <c r="Z185" i="1"/>
  <c r="Y185" i="1"/>
  <c r="X185" i="1"/>
  <c r="W185" i="1"/>
  <c r="V185" i="1"/>
  <c r="U185" i="1"/>
  <c r="T185" i="1"/>
  <c r="S185" i="1"/>
  <c r="R185" i="1"/>
  <c r="AA184" i="1"/>
  <c r="Z184" i="1"/>
  <c r="Y184" i="1"/>
  <c r="X184" i="1"/>
  <c r="W184" i="1"/>
  <c r="V184" i="1"/>
  <c r="U184" i="1"/>
  <c r="T184" i="1"/>
  <c r="S184" i="1"/>
  <c r="R184" i="1"/>
  <c r="AA183" i="1"/>
  <c r="Z183" i="1"/>
  <c r="Y183" i="1"/>
  <c r="X183" i="1"/>
  <c r="W183" i="1"/>
  <c r="V183" i="1"/>
  <c r="U183" i="1"/>
  <c r="T183" i="1"/>
  <c r="S183" i="1"/>
  <c r="R183" i="1"/>
  <c r="AA182" i="1"/>
  <c r="Z182" i="1"/>
  <c r="Y182" i="1"/>
  <c r="X182" i="1"/>
  <c r="W182" i="1"/>
  <c r="V182" i="1"/>
  <c r="U182" i="1"/>
  <c r="T182" i="1"/>
  <c r="S182" i="1"/>
  <c r="R182" i="1"/>
  <c r="AA181" i="1"/>
  <c r="Z181" i="1"/>
  <c r="Y181" i="1"/>
  <c r="X181" i="1"/>
  <c r="W181" i="1"/>
  <c r="V181" i="1"/>
  <c r="U181" i="1"/>
  <c r="T181" i="1"/>
  <c r="S181" i="1"/>
  <c r="R181" i="1"/>
  <c r="AA180" i="1"/>
  <c r="Z180" i="1"/>
  <c r="Y180" i="1"/>
  <c r="X180" i="1"/>
  <c r="W180" i="1"/>
  <c r="V180" i="1"/>
  <c r="U180" i="1"/>
  <c r="T180" i="1"/>
  <c r="S180" i="1"/>
  <c r="R180" i="1"/>
  <c r="AA179" i="1"/>
  <c r="Z179" i="1"/>
  <c r="Y179" i="1"/>
  <c r="X179" i="1"/>
  <c r="W179" i="1"/>
  <c r="V179" i="1"/>
  <c r="U179" i="1"/>
  <c r="T179" i="1"/>
  <c r="S179" i="1"/>
  <c r="R179" i="1"/>
  <c r="AA178" i="1"/>
  <c r="Z178" i="1"/>
  <c r="Y178" i="1"/>
  <c r="X178" i="1"/>
  <c r="W178" i="1"/>
  <c r="V178" i="1"/>
  <c r="U178" i="1"/>
  <c r="T178" i="1"/>
  <c r="S178" i="1"/>
  <c r="R178" i="1"/>
  <c r="AA177" i="1"/>
  <c r="Z177" i="1"/>
  <c r="Y177" i="1"/>
  <c r="X177" i="1"/>
  <c r="W177" i="1"/>
  <c r="V177" i="1"/>
  <c r="U177" i="1"/>
  <c r="T177" i="1"/>
  <c r="S177" i="1"/>
  <c r="R177" i="1"/>
  <c r="AA176" i="1"/>
  <c r="Z176" i="1"/>
  <c r="Y176" i="1"/>
  <c r="X176" i="1"/>
  <c r="W176" i="1"/>
  <c r="V176" i="1"/>
  <c r="U176" i="1"/>
  <c r="T176" i="1"/>
  <c r="S176" i="1"/>
  <c r="R176" i="1"/>
  <c r="AA175" i="1"/>
  <c r="Z175" i="1"/>
  <c r="Y175" i="1"/>
  <c r="X175" i="1"/>
  <c r="W175" i="1"/>
  <c r="V175" i="1"/>
  <c r="U175" i="1"/>
  <c r="T175" i="1"/>
  <c r="S175" i="1"/>
  <c r="R175" i="1"/>
  <c r="AA174" i="1"/>
  <c r="Z174" i="1"/>
  <c r="Y174" i="1"/>
  <c r="X174" i="1"/>
  <c r="W174" i="1"/>
  <c r="V174" i="1"/>
  <c r="U174" i="1"/>
  <c r="T174" i="1"/>
  <c r="S174" i="1"/>
  <c r="R174" i="1"/>
  <c r="AA173" i="1"/>
  <c r="Z173" i="1"/>
  <c r="Y173" i="1"/>
  <c r="X173" i="1"/>
  <c r="W173" i="1"/>
  <c r="V173" i="1"/>
  <c r="U173" i="1"/>
  <c r="T173" i="1"/>
  <c r="S173" i="1"/>
  <c r="R173" i="1"/>
  <c r="AA172" i="1"/>
  <c r="Z172" i="1"/>
  <c r="Y172" i="1"/>
  <c r="X172" i="1"/>
  <c r="W172" i="1"/>
  <c r="V172" i="1"/>
  <c r="U172" i="1"/>
  <c r="T172" i="1"/>
  <c r="S172" i="1"/>
  <c r="R172" i="1"/>
  <c r="AA171" i="1"/>
  <c r="Z171" i="1"/>
  <c r="Y171" i="1"/>
  <c r="X171" i="1"/>
  <c r="W171" i="1"/>
  <c r="V171" i="1"/>
  <c r="U171" i="1"/>
  <c r="T171" i="1"/>
  <c r="S171" i="1"/>
  <c r="R171" i="1"/>
  <c r="AA170" i="1"/>
  <c r="Z170" i="1"/>
  <c r="Y170" i="1"/>
  <c r="X170" i="1"/>
  <c r="W170" i="1"/>
  <c r="V170" i="1"/>
  <c r="U170" i="1"/>
  <c r="T170" i="1"/>
  <c r="S170" i="1"/>
  <c r="R170" i="1"/>
  <c r="AA169" i="1"/>
  <c r="Z169" i="1"/>
  <c r="Y169" i="1"/>
  <c r="X169" i="1"/>
  <c r="W169" i="1"/>
  <c r="V169" i="1"/>
  <c r="U169" i="1"/>
  <c r="T169" i="1"/>
  <c r="S169" i="1"/>
  <c r="R169" i="1"/>
  <c r="AA168" i="1"/>
  <c r="Z168" i="1"/>
  <c r="Y168" i="1"/>
  <c r="X168" i="1"/>
  <c r="W168" i="1"/>
  <c r="V168" i="1"/>
  <c r="U168" i="1"/>
  <c r="T168" i="1"/>
  <c r="S168" i="1"/>
  <c r="R168" i="1"/>
  <c r="AA167" i="1"/>
  <c r="Z167" i="1"/>
  <c r="Y167" i="1"/>
  <c r="X167" i="1"/>
  <c r="W167" i="1"/>
  <c r="V167" i="1"/>
  <c r="U167" i="1"/>
  <c r="T167" i="1"/>
  <c r="S167" i="1"/>
  <c r="R167" i="1"/>
  <c r="AA166" i="1"/>
  <c r="Z166" i="1"/>
  <c r="Y166" i="1"/>
  <c r="X166" i="1"/>
  <c r="W166" i="1"/>
  <c r="V166" i="1"/>
  <c r="U166" i="1"/>
  <c r="T166" i="1"/>
  <c r="S166" i="1"/>
  <c r="R166" i="1"/>
  <c r="AA165" i="1"/>
  <c r="Z165" i="1"/>
  <c r="Y165" i="1"/>
  <c r="X165" i="1"/>
  <c r="W165" i="1"/>
  <c r="V165" i="1"/>
  <c r="U165" i="1"/>
  <c r="T165" i="1"/>
  <c r="S165" i="1"/>
  <c r="R165" i="1"/>
  <c r="AA164" i="1"/>
  <c r="Z164" i="1"/>
  <c r="Y164" i="1"/>
  <c r="X164" i="1"/>
  <c r="W164" i="1"/>
  <c r="V164" i="1"/>
  <c r="U164" i="1"/>
  <c r="T164" i="1"/>
  <c r="S164" i="1"/>
  <c r="R164" i="1"/>
  <c r="AA163" i="1"/>
  <c r="Z163" i="1"/>
  <c r="Y163" i="1"/>
  <c r="X163" i="1"/>
  <c r="W163" i="1"/>
  <c r="V163" i="1"/>
  <c r="U163" i="1"/>
  <c r="T163" i="1"/>
  <c r="S163" i="1"/>
  <c r="R163" i="1"/>
  <c r="AA162" i="1"/>
  <c r="Z162" i="1"/>
  <c r="Y162" i="1"/>
  <c r="X162" i="1"/>
  <c r="W162" i="1"/>
  <c r="V162" i="1"/>
  <c r="U162" i="1"/>
  <c r="T162" i="1"/>
  <c r="S162" i="1"/>
  <c r="R162" i="1"/>
  <c r="AA161" i="1"/>
  <c r="Z161" i="1"/>
  <c r="Y161" i="1"/>
  <c r="X161" i="1"/>
  <c r="W161" i="1"/>
  <c r="V161" i="1"/>
  <c r="U161" i="1"/>
  <c r="T161" i="1"/>
  <c r="S161" i="1"/>
  <c r="R161" i="1"/>
  <c r="AA160" i="1"/>
  <c r="Z160" i="1"/>
  <c r="Y160" i="1"/>
  <c r="X160" i="1"/>
  <c r="W160" i="1"/>
  <c r="V160" i="1"/>
  <c r="U160" i="1"/>
  <c r="T160" i="1"/>
  <c r="S160" i="1"/>
  <c r="R160" i="1"/>
  <c r="AA159" i="1"/>
  <c r="Z159" i="1"/>
  <c r="Y159" i="1"/>
  <c r="X159" i="1"/>
  <c r="W159" i="1"/>
  <c r="V159" i="1"/>
  <c r="U159" i="1"/>
  <c r="T159" i="1"/>
  <c r="S159" i="1"/>
  <c r="R159" i="1"/>
  <c r="AA158" i="1"/>
  <c r="Z158" i="1"/>
  <c r="Y158" i="1"/>
  <c r="X158" i="1"/>
  <c r="W158" i="1"/>
  <c r="V158" i="1"/>
  <c r="U158" i="1"/>
  <c r="T158" i="1"/>
  <c r="S158" i="1"/>
  <c r="R158" i="1"/>
  <c r="AA157" i="1"/>
  <c r="Z157" i="1"/>
  <c r="Y157" i="1"/>
  <c r="X157" i="1"/>
  <c r="W157" i="1"/>
  <c r="V157" i="1"/>
  <c r="U157" i="1"/>
  <c r="T157" i="1"/>
  <c r="S157" i="1"/>
  <c r="R157" i="1"/>
  <c r="AA156" i="1"/>
  <c r="Z156" i="1"/>
  <c r="Y156" i="1"/>
  <c r="X156" i="1"/>
  <c r="W156" i="1"/>
  <c r="V156" i="1"/>
  <c r="U156" i="1"/>
  <c r="T156" i="1"/>
  <c r="S156" i="1"/>
  <c r="R156" i="1"/>
  <c r="AA155" i="1"/>
  <c r="Z155" i="1"/>
  <c r="Y155" i="1"/>
  <c r="X155" i="1"/>
  <c r="W155" i="1"/>
  <c r="V155" i="1"/>
  <c r="U155" i="1"/>
  <c r="T155" i="1"/>
  <c r="S155" i="1"/>
  <c r="R155" i="1"/>
  <c r="AA154" i="1"/>
  <c r="Z154" i="1"/>
  <c r="Y154" i="1"/>
  <c r="X154" i="1"/>
  <c r="W154" i="1"/>
  <c r="V154" i="1"/>
  <c r="U154" i="1"/>
  <c r="T154" i="1"/>
  <c r="S154" i="1"/>
  <c r="R154" i="1"/>
  <c r="AA153" i="1"/>
  <c r="Z153" i="1"/>
  <c r="Y153" i="1"/>
  <c r="X153" i="1"/>
  <c r="W153" i="1"/>
  <c r="V153" i="1"/>
  <c r="U153" i="1"/>
  <c r="T153" i="1"/>
  <c r="S153" i="1"/>
  <c r="R153" i="1"/>
  <c r="AA152" i="1"/>
  <c r="Z152" i="1"/>
  <c r="Y152" i="1"/>
  <c r="X152" i="1"/>
  <c r="W152" i="1"/>
  <c r="V152" i="1"/>
  <c r="U152" i="1"/>
  <c r="T152" i="1"/>
  <c r="S152" i="1"/>
  <c r="R152" i="1"/>
  <c r="AA151" i="1"/>
  <c r="Z151" i="1"/>
  <c r="Y151" i="1"/>
  <c r="X151" i="1"/>
  <c r="W151" i="1"/>
  <c r="V151" i="1"/>
  <c r="U151" i="1"/>
  <c r="T151" i="1"/>
  <c r="S151" i="1"/>
  <c r="R151" i="1"/>
  <c r="AA150" i="1"/>
  <c r="Z150" i="1"/>
  <c r="Y150" i="1"/>
  <c r="X150" i="1"/>
  <c r="W150" i="1"/>
  <c r="V150" i="1"/>
  <c r="U150" i="1"/>
  <c r="T150" i="1"/>
  <c r="S150" i="1"/>
  <c r="R150" i="1"/>
  <c r="AA149" i="1"/>
  <c r="Z149" i="1"/>
  <c r="Y149" i="1"/>
  <c r="X149" i="1"/>
  <c r="W149" i="1"/>
  <c r="V149" i="1"/>
  <c r="U149" i="1"/>
  <c r="T149" i="1"/>
  <c r="S149" i="1"/>
  <c r="R149" i="1"/>
  <c r="AA148" i="1"/>
  <c r="Z148" i="1"/>
  <c r="Y148" i="1"/>
  <c r="X148" i="1"/>
  <c r="W148" i="1"/>
  <c r="V148" i="1"/>
  <c r="U148" i="1"/>
  <c r="T148" i="1"/>
  <c r="S148" i="1"/>
  <c r="R148" i="1"/>
  <c r="AA147" i="1"/>
  <c r="Z147" i="1"/>
  <c r="Y147" i="1"/>
  <c r="X147" i="1"/>
  <c r="W147" i="1"/>
  <c r="V147" i="1"/>
  <c r="U147" i="1"/>
  <c r="T147" i="1"/>
  <c r="S147" i="1"/>
  <c r="R147" i="1"/>
  <c r="AA146" i="1"/>
  <c r="Z146" i="1"/>
  <c r="Y146" i="1"/>
  <c r="X146" i="1"/>
  <c r="W146" i="1"/>
  <c r="V146" i="1"/>
  <c r="U146" i="1"/>
  <c r="T146" i="1"/>
  <c r="S146" i="1"/>
  <c r="R146" i="1"/>
  <c r="AA145" i="1"/>
  <c r="Z145" i="1"/>
  <c r="Y145" i="1"/>
  <c r="X145" i="1"/>
  <c r="W145" i="1"/>
  <c r="V145" i="1"/>
  <c r="U145" i="1"/>
  <c r="T145" i="1"/>
  <c r="S145" i="1"/>
  <c r="R145" i="1"/>
  <c r="AA144" i="1"/>
  <c r="Z144" i="1"/>
  <c r="Y144" i="1"/>
  <c r="X144" i="1"/>
  <c r="W144" i="1"/>
  <c r="V144" i="1"/>
  <c r="U144" i="1"/>
  <c r="T144" i="1"/>
  <c r="S144" i="1"/>
  <c r="R144" i="1"/>
  <c r="AA143" i="1"/>
  <c r="Z143" i="1"/>
  <c r="Y143" i="1"/>
  <c r="X143" i="1"/>
  <c r="W143" i="1"/>
  <c r="V143" i="1"/>
  <c r="U143" i="1"/>
  <c r="T143" i="1"/>
  <c r="S143" i="1"/>
  <c r="R143" i="1"/>
  <c r="AA142" i="1"/>
  <c r="Z142" i="1"/>
  <c r="Y142" i="1"/>
  <c r="X142" i="1"/>
  <c r="W142" i="1"/>
  <c r="V142" i="1"/>
  <c r="U142" i="1"/>
  <c r="T142" i="1"/>
  <c r="S142" i="1"/>
  <c r="R142" i="1"/>
  <c r="AA141" i="1"/>
  <c r="Z141" i="1"/>
  <c r="Y141" i="1"/>
  <c r="X141" i="1"/>
  <c r="W141" i="1"/>
  <c r="V141" i="1"/>
  <c r="U141" i="1"/>
  <c r="T141" i="1"/>
  <c r="S141" i="1"/>
  <c r="R141" i="1"/>
  <c r="AA140" i="1"/>
  <c r="Z140" i="1"/>
  <c r="Y140" i="1"/>
  <c r="X140" i="1"/>
  <c r="W140" i="1"/>
  <c r="V140" i="1"/>
  <c r="U140" i="1"/>
  <c r="T140" i="1"/>
  <c r="S140" i="1"/>
  <c r="R140" i="1"/>
  <c r="AA139" i="1"/>
  <c r="Z139" i="1"/>
  <c r="Y139" i="1"/>
  <c r="X139" i="1"/>
  <c r="W139" i="1"/>
  <c r="V139" i="1"/>
  <c r="U139" i="1"/>
  <c r="T139" i="1"/>
  <c r="S139" i="1"/>
  <c r="R139" i="1"/>
  <c r="AA138" i="1"/>
  <c r="Z138" i="1"/>
  <c r="Y138" i="1"/>
  <c r="X138" i="1"/>
  <c r="W138" i="1"/>
  <c r="V138" i="1"/>
  <c r="U138" i="1"/>
  <c r="T138" i="1"/>
  <c r="S138" i="1"/>
  <c r="R138" i="1"/>
  <c r="AA137" i="1"/>
  <c r="Z137" i="1"/>
  <c r="Y137" i="1"/>
  <c r="X137" i="1"/>
  <c r="W137" i="1"/>
  <c r="V137" i="1"/>
  <c r="U137" i="1"/>
  <c r="T137" i="1"/>
  <c r="S137" i="1"/>
  <c r="R137" i="1"/>
  <c r="AA136" i="1"/>
  <c r="Z136" i="1"/>
  <c r="Y136" i="1"/>
  <c r="X136" i="1"/>
  <c r="W136" i="1"/>
  <c r="V136" i="1"/>
  <c r="U136" i="1"/>
  <c r="T136" i="1"/>
  <c r="S136" i="1"/>
  <c r="R136" i="1"/>
  <c r="AA135" i="1"/>
  <c r="Z135" i="1"/>
  <c r="Y135" i="1"/>
  <c r="X135" i="1"/>
  <c r="W135" i="1"/>
  <c r="V135" i="1"/>
  <c r="U135" i="1"/>
  <c r="T135" i="1"/>
  <c r="S135" i="1"/>
  <c r="R135" i="1"/>
  <c r="AA134" i="1"/>
  <c r="Z134" i="1"/>
  <c r="Y134" i="1"/>
  <c r="X134" i="1"/>
  <c r="W134" i="1"/>
  <c r="V134" i="1"/>
  <c r="U134" i="1"/>
  <c r="T134" i="1"/>
  <c r="S134" i="1"/>
  <c r="R134" i="1"/>
  <c r="AA133" i="1"/>
  <c r="Z133" i="1"/>
  <c r="Y133" i="1"/>
  <c r="X133" i="1"/>
  <c r="W133" i="1"/>
  <c r="V133" i="1"/>
  <c r="U133" i="1"/>
  <c r="T133" i="1"/>
  <c r="S133" i="1"/>
  <c r="R133" i="1"/>
  <c r="AA132" i="1"/>
  <c r="Z132" i="1"/>
  <c r="Y132" i="1"/>
  <c r="X132" i="1"/>
  <c r="W132" i="1"/>
  <c r="V132" i="1"/>
  <c r="U132" i="1"/>
  <c r="T132" i="1"/>
  <c r="S132" i="1"/>
  <c r="R132" i="1"/>
  <c r="AA131" i="1"/>
  <c r="Z131" i="1"/>
  <c r="Y131" i="1"/>
  <c r="X131" i="1"/>
  <c r="W131" i="1"/>
  <c r="V131" i="1"/>
  <c r="U131" i="1"/>
  <c r="T131" i="1"/>
  <c r="S131" i="1"/>
  <c r="R131" i="1"/>
  <c r="AA130" i="1"/>
  <c r="Z130" i="1"/>
  <c r="Y130" i="1"/>
  <c r="X130" i="1"/>
  <c r="W130" i="1"/>
  <c r="V130" i="1"/>
  <c r="U130" i="1"/>
  <c r="T130" i="1"/>
  <c r="S130" i="1"/>
  <c r="R130" i="1"/>
  <c r="AA129" i="1"/>
  <c r="Z129" i="1"/>
  <c r="Y129" i="1"/>
  <c r="X129" i="1"/>
  <c r="W129" i="1"/>
  <c r="V129" i="1"/>
  <c r="U129" i="1"/>
  <c r="T129" i="1"/>
  <c r="S129" i="1"/>
  <c r="R129" i="1"/>
  <c r="AA128" i="1"/>
  <c r="Z128" i="1"/>
  <c r="Y128" i="1"/>
  <c r="X128" i="1"/>
  <c r="W128" i="1"/>
  <c r="V128" i="1"/>
  <c r="U128" i="1"/>
  <c r="T128" i="1"/>
  <c r="S128" i="1"/>
  <c r="R128" i="1"/>
  <c r="AA127" i="1"/>
  <c r="Z127" i="1"/>
  <c r="Y127" i="1"/>
  <c r="X127" i="1"/>
  <c r="W127" i="1"/>
  <c r="V127" i="1"/>
  <c r="U127" i="1"/>
  <c r="T127" i="1"/>
  <c r="S127" i="1"/>
  <c r="R127" i="1"/>
  <c r="AA126" i="1"/>
  <c r="Z126" i="1"/>
  <c r="Y126" i="1"/>
  <c r="X126" i="1"/>
  <c r="W126" i="1"/>
  <c r="V126" i="1"/>
  <c r="U126" i="1"/>
  <c r="T126" i="1"/>
  <c r="S126" i="1"/>
  <c r="R126" i="1"/>
  <c r="AA125" i="1"/>
  <c r="Z125" i="1"/>
  <c r="Y125" i="1"/>
  <c r="X125" i="1"/>
  <c r="W125" i="1"/>
  <c r="V125" i="1"/>
  <c r="U125" i="1"/>
  <c r="T125" i="1"/>
  <c r="S125" i="1"/>
  <c r="R125" i="1"/>
  <c r="AA124" i="1"/>
  <c r="Z124" i="1"/>
  <c r="Y124" i="1"/>
  <c r="X124" i="1"/>
  <c r="W124" i="1"/>
  <c r="V124" i="1"/>
  <c r="U124" i="1"/>
  <c r="T124" i="1"/>
  <c r="S124" i="1"/>
  <c r="R124" i="1"/>
  <c r="AA123" i="1"/>
  <c r="Z123" i="1"/>
  <c r="Y123" i="1"/>
  <c r="X123" i="1"/>
  <c r="W123" i="1"/>
  <c r="V123" i="1"/>
  <c r="U123" i="1"/>
  <c r="T123" i="1"/>
  <c r="S123" i="1"/>
  <c r="R123" i="1"/>
  <c r="AA122" i="1"/>
  <c r="Z122" i="1"/>
  <c r="Y122" i="1"/>
  <c r="X122" i="1"/>
  <c r="W122" i="1"/>
  <c r="V122" i="1"/>
  <c r="U122" i="1"/>
  <c r="T122" i="1"/>
  <c r="S122" i="1"/>
  <c r="R122" i="1"/>
  <c r="AA121" i="1"/>
  <c r="Z121" i="1"/>
  <c r="Y121" i="1"/>
  <c r="X121" i="1"/>
  <c r="W121" i="1"/>
  <c r="V121" i="1"/>
  <c r="U121" i="1"/>
  <c r="T121" i="1"/>
  <c r="S121" i="1"/>
  <c r="R121" i="1"/>
  <c r="AA120" i="1"/>
  <c r="Z120" i="1"/>
  <c r="Y120" i="1"/>
  <c r="X120" i="1"/>
  <c r="W120" i="1"/>
  <c r="V120" i="1"/>
  <c r="U120" i="1"/>
  <c r="T120" i="1"/>
  <c r="S120" i="1"/>
  <c r="R120" i="1"/>
  <c r="AA119" i="1"/>
  <c r="Z119" i="1"/>
  <c r="Y119" i="1"/>
  <c r="X119" i="1"/>
  <c r="W119" i="1"/>
  <c r="V119" i="1"/>
  <c r="U119" i="1"/>
  <c r="T119" i="1"/>
  <c r="S119" i="1"/>
  <c r="R119" i="1"/>
  <c r="AA118" i="1"/>
  <c r="Z118" i="1"/>
  <c r="Y118" i="1"/>
  <c r="X118" i="1"/>
  <c r="W118" i="1"/>
  <c r="V118" i="1"/>
  <c r="U118" i="1"/>
  <c r="T118" i="1"/>
  <c r="S118" i="1"/>
  <c r="R118" i="1"/>
  <c r="AA117" i="1"/>
  <c r="Z117" i="1"/>
  <c r="Y117" i="1"/>
  <c r="X117" i="1"/>
  <c r="W117" i="1"/>
  <c r="V117" i="1"/>
  <c r="U117" i="1"/>
  <c r="T117" i="1"/>
  <c r="S117" i="1"/>
  <c r="R117" i="1"/>
  <c r="AA116" i="1"/>
  <c r="Z116" i="1"/>
  <c r="Y116" i="1"/>
  <c r="X116" i="1"/>
  <c r="W116" i="1"/>
  <c r="V116" i="1"/>
  <c r="U116" i="1"/>
  <c r="T116" i="1"/>
  <c r="S116" i="1"/>
  <c r="R116" i="1"/>
  <c r="AA115" i="1"/>
  <c r="Z115" i="1"/>
  <c r="Y115" i="1"/>
  <c r="X115" i="1"/>
  <c r="W115" i="1"/>
  <c r="V115" i="1"/>
  <c r="U115" i="1"/>
  <c r="T115" i="1"/>
  <c r="S115" i="1"/>
  <c r="R115" i="1"/>
  <c r="AA114" i="1"/>
  <c r="Z114" i="1"/>
  <c r="Y114" i="1"/>
  <c r="X114" i="1"/>
  <c r="W114" i="1"/>
  <c r="V114" i="1"/>
  <c r="U114" i="1"/>
  <c r="T114" i="1"/>
  <c r="S114" i="1"/>
  <c r="R114" i="1"/>
  <c r="AA113" i="1"/>
  <c r="Z113" i="1"/>
  <c r="Y113" i="1"/>
  <c r="X113" i="1"/>
  <c r="W113" i="1"/>
  <c r="V113" i="1"/>
  <c r="U113" i="1"/>
  <c r="T113" i="1"/>
  <c r="S113" i="1"/>
  <c r="R113" i="1"/>
  <c r="AA112" i="1"/>
  <c r="Z112" i="1"/>
  <c r="Y112" i="1"/>
  <c r="X112" i="1"/>
  <c r="W112" i="1"/>
  <c r="V112" i="1"/>
  <c r="U112" i="1"/>
  <c r="T112" i="1"/>
  <c r="S112" i="1"/>
  <c r="R112" i="1"/>
  <c r="AA111" i="1"/>
  <c r="Z111" i="1"/>
  <c r="Y111" i="1"/>
  <c r="X111" i="1"/>
  <c r="W111" i="1"/>
  <c r="V111" i="1"/>
  <c r="U111" i="1"/>
  <c r="T111" i="1"/>
  <c r="S111" i="1"/>
  <c r="R111" i="1"/>
  <c r="AA110" i="1"/>
  <c r="Z110" i="1"/>
  <c r="Y110" i="1"/>
  <c r="X110" i="1"/>
  <c r="W110" i="1"/>
  <c r="V110" i="1"/>
  <c r="U110" i="1"/>
  <c r="T110" i="1"/>
  <c r="S110" i="1"/>
  <c r="R110" i="1"/>
  <c r="AA109" i="1"/>
  <c r="Z109" i="1"/>
  <c r="Y109" i="1"/>
  <c r="X109" i="1"/>
  <c r="W109" i="1"/>
  <c r="V109" i="1"/>
  <c r="U109" i="1"/>
  <c r="T109" i="1"/>
  <c r="S109" i="1"/>
  <c r="R109" i="1"/>
  <c r="AA108" i="1"/>
  <c r="Z108" i="1"/>
  <c r="Y108" i="1"/>
  <c r="X108" i="1"/>
  <c r="W108" i="1"/>
  <c r="V108" i="1"/>
  <c r="U108" i="1"/>
  <c r="T108" i="1"/>
  <c r="S108" i="1"/>
  <c r="R108" i="1"/>
  <c r="AA107" i="1"/>
  <c r="Z107" i="1"/>
  <c r="Y107" i="1"/>
  <c r="X107" i="1"/>
  <c r="W107" i="1"/>
  <c r="V107" i="1"/>
  <c r="U107" i="1"/>
  <c r="T107" i="1"/>
  <c r="S107" i="1"/>
  <c r="R107" i="1"/>
  <c r="AA106" i="1"/>
  <c r="AA105" i="1"/>
  <c r="AA104" i="1"/>
  <c r="AA103" i="1"/>
  <c r="AA102" i="1"/>
  <c r="AA101" i="1"/>
  <c r="AA100" i="1"/>
  <c r="AA99" i="1"/>
  <c r="AA98" i="1"/>
  <c r="AA97" i="1"/>
  <c r="AA96" i="1"/>
  <c r="AA95" i="1"/>
  <c r="AA94" i="1"/>
  <c r="AA93" i="1"/>
  <c r="AA92" i="1"/>
  <c r="AA91" i="1"/>
  <c r="AA90" i="1"/>
  <c r="AA89" i="1"/>
  <c r="AA88" i="1"/>
  <c r="AA87" i="1"/>
  <c r="AA86" i="1"/>
  <c r="AA85" i="1"/>
  <c r="AA84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Q4" i="1"/>
  <c r="L21" i="2"/>
  <c r="K17" i="2"/>
  <c r="K21" i="2" s="1"/>
  <c r="L15" i="2"/>
  <c r="L13" i="2"/>
  <c r="L8" i="2"/>
  <c r="O37" i="2" s="1"/>
  <c r="N38" i="2" s="1"/>
  <c r="N128" i="2" s="1"/>
  <c r="O8" i="2"/>
  <c r="O98" i="2" s="1"/>
  <c r="O217" i="2" s="1"/>
  <c r="O68" i="2"/>
  <c r="O187" i="2" s="1"/>
  <c r="U105" i="1" l="1"/>
  <c r="Y105" i="1"/>
  <c r="Y106" i="1"/>
  <c r="U106" i="1"/>
  <c r="Q10" i="2"/>
  <c r="Y42" i="1"/>
  <c r="Y70" i="1"/>
  <c r="Y38" i="1"/>
  <c r="Y78" i="1"/>
  <c r="Y54" i="1"/>
  <c r="Y43" i="1"/>
  <c r="U49" i="1"/>
  <c r="Y98" i="1"/>
  <c r="Y51" i="1"/>
  <c r="Y46" i="1"/>
  <c r="Y66" i="1"/>
  <c r="Y95" i="1"/>
  <c r="Y101" i="1"/>
  <c r="Y59" i="1"/>
  <c r="Y50" i="1"/>
  <c r="Y67" i="1"/>
  <c r="Y62" i="1"/>
  <c r="Y74" i="1"/>
  <c r="Y58" i="1"/>
  <c r="Y75" i="1"/>
  <c r="Y81" i="1"/>
  <c r="U73" i="1"/>
  <c r="U90" i="1"/>
  <c r="U78" i="1"/>
  <c r="U41" i="1"/>
  <c r="U84" i="1"/>
  <c r="U38" i="1"/>
  <c r="U81" i="1"/>
  <c r="U37" i="1"/>
  <c r="U46" i="1"/>
  <c r="U65" i="1"/>
  <c r="U70" i="1"/>
  <c r="U57" i="1"/>
  <c r="U62" i="1"/>
  <c r="U87" i="1"/>
  <c r="U93" i="1"/>
  <c r="U53" i="1"/>
  <c r="U45" i="1"/>
  <c r="U54" i="1"/>
  <c r="Y91" i="1"/>
  <c r="Y94" i="1"/>
  <c r="U100" i="1"/>
  <c r="Y37" i="1"/>
  <c r="U40" i="1"/>
  <c r="Y45" i="1"/>
  <c r="U48" i="1"/>
  <c r="Y53" i="1"/>
  <c r="U56" i="1"/>
  <c r="Y61" i="1"/>
  <c r="U64" i="1"/>
  <c r="Y69" i="1"/>
  <c r="U72" i="1"/>
  <c r="Y77" i="1"/>
  <c r="U80" i="1"/>
  <c r="U83" i="1"/>
  <c r="U86" i="1"/>
  <c r="U89" i="1"/>
  <c r="U61" i="1"/>
  <c r="U69" i="1"/>
  <c r="U77" i="1"/>
  <c r="Y97" i="1"/>
  <c r="U103" i="1"/>
  <c r="U36" i="1"/>
  <c r="Y40" i="1"/>
  <c r="U43" i="1"/>
  <c r="Y48" i="1"/>
  <c r="U51" i="1"/>
  <c r="Y56" i="1"/>
  <c r="U59" i="1"/>
  <c r="Y64" i="1"/>
  <c r="U67" i="1"/>
  <c r="Y72" i="1"/>
  <c r="U75" i="1"/>
  <c r="Y83" i="1"/>
  <c r="Y86" i="1"/>
  <c r="Y89" i="1"/>
  <c r="U92" i="1"/>
  <c r="U95" i="1"/>
  <c r="U98" i="1"/>
  <c r="U101" i="1"/>
  <c r="U104" i="1"/>
  <c r="U44" i="1"/>
  <c r="Y49" i="1"/>
  <c r="U60" i="1"/>
  <c r="Y65" i="1"/>
  <c r="U68" i="1"/>
  <c r="Y73" i="1"/>
  <c r="U76" i="1"/>
  <c r="Y87" i="1"/>
  <c r="Y90" i="1"/>
  <c r="Y93" i="1"/>
  <c r="U96" i="1"/>
  <c r="U99" i="1"/>
  <c r="U102" i="1"/>
  <c r="Y41" i="1"/>
  <c r="U52" i="1"/>
  <c r="Y57" i="1"/>
  <c r="U39" i="1"/>
  <c r="Y44" i="1"/>
  <c r="U47" i="1"/>
  <c r="Y52" i="1"/>
  <c r="U55" i="1"/>
  <c r="Y60" i="1"/>
  <c r="U63" i="1"/>
  <c r="Y68" i="1"/>
  <c r="U71" i="1"/>
  <c r="Y76" i="1"/>
  <c r="U79" i="1"/>
  <c r="U82" i="1"/>
  <c r="U85" i="1"/>
  <c r="Y99" i="1"/>
  <c r="Y102" i="1"/>
  <c r="Y39" i="1"/>
  <c r="U42" i="1"/>
  <c r="Y47" i="1"/>
  <c r="U50" i="1"/>
  <c r="Y55" i="1"/>
  <c r="U58" i="1"/>
  <c r="Y63" i="1"/>
  <c r="U66" i="1"/>
  <c r="Y71" i="1"/>
  <c r="U74" i="1"/>
  <c r="Y79" i="1"/>
  <c r="Y82" i="1"/>
  <c r="Y85" i="1"/>
  <c r="U88" i="1"/>
  <c r="U91" i="1"/>
  <c r="U94" i="1"/>
  <c r="U97" i="1"/>
  <c r="Y80" i="1"/>
  <c r="Y88" i="1"/>
  <c r="Y96" i="1"/>
  <c r="Y104" i="1"/>
  <c r="Y84" i="1"/>
  <c r="Y92" i="1"/>
  <c r="Y100" i="1"/>
  <c r="K18" i="2"/>
  <c r="Q11" i="2" s="1"/>
  <c r="S17" i="2"/>
  <c r="S39" i="2" s="1"/>
  <c r="S61" i="2" s="1"/>
  <c r="Q18" i="2"/>
  <c r="S18" i="2" s="1"/>
  <c r="S40" i="2" s="1"/>
  <c r="S62" i="2" s="1"/>
  <c r="R38" i="2"/>
  <c r="R71" i="2" s="1"/>
  <c r="Q50" i="2"/>
  <c r="N73" i="2"/>
  <c r="O74" i="2" s="1"/>
  <c r="O71" i="2"/>
  <c r="T73" i="2"/>
  <c r="T41" i="2"/>
  <c r="R40" i="2"/>
  <c r="R73" i="2" s="1"/>
  <c r="R27" i="2"/>
  <c r="R60" i="2" s="1"/>
  <c r="S29" i="2"/>
  <c r="S51" i="2" s="1"/>
  <c r="S73" i="2" s="1"/>
  <c r="T29" i="2"/>
  <c r="O11" i="2"/>
  <c r="O101" i="2" s="1"/>
  <c r="O220" i="2" s="1"/>
  <c r="R105" i="2" s="1"/>
  <c r="R39" i="2"/>
  <c r="R72" i="2" s="1"/>
  <c r="Q40" i="2"/>
  <c r="Q73" i="2" s="1"/>
  <c r="R17" i="2"/>
  <c r="R50" i="2" s="1"/>
  <c r="T72" i="2"/>
  <c r="BV8" i="2"/>
  <c r="Q19" i="2"/>
  <c r="S84" i="2"/>
  <c r="R18" i="2"/>
  <c r="R51" i="2" s="1"/>
  <c r="N68" i="2"/>
  <c r="L18" i="2"/>
  <c r="S83" i="2"/>
  <c r="S103" i="2" s="1"/>
  <c r="R28" i="2"/>
  <c r="R61" i="2" s="1"/>
  <c r="R10" i="1"/>
  <c r="R82" i="2"/>
  <c r="O188" i="2"/>
  <c r="R83" i="2" s="1"/>
  <c r="O158" i="2"/>
  <c r="Q28" i="2"/>
  <c r="Q61" i="2" s="1"/>
  <c r="R16" i="2"/>
  <c r="R49" i="2" s="1"/>
  <c r="N71" i="2"/>
  <c r="N190" i="2" s="1"/>
  <c r="N191" i="2" s="1"/>
  <c r="Q85" i="2" s="1"/>
  <c r="N160" i="2"/>
  <c r="Q38" i="2"/>
  <c r="Q71" i="2" s="1"/>
  <c r="R3" i="2"/>
  <c r="R7" i="2" s="1"/>
  <c r="AT301" i="2"/>
  <c r="AU301" i="2" s="1"/>
  <c r="AS27" i="2"/>
  <c r="AT124" i="2"/>
  <c r="AS12" i="2"/>
  <c r="AS99" i="2"/>
  <c r="AS630" i="2"/>
  <c r="AS266" i="2"/>
  <c r="AS168" i="2"/>
  <c r="AT740" i="2"/>
  <c r="AU740" i="2" s="1"/>
  <c r="AS38" i="2"/>
  <c r="AS179" i="2"/>
  <c r="AT281" i="2"/>
  <c r="AT475" i="2"/>
  <c r="AU475" i="2" s="1"/>
  <c r="AS361" i="2"/>
  <c r="AS277" i="2"/>
  <c r="AT161" i="2"/>
  <c r="AT393" i="2"/>
  <c r="AV393" i="2" s="1"/>
  <c r="AS430" i="2"/>
  <c r="AT12" i="2"/>
  <c r="AT265" i="2"/>
  <c r="AS128" i="2"/>
  <c r="AS35" i="2"/>
  <c r="AT282" i="2"/>
  <c r="AT317" i="2"/>
  <c r="AT678" i="2"/>
  <c r="AU678" i="2" s="1"/>
  <c r="AS91" i="2"/>
  <c r="AT297" i="2"/>
  <c r="AS10" i="2"/>
  <c r="R103" i="2"/>
  <c r="O218" i="2"/>
  <c r="R104" i="2" s="1"/>
  <c r="N103" i="2"/>
  <c r="N16" i="2"/>
  <c r="N14" i="2"/>
  <c r="N104" i="2" s="1"/>
  <c r="N223" i="2" s="1"/>
  <c r="O14" i="2"/>
  <c r="O104" i="2" s="1"/>
  <c r="O223" i="2" s="1"/>
  <c r="Q84" i="2"/>
  <c r="Q103" i="2"/>
  <c r="N218" i="2"/>
  <c r="Q104" i="2" s="1"/>
  <c r="N37" i="2"/>
  <c r="N127" i="2" s="1"/>
  <c r="N100" i="2"/>
  <c r="Q39" i="2"/>
  <c r="Q72" i="2" s="1"/>
  <c r="N11" i="2"/>
  <c r="N101" i="2" s="1"/>
  <c r="N220" i="2" s="1"/>
  <c r="O38" i="2"/>
  <c r="O128" i="2" s="1"/>
  <c r="O40" i="2"/>
  <c r="K19" i="2"/>
  <c r="K20" i="2" s="1"/>
  <c r="Q14" i="2" s="1"/>
  <c r="O127" i="2"/>
  <c r="AT140" i="2"/>
  <c r="AS28" i="2"/>
  <c r="AS377" i="2"/>
  <c r="AT290" i="2"/>
  <c r="AS412" i="2"/>
  <c r="AS93" i="2"/>
  <c r="AT51" i="2"/>
  <c r="AT430" i="2"/>
  <c r="AS139" i="2"/>
  <c r="AT163" i="2"/>
  <c r="AT258" i="2"/>
  <c r="AT19" i="2"/>
  <c r="AS313" i="2"/>
  <c r="AS80" i="2"/>
  <c r="AT65" i="2"/>
  <c r="AT185" i="2"/>
  <c r="AS171" i="2"/>
  <c r="AS435" i="2"/>
  <c r="AS13" i="2"/>
  <c r="AS321" i="2"/>
  <c r="AS15" i="2"/>
  <c r="AT453" i="2"/>
  <c r="AU453" i="2" s="1"/>
  <c r="AS61" i="2"/>
  <c r="AS337" i="2"/>
  <c r="AS23" i="2"/>
  <c r="AS799" i="2"/>
  <c r="AT225" i="2"/>
  <c r="AT457" i="2"/>
  <c r="AV457" i="2" s="1"/>
  <c r="AS152" i="2"/>
  <c r="AT217" i="2"/>
  <c r="AS19" i="2"/>
  <c r="AS83" i="2"/>
  <c r="AS157" i="2"/>
  <c r="AS261" i="2"/>
  <c r="AT108" i="2"/>
  <c r="AT260" i="2"/>
  <c r="AS394" i="2"/>
  <c r="AS570" i="2"/>
  <c r="AT11" i="2"/>
  <c r="AT81" i="2"/>
  <c r="AS53" i="2"/>
  <c r="AT202" i="2"/>
  <c r="AS417" i="2"/>
  <c r="AT647" i="2"/>
  <c r="AT139" i="2"/>
  <c r="AS204" i="2"/>
  <c r="AS580" i="2"/>
  <c r="AT162" i="2"/>
  <c r="AS284" i="2"/>
  <c r="AT147" i="2"/>
  <c r="AS305" i="2"/>
  <c r="AS439" i="2"/>
  <c r="AT236" i="2"/>
  <c r="AS85" i="2"/>
  <c r="AS7" i="2"/>
  <c r="AS141" i="2"/>
  <c r="AT250" i="2"/>
  <c r="AS64" i="2"/>
  <c r="AT411" i="2"/>
  <c r="AV411" i="2" s="1"/>
  <c r="AS544" i="2"/>
  <c r="AS16" i="2"/>
  <c r="AS448" i="2"/>
  <c r="AS43" i="2"/>
  <c r="AS107" i="2"/>
  <c r="AS189" i="2"/>
  <c r="AT28" i="2"/>
  <c r="AT156" i="2"/>
  <c r="AT313" i="2"/>
  <c r="AS449" i="2"/>
  <c r="AS26" i="2"/>
  <c r="AS68" i="2"/>
  <c r="AS333" i="2"/>
  <c r="AS194" i="2"/>
  <c r="AT333" i="2"/>
  <c r="AT471" i="2"/>
  <c r="AS58" i="2"/>
  <c r="AS504" i="2"/>
  <c r="AT145" i="2"/>
  <c r="AS101" i="2"/>
  <c r="AS86" i="2"/>
  <c r="AT67" i="2"/>
  <c r="AT204" i="2"/>
  <c r="AS353" i="2"/>
  <c r="AS519" i="2"/>
  <c r="AS36" i="2"/>
  <c r="AT34" i="2"/>
  <c r="AS39" i="2"/>
  <c r="AS184" i="2"/>
  <c r="AT385" i="2"/>
  <c r="AS226" i="2"/>
  <c r="AS1004" i="2"/>
  <c r="AS18" i="2"/>
  <c r="AS485" i="2"/>
  <c r="AS51" i="2"/>
  <c r="AS115" i="2"/>
  <c r="AS203" i="2"/>
  <c r="AT44" i="2"/>
  <c r="AT177" i="2"/>
  <c r="AT329" i="2"/>
  <c r="AU329" i="2" s="1"/>
  <c r="AS467" i="2"/>
  <c r="AS66" i="2"/>
  <c r="AS108" i="2"/>
  <c r="AS398" i="2"/>
  <c r="AS267" i="2"/>
  <c r="AT349" i="2"/>
  <c r="AS490" i="2"/>
  <c r="AS98" i="2"/>
  <c r="AS20" i="2"/>
  <c r="AT201" i="2"/>
  <c r="AS149" i="2"/>
  <c r="AS130" i="2"/>
  <c r="AT83" i="2"/>
  <c r="AT226" i="2"/>
  <c r="AS369" i="2"/>
  <c r="AT874" i="2"/>
  <c r="AV874" i="2" s="1"/>
  <c r="AS250" i="2"/>
  <c r="AS46" i="2"/>
  <c r="AS71" i="2"/>
  <c r="AS285" i="2"/>
  <c r="AT27" i="2"/>
  <c r="AT210" i="2"/>
  <c r="AS473" i="2"/>
  <c r="AS163" i="2"/>
  <c r="AT305" i="2"/>
  <c r="AS132" i="2"/>
  <c r="AT1179" i="2"/>
  <c r="AV1179" i="2" s="1"/>
  <c r="AS106" i="2"/>
  <c r="AS628" i="2"/>
  <c r="AS59" i="2"/>
  <c r="AS125" i="2"/>
  <c r="AS216" i="2"/>
  <c r="AT60" i="2"/>
  <c r="AT196" i="2"/>
  <c r="AT345" i="2"/>
  <c r="AU345" i="2" s="1"/>
  <c r="AT485" i="2"/>
  <c r="AS114" i="2"/>
  <c r="AS158" i="2"/>
  <c r="AT489" i="2"/>
  <c r="AV489" i="2" s="1"/>
  <c r="AT82" i="2"/>
  <c r="AT365" i="2"/>
  <c r="AV365" i="2" s="1"/>
  <c r="AS513" i="2"/>
  <c r="AS166" i="2"/>
  <c r="AS60" i="2"/>
  <c r="AS301" i="2"/>
  <c r="AS205" i="2"/>
  <c r="AS182" i="2"/>
  <c r="AT99" i="2"/>
  <c r="AT249" i="2"/>
  <c r="AS385" i="2"/>
  <c r="AS42" i="2"/>
  <c r="AT49" i="2"/>
  <c r="AS70" i="2"/>
  <c r="AS79" i="2"/>
  <c r="AT20" i="2"/>
  <c r="AT194" i="2"/>
  <c r="AT252" i="2"/>
  <c r="AS586" i="2"/>
  <c r="AS228" i="2"/>
  <c r="AT738" i="2"/>
  <c r="AV738" i="2" s="1"/>
  <c r="AS67" i="2"/>
  <c r="AS136" i="2"/>
  <c r="AS229" i="2"/>
  <c r="AT76" i="2"/>
  <c r="AT218" i="2"/>
  <c r="AT361" i="2"/>
  <c r="AV361" i="2" s="1"/>
  <c r="AS505" i="2"/>
  <c r="AS156" i="2"/>
  <c r="AS218" i="2"/>
  <c r="AS543" i="2"/>
  <c r="AT146" i="2"/>
  <c r="AT381" i="2"/>
  <c r="AV381" i="2" s="1"/>
  <c r="AS545" i="2"/>
  <c r="AS244" i="2"/>
  <c r="AS100" i="2"/>
  <c r="AS381" i="2"/>
  <c r="AS283" i="2"/>
  <c r="AS220" i="2"/>
  <c r="AT115" i="2"/>
  <c r="AT268" i="2"/>
  <c r="AT402" i="2"/>
  <c r="AS82" i="2"/>
  <c r="AT129" i="2"/>
  <c r="AS102" i="2"/>
  <c r="AS87" i="2"/>
  <c r="AT52" i="2"/>
  <c r="AS192" i="2"/>
  <c r="AS357" i="2"/>
  <c r="AT205" i="2"/>
  <c r="AT91" i="2"/>
  <c r="AS11" i="2"/>
  <c r="AS75" i="2"/>
  <c r="AS147" i="2"/>
  <c r="AS245" i="2"/>
  <c r="AT92" i="2"/>
  <c r="AT241" i="2"/>
  <c r="AT377" i="2"/>
  <c r="AS537" i="2"/>
  <c r="AS202" i="2"/>
  <c r="AS282" i="2"/>
  <c r="AS21" i="2"/>
  <c r="AT180" i="2"/>
  <c r="AT398" i="2"/>
  <c r="AS582" i="2"/>
  <c r="AT59" i="2"/>
  <c r="AS148" i="2"/>
  <c r="AS471" i="2"/>
  <c r="AT66" i="2"/>
  <c r="AS268" i="2"/>
  <c r="AT131" i="2"/>
  <c r="AT289" i="2"/>
  <c r="AU289" i="2" s="1"/>
  <c r="AS421" i="2"/>
  <c r="AS188" i="2"/>
  <c r="AS349" i="2"/>
  <c r="AS162" i="2"/>
  <c r="AS103" i="2"/>
  <c r="AT100" i="2"/>
  <c r="AS29" i="2"/>
  <c r="AT498" i="2"/>
  <c r="AU498" i="2" s="1"/>
  <c r="AS531" i="2"/>
  <c r="AS494" i="2"/>
  <c r="AS134" i="2"/>
  <c r="AT567" i="2"/>
  <c r="AT242" i="2"/>
  <c r="AS235" i="2"/>
  <c r="AS140" i="2"/>
  <c r="AS31" i="2"/>
  <c r="AS95" i="2"/>
  <c r="AS173" i="2"/>
  <c r="AT68" i="2"/>
  <c r="AT353" i="2"/>
  <c r="AV353" i="2" s="1"/>
  <c r="AT97" i="2"/>
  <c r="AS154" i="2"/>
  <c r="AS389" i="2"/>
  <c r="AS105" i="2"/>
  <c r="AS311" i="2"/>
  <c r="AS551" i="2"/>
  <c r="AS276" i="2"/>
  <c r="AS76" i="2"/>
  <c r="AT434" i="2"/>
  <c r="AT114" i="2"/>
  <c r="AS208" i="2"/>
  <c r="AS47" i="2"/>
  <c r="AS111" i="2"/>
  <c r="AS210" i="2"/>
  <c r="AT132" i="2"/>
  <c r="BE132" i="2" s="1"/>
  <c r="AT421" i="2"/>
  <c r="AV421" i="2" s="1"/>
  <c r="AS109" i="2"/>
  <c r="AS258" i="2"/>
  <c r="AS559" i="2"/>
  <c r="AS290" i="2"/>
  <c r="AS1065" i="2"/>
  <c r="AT593" i="2"/>
  <c r="AT75" i="2"/>
  <c r="AS116" i="2"/>
  <c r="AT643" i="2"/>
  <c r="AT244" i="2"/>
  <c r="AS252" i="2"/>
  <c r="AS55" i="2"/>
  <c r="AS120" i="2"/>
  <c r="AS221" i="2"/>
  <c r="AT148" i="2"/>
  <c r="AS553" i="2"/>
  <c r="AS30" i="2"/>
  <c r="AT73" i="2"/>
  <c r="AS124" i="2"/>
  <c r="AS495" i="2"/>
  <c r="AT214" i="2"/>
  <c r="AT669" i="2"/>
  <c r="AV669" i="2" s="1"/>
  <c r="AT155" i="2"/>
  <c r="AS170" i="2"/>
  <c r="AS45" i="2"/>
  <c r="AS14" i="2"/>
  <c r="AT35" i="2"/>
  <c r="AS63" i="2"/>
  <c r="AS131" i="2"/>
  <c r="AS253" i="2"/>
  <c r="AT209" i="2"/>
  <c r="AS671" i="2"/>
  <c r="AS94" i="2"/>
  <c r="AT105" i="2"/>
  <c r="AS260" i="2"/>
  <c r="AT677" i="2"/>
  <c r="AT315" i="2"/>
  <c r="AS541" i="2"/>
  <c r="AS224" i="2"/>
  <c r="AT433" i="2"/>
  <c r="AS281" i="2"/>
  <c r="AT511" i="2"/>
  <c r="AS269" i="2"/>
  <c r="AT116" i="2"/>
  <c r="AT273" i="2"/>
  <c r="AS403" i="2"/>
  <c r="AS596" i="2"/>
  <c r="AT123" i="2"/>
  <c r="AT17" i="2"/>
  <c r="AS69" i="2"/>
  <c r="AS62" i="2"/>
  <c r="AS72" i="2"/>
  <c r="AS142" i="2"/>
  <c r="AS242" i="2"/>
  <c r="AT89" i="2"/>
  <c r="AT233" i="2"/>
  <c r="AS373" i="2"/>
  <c r="AS527" i="2"/>
  <c r="AS178" i="2"/>
  <c r="AT466" i="2"/>
  <c r="AU466" i="2" s="1"/>
  <c r="AS41" i="2"/>
  <c r="AT227" i="2"/>
  <c r="AT553" i="2"/>
  <c r="AV553" i="2" s="1"/>
  <c r="AT514" i="2"/>
  <c r="AT269" i="2"/>
  <c r="AS618" i="2"/>
  <c r="AT278" i="2"/>
  <c r="AT637" i="2"/>
  <c r="AS576" i="2"/>
  <c r="AT681" i="2"/>
  <c r="AS1143" i="2"/>
  <c r="AS754" i="2"/>
  <c r="AS672" i="2"/>
  <c r="AT638" i="2"/>
  <c r="AT691" i="2"/>
  <c r="AS774" i="2"/>
  <c r="AT548" i="2"/>
  <c r="AT420" i="2"/>
  <c r="AS666" i="2"/>
  <c r="AT1160" i="2"/>
  <c r="AV1160" i="2" s="1"/>
  <c r="AS612" i="2"/>
  <c r="AT916" i="2"/>
  <c r="AT780" i="2"/>
  <c r="AS550" i="2"/>
  <c r="AS503" i="2"/>
  <c r="AT360" i="2"/>
  <c r="AV360" i="2" s="1"/>
  <c r="AT176" i="2"/>
  <c r="AS201" i="2"/>
  <c r="AT497" i="2"/>
  <c r="AS397" i="2"/>
  <c r="AS304" i="2"/>
  <c r="AT231" i="2"/>
  <c r="AT151" i="2"/>
  <c r="AT63" i="2"/>
  <c r="AS264" i="2"/>
  <c r="AT838" i="2"/>
  <c r="AT587" i="2"/>
  <c r="AS517" i="2"/>
  <c r="AS474" i="2"/>
  <c r="AT437" i="2"/>
  <c r="AS401" i="2"/>
  <c r="AT367" i="2"/>
  <c r="AT335" i="2"/>
  <c r="AT303" i="2"/>
  <c r="AT254" i="2"/>
  <c r="AT190" i="2"/>
  <c r="AT126" i="2"/>
  <c r="AT62" i="2"/>
  <c r="AS279" i="2"/>
  <c r="AS215" i="2"/>
  <c r="AS151" i="2"/>
  <c r="AT762" i="2"/>
  <c r="AS572" i="2"/>
  <c r="AS507" i="2"/>
  <c r="AS469" i="2"/>
  <c r="AS432" i="2"/>
  <c r="AT395" i="2"/>
  <c r="AS363" i="2"/>
  <c r="AS331" i="2"/>
  <c r="AS299" i="2"/>
  <c r="AT245" i="2"/>
  <c r="AT181" i="2"/>
  <c r="AT117" i="2"/>
  <c r="AT53" i="2"/>
  <c r="AS270" i="2"/>
  <c r="AS206" i="2"/>
  <c r="AS679" i="2"/>
  <c r="AT554" i="2"/>
  <c r="AT495" i="2"/>
  <c r="AS459" i="2"/>
  <c r="AT422" i="2"/>
  <c r="AT386" i="2"/>
  <c r="AT354" i="2"/>
  <c r="AT322" i="2"/>
  <c r="AS1029" i="2"/>
  <c r="AT615" i="2"/>
  <c r="AT529" i="2"/>
  <c r="AT481" i="2"/>
  <c r="AS445" i="2"/>
  <c r="AS408" i="2"/>
  <c r="AS374" i="2"/>
  <c r="AS342" i="2"/>
  <c r="AS310" i="2"/>
  <c r="AT267" i="2"/>
  <c r="AT203" i="2"/>
  <c r="AS561" i="2"/>
  <c r="AT389" i="2"/>
  <c r="AT257" i="2"/>
  <c r="AT106" i="2"/>
  <c r="AS259" i="2"/>
  <c r="AS155" i="2"/>
  <c r="AS81" i="2"/>
  <c r="AS17" i="2"/>
  <c r="AS150" i="2"/>
  <c r="AS251" i="2"/>
  <c r="AT220" i="2"/>
  <c r="AS782" i="2"/>
  <c r="AS913" i="2"/>
  <c r="AT614" i="2"/>
  <c r="AS647" i="2"/>
  <c r="AS707" i="2"/>
  <c r="AT524" i="2"/>
  <c r="AT396" i="2"/>
  <c r="AS626" i="2"/>
  <c r="AS917" i="2"/>
  <c r="AS578" i="2"/>
  <c r="AS786" i="2"/>
  <c r="AS710" i="2"/>
  <c r="AS526" i="2"/>
  <c r="AS475" i="2"/>
  <c r="AT336" i="2"/>
  <c r="AT128" i="2"/>
  <c r="AS153" i="2"/>
  <c r="AT474" i="2"/>
  <c r="AS388" i="2"/>
  <c r="AS300" i="2"/>
  <c r="AT223" i="2"/>
  <c r="AT135" i="2"/>
  <c r="AT55" i="2"/>
  <c r="AS256" i="2"/>
  <c r="AS767" i="2"/>
  <c r="AS575" i="2"/>
  <c r="AS509" i="2"/>
  <c r="AT469" i="2"/>
  <c r="AS433" i="2"/>
  <c r="AS396" i="2"/>
  <c r="AT363" i="2"/>
  <c r="AT331" i="2"/>
  <c r="AT299" i="2"/>
  <c r="AT246" i="2"/>
  <c r="AT182" i="2"/>
  <c r="AT118" i="2"/>
  <c r="AT54" i="2"/>
  <c r="AS271" i="2"/>
  <c r="AS207" i="2"/>
  <c r="AS143" i="2"/>
  <c r="AT717" i="2"/>
  <c r="AS563" i="2"/>
  <c r="AT501" i="2"/>
  <c r="AV501" i="2" s="1"/>
  <c r="AS464" i="2"/>
  <c r="AT427" i="2"/>
  <c r="AS391" i="2"/>
  <c r="AS359" i="2"/>
  <c r="AS327" i="2"/>
  <c r="AS295" i="2"/>
  <c r="AT237" i="2"/>
  <c r="AT173" i="2"/>
  <c r="AT109" i="2"/>
  <c r="AT45" i="2"/>
  <c r="AS262" i="2"/>
  <c r="AS198" i="2"/>
  <c r="AS650" i="2"/>
  <c r="AT546" i="2"/>
  <c r="AS491" i="2"/>
  <c r="AT454" i="2"/>
  <c r="AU454" i="2" s="1"/>
  <c r="AS418" i="2"/>
  <c r="AT382" i="2"/>
  <c r="AT350" i="2"/>
  <c r="AT318" i="2"/>
  <c r="AT905" i="2"/>
  <c r="AS598" i="2"/>
  <c r="AT521" i="2"/>
  <c r="AS477" i="2"/>
  <c r="AS440" i="2"/>
  <c r="AT403" i="2"/>
  <c r="AS370" i="2"/>
  <c r="AS338" i="2"/>
  <c r="AS306" i="2"/>
  <c r="AT259" i="2"/>
  <c r="AT195" i="2"/>
  <c r="AS529" i="2"/>
  <c r="AT373" i="2"/>
  <c r="AT234" i="2"/>
  <c r="AT90" i="2"/>
  <c r="AS243" i="2"/>
  <c r="AS144" i="2"/>
  <c r="AS73" i="2"/>
  <c r="AS9" i="2"/>
  <c r="AS110" i="2"/>
  <c r="AS181" i="2"/>
  <c r="AT113" i="2"/>
  <c r="AT726" i="2"/>
  <c r="AS847" i="2"/>
  <c r="AT606" i="2"/>
  <c r="AS634" i="2"/>
  <c r="AS691" i="2"/>
  <c r="AT516" i="2"/>
  <c r="AU516" i="2" s="1"/>
  <c r="AT1180" i="2"/>
  <c r="AV1180" i="2" s="1"/>
  <c r="AT613" i="2"/>
  <c r="AU613" i="2" s="1"/>
  <c r="AT865" i="2"/>
  <c r="AS568" i="2"/>
  <c r="AS755" i="2"/>
  <c r="AS694" i="2"/>
  <c r="AS518" i="2"/>
  <c r="AS466" i="2"/>
  <c r="AT328" i="2"/>
  <c r="AT112" i="2"/>
  <c r="AS137" i="2"/>
  <c r="AS470" i="2"/>
  <c r="AS368" i="2"/>
  <c r="AS292" i="2"/>
  <c r="AT215" i="2"/>
  <c r="AT127" i="2"/>
  <c r="AT39" i="2"/>
  <c r="AS248" i="2"/>
  <c r="AS719" i="2"/>
  <c r="AT565" i="2"/>
  <c r="AS502" i="2"/>
  <c r="AS465" i="2"/>
  <c r="AS428" i="2"/>
  <c r="AT391" i="2"/>
  <c r="AV391" i="2" s="1"/>
  <c r="AT359" i="2"/>
  <c r="AV359" i="2" s="1"/>
  <c r="AT327" i="2"/>
  <c r="AT295" i="2"/>
  <c r="AT238" i="2"/>
  <c r="AT174" i="2"/>
  <c r="AT110" i="2"/>
  <c r="AT46" i="2"/>
  <c r="AS263" i="2"/>
  <c r="AS199" i="2"/>
  <c r="AS135" i="2"/>
  <c r="AT685" i="2"/>
  <c r="AS555" i="2"/>
  <c r="AS496" i="2"/>
  <c r="AT459" i="2"/>
  <c r="AS423" i="2"/>
  <c r="AS387" i="2"/>
  <c r="AS355" i="2"/>
  <c r="AS323" i="2"/>
  <c r="AS291" i="2"/>
  <c r="AT229" i="2"/>
  <c r="AT165" i="2"/>
  <c r="AT101" i="2"/>
  <c r="AT37" i="2"/>
  <c r="AS254" i="2"/>
  <c r="AS190" i="2"/>
  <c r="AS635" i="2"/>
  <c r="AT538" i="2"/>
  <c r="AT486" i="2"/>
  <c r="AS450" i="2"/>
  <c r="AT413" i="2"/>
  <c r="AU413" i="2" s="1"/>
  <c r="AT378" i="2"/>
  <c r="AV378" i="2" s="1"/>
  <c r="AT346" i="2"/>
  <c r="AV346" i="2" s="1"/>
  <c r="AT314" i="2"/>
  <c r="AT812" i="2"/>
  <c r="AV812" i="2" s="1"/>
  <c r="AT582" i="2"/>
  <c r="AT513" i="2"/>
  <c r="AS472" i="2"/>
  <c r="AT435" i="2"/>
  <c r="AS399" i="2"/>
  <c r="AS366" i="2"/>
  <c r="AS334" i="2"/>
  <c r="AS302" i="2"/>
  <c r="AT251" i="2"/>
  <c r="AT187" i="2"/>
  <c r="AS499" i="2"/>
  <c r="AT357" i="2"/>
  <c r="AT212" i="2"/>
  <c r="AT74" i="2"/>
  <c r="AS227" i="2"/>
  <c r="AS133" i="2"/>
  <c r="AS65" i="2"/>
  <c r="AS56" i="2"/>
  <c r="AS78" i="2"/>
  <c r="AS117" i="2"/>
  <c r="AT33" i="2"/>
  <c r="AT624" i="2"/>
  <c r="AU624" i="2" s="1"/>
  <c r="AT745" i="2"/>
  <c r="AT1021" i="2"/>
  <c r="AT595" i="2"/>
  <c r="AS646" i="2"/>
  <c r="AT492" i="2"/>
  <c r="AT923" i="2"/>
  <c r="AT578" i="2"/>
  <c r="AT756" i="2"/>
  <c r="AT543" i="2"/>
  <c r="AT695" i="2"/>
  <c r="AS648" i="2"/>
  <c r="AS858" i="2"/>
  <c r="AT438" i="2"/>
  <c r="AT304" i="2"/>
  <c r="AT64" i="2"/>
  <c r="AS779" i="2"/>
  <c r="AS461" i="2"/>
  <c r="AS364" i="2"/>
  <c r="AT287" i="2"/>
  <c r="AT199" i="2"/>
  <c r="AT119" i="2"/>
  <c r="AT31" i="2"/>
  <c r="AS240" i="2"/>
  <c r="AS687" i="2"/>
  <c r="AS557" i="2"/>
  <c r="AS497" i="2"/>
  <c r="BF497" i="2" s="1"/>
  <c r="AS460" i="2"/>
  <c r="AT423" i="2"/>
  <c r="AT387" i="2"/>
  <c r="AT355" i="2"/>
  <c r="AT323" i="2"/>
  <c r="AU323" i="2" s="1"/>
  <c r="AT291" i="2"/>
  <c r="AU291" i="2" s="1"/>
  <c r="AT230" i="2"/>
  <c r="AT166" i="2"/>
  <c r="AT102" i="2"/>
  <c r="AT38" i="2"/>
  <c r="AS255" i="2"/>
  <c r="AS191" i="2"/>
  <c r="AS127" i="2"/>
  <c r="AS654" i="2"/>
  <c r="AS547" i="2"/>
  <c r="AT491" i="2"/>
  <c r="AS455" i="2"/>
  <c r="AT418" i="2"/>
  <c r="AS383" i="2"/>
  <c r="AS351" i="2"/>
  <c r="AS319" i="2"/>
  <c r="AT285" i="2"/>
  <c r="AT221" i="2"/>
  <c r="AT157" i="2"/>
  <c r="AT93" i="2"/>
  <c r="AT29" i="2"/>
  <c r="AS246" i="2"/>
  <c r="AT1035" i="2"/>
  <c r="AT617" i="2"/>
  <c r="AT530" i="2"/>
  <c r="AS482" i="2"/>
  <c r="AT445" i="2"/>
  <c r="AS409" i="2"/>
  <c r="AT374" i="2"/>
  <c r="AT342" i="2"/>
  <c r="AT310" i="2"/>
  <c r="AS750" i="2"/>
  <c r="AT570" i="2"/>
  <c r="AT505" i="2"/>
  <c r="AT467" i="2"/>
  <c r="AS431" i="2"/>
  <c r="AT394" i="2"/>
  <c r="AS362" i="2"/>
  <c r="AS330" i="2"/>
  <c r="AS298" i="2"/>
  <c r="AT243" i="2"/>
  <c r="AT179" i="2"/>
  <c r="AS481" i="2"/>
  <c r="AT341" i="2"/>
  <c r="AT193" i="2"/>
  <c r="AT58" i="2"/>
  <c r="AS212" i="2"/>
  <c r="AS123" i="2"/>
  <c r="AS57" i="2"/>
  <c r="AS40" i="2"/>
  <c r="AS54" i="2"/>
  <c r="BF54" i="2" s="1"/>
  <c r="AS77" i="2"/>
  <c r="AS234" i="2"/>
  <c r="AT572" i="2"/>
  <c r="AT734" i="2"/>
  <c r="AV734" i="2" s="1"/>
  <c r="AT959" i="2"/>
  <c r="AT585" i="2"/>
  <c r="AV585" i="2" s="1"/>
  <c r="AT633" i="2"/>
  <c r="AV633" i="2" s="1"/>
  <c r="AT484" i="2"/>
  <c r="AS866" i="2"/>
  <c r="BB866" i="2" s="1"/>
  <c r="AS569" i="2"/>
  <c r="AT733" i="2"/>
  <c r="AT535" i="2"/>
  <c r="AT679" i="2"/>
  <c r="AV679" i="2" s="1"/>
  <c r="AT635" i="2"/>
  <c r="AV635" i="2" s="1"/>
  <c r="AS730" i="2"/>
  <c r="AT429" i="2"/>
  <c r="AV429" i="2" s="1"/>
  <c r="AT296" i="2"/>
  <c r="AT48" i="2"/>
  <c r="AT693" i="2"/>
  <c r="AS438" i="2"/>
  <c r="AS356" i="2"/>
  <c r="AT279" i="2"/>
  <c r="AT191" i="2"/>
  <c r="AT103" i="2"/>
  <c r="AT23" i="2"/>
  <c r="AS232" i="2"/>
  <c r="AT655" i="2"/>
  <c r="AS549" i="2"/>
  <c r="AS492" i="2"/>
  <c r="AT455" i="2"/>
  <c r="AS419" i="2"/>
  <c r="AT383" i="2"/>
  <c r="AT351" i="2"/>
  <c r="AT319" i="2"/>
  <c r="AT286" i="2"/>
  <c r="AT222" i="2"/>
  <c r="AT158" i="2"/>
  <c r="AT94" i="2"/>
  <c r="AT30" i="2"/>
  <c r="AS247" i="2"/>
  <c r="AS183" i="2"/>
  <c r="AS119" i="2"/>
  <c r="AS636" i="2"/>
  <c r="AS539" i="2"/>
  <c r="AS487" i="2"/>
  <c r="AT450" i="2"/>
  <c r="AS414" i="2"/>
  <c r="AS379" i="2"/>
  <c r="AS347" i="2"/>
  <c r="AS315" i="2"/>
  <c r="AT277" i="2"/>
  <c r="AT213" i="2"/>
  <c r="AT149" i="2"/>
  <c r="AT85" i="2"/>
  <c r="AT21" i="2"/>
  <c r="AS238" i="2"/>
  <c r="AT912" i="2"/>
  <c r="AS599" i="2"/>
  <c r="AT522" i="2"/>
  <c r="AU522" i="2" s="1"/>
  <c r="AT477" i="2"/>
  <c r="AS441" i="2"/>
  <c r="AS404" i="2"/>
  <c r="AT370" i="2"/>
  <c r="AT338" i="2"/>
  <c r="AT306" i="2"/>
  <c r="AT709" i="2"/>
  <c r="AT561" i="2"/>
  <c r="AS500" i="2"/>
  <c r="AS463" i="2"/>
  <c r="AT426" i="2"/>
  <c r="AU426" i="2" s="1"/>
  <c r="AS390" i="2"/>
  <c r="AS358" i="2"/>
  <c r="AS326" i="2"/>
  <c r="AS294" i="2"/>
  <c r="AT235" i="2"/>
  <c r="AT171" i="2"/>
  <c r="AT462" i="2"/>
  <c r="AT325" i="2"/>
  <c r="AV325" i="2" s="1"/>
  <c r="AT170" i="2"/>
  <c r="AT42" i="2"/>
  <c r="AS200" i="2"/>
  <c r="AS113" i="2"/>
  <c r="AS49" i="2"/>
  <c r="AS32" i="2"/>
  <c r="AS22" i="2"/>
  <c r="AS37" i="2"/>
  <c r="AS180" i="2"/>
  <c r="AT1050" i="2"/>
  <c r="AT850" i="2"/>
  <c r="AT670" i="2"/>
  <c r="AS778" i="2"/>
  <c r="AT955" i="2"/>
  <c r="AS584" i="2"/>
  <c r="AT452" i="2"/>
  <c r="AV452" i="2" s="1"/>
  <c r="AS734" i="2"/>
  <c r="AS536" i="2"/>
  <c r="AT665" i="2"/>
  <c r="AT503" i="2"/>
  <c r="AT965" i="2"/>
  <c r="AT586" i="2"/>
  <c r="AU586" i="2" s="1"/>
  <c r="AS567" i="2"/>
  <c r="AS393" i="2"/>
  <c r="AT240" i="2"/>
  <c r="AS265" i="2"/>
  <c r="AT557" i="2"/>
  <c r="AS424" i="2"/>
  <c r="AS332" i="2"/>
  <c r="AT255" i="2"/>
  <c r="AT167" i="2"/>
  <c r="AT87" i="2"/>
  <c r="AS280" i="2"/>
  <c r="AS1084" i="2"/>
  <c r="AS622" i="2"/>
  <c r="AS533" i="2"/>
  <c r="AS483" i="2"/>
  <c r="AT446" i="2"/>
  <c r="AS410" i="2"/>
  <c r="AT375" i="2"/>
  <c r="AT343" i="2"/>
  <c r="AT311" i="2"/>
  <c r="AT270" i="2"/>
  <c r="AT206" i="2"/>
  <c r="AT142" i="2"/>
  <c r="AT78" i="2"/>
  <c r="AT14" i="2"/>
  <c r="AS231" i="2"/>
  <c r="AS167" i="2"/>
  <c r="AT933" i="2"/>
  <c r="AS603" i="2"/>
  <c r="AS523" i="2"/>
  <c r="AS478" i="2"/>
  <c r="AT441" i="2"/>
  <c r="AS405" i="2"/>
  <c r="AS371" i="2"/>
  <c r="AS339" i="2"/>
  <c r="AS307" i="2"/>
  <c r="AT261" i="2"/>
  <c r="AT197" i="2"/>
  <c r="AT133" i="2"/>
  <c r="AT69" i="2"/>
  <c r="AS286" i="2"/>
  <c r="AS222" i="2"/>
  <c r="AT751" i="2"/>
  <c r="AT571" i="2"/>
  <c r="AT506" i="2"/>
  <c r="AS468" i="2"/>
  <c r="AT431" i="2"/>
  <c r="AS395" i="2"/>
  <c r="AT362" i="2"/>
  <c r="AT330" i="2"/>
  <c r="AT298" i="2"/>
  <c r="AT649" i="2"/>
  <c r="AT545" i="2"/>
  <c r="AT490" i="2"/>
  <c r="BC490" i="2" s="1"/>
  <c r="AS454" i="2"/>
  <c r="AT417" i="2"/>
  <c r="BB417" i="2" s="1"/>
  <c r="AS382" i="2"/>
  <c r="AS350" i="2"/>
  <c r="AS318" i="2"/>
  <c r="AT283" i="2"/>
  <c r="AT219" i="2"/>
  <c r="AS703" i="2"/>
  <c r="AS426" i="2"/>
  <c r="AT293" i="2"/>
  <c r="AT138" i="2"/>
  <c r="AT10" i="2"/>
  <c r="AS176" i="2"/>
  <c r="AS97" i="2"/>
  <c r="AS33" i="2"/>
  <c r="AS236" i="2"/>
  <c r="AT130" i="2"/>
  <c r="AS416" i="2"/>
  <c r="AT1028" i="2"/>
  <c r="AS708" i="2"/>
  <c r="AT646" i="2"/>
  <c r="AT707" i="2"/>
  <c r="AS810" i="2"/>
  <c r="AT556" i="2"/>
  <c r="AT428" i="2"/>
  <c r="AS682" i="2"/>
  <c r="AS512" i="2"/>
  <c r="AT625" i="2"/>
  <c r="AT971" i="2"/>
  <c r="AT816" i="2"/>
  <c r="AS558" i="2"/>
  <c r="AT518" i="2"/>
  <c r="AT368" i="2"/>
  <c r="BE368" i="2" s="1"/>
  <c r="AT192" i="2"/>
  <c r="AS217" i="2"/>
  <c r="AT509" i="2"/>
  <c r="AT401" i="2"/>
  <c r="AS324" i="2"/>
  <c r="AT247" i="2"/>
  <c r="AT159" i="2"/>
  <c r="AT71" i="2"/>
  <c r="AS272" i="2"/>
  <c r="AT938" i="2"/>
  <c r="AV938" i="2" s="1"/>
  <c r="AS604" i="2"/>
  <c r="AS525" i="2"/>
  <c r="AT478" i="2"/>
  <c r="AS442" i="2"/>
  <c r="AT405" i="2"/>
  <c r="AT371" i="2"/>
  <c r="AT339" i="2"/>
  <c r="AV339" i="2" s="1"/>
  <c r="AT307" i="2"/>
  <c r="AU307" i="2" s="1"/>
  <c r="AT262" i="2"/>
  <c r="AT198" i="2"/>
  <c r="AT134" i="2"/>
  <c r="AT70" i="2"/>
  <c r="AS287" i="2"/>
  <c r="AS223" i="2"/>
  <c r="AS159" i="2"/>
  <c r="AT833" i="2"/>
  <c r="AV833" i="2" s="1"/>
  <c r="AS587" i="2"/>
  <c r="AS515" i="2"/>
  <c r="AT473" i="2"/>
  <c r="AS437" i="2"/>
  <c r="AS400" i="2"/>
  <c r="AS367" i="2"/>
  <c r="AS335" i="2"/>
  <c r="AS303" i="2"/>
  <c r="AT253" i="2"/>
  <c r="AT189" i="2"/>
  <c r="AT125" i="2"/>
  <c r="AT61" i="2"/>
  <c r="AS278" i="2"/>
  <c r="AS214" i="2"/>
  <c r="AS711" i="2"/>
  <c r="AT562" i="2"/>
  <c r="AU562" i="2" s="1"/>
  <c r="AS501" i="2"/>
  <c r="AT463" i="2"/>
  <c r="AS427" i="2"/>
  <c r="AT390" i="2"/>
  <c r="AT358" i="2"/>
  <c r="AT326" i="2"/>
  <c r="AV326" i="2" s="1"/>
  <c r="AT294" i="2"/>
  <c r="AU294" i="2" s="1"/>
  <c r="AS631" i="2"/>
  <c r="AT537" i="2"/>
  <c r="AY537" i="2" s="1"/>
  <c r="AS486" i="2"/>
  <c r="AT449" i="2"/>
  <c r="BC449" i="2" s="1"/>
  <c r="AS413" i="2"/>
  <c r="AS378" i="2"/>
  <c r="AS346" i="2"/>
  <c r="AS314" i="2"/>
  <c r="AT275" i="2"/>
  <c r="AT211" i="2"/>
  <c r="AT611" i="2"/>
  <c r="AU611" i="2" s="1"/>
  <c r="AT407" i="2"/>
  <c r="AV407" i="2" s="1"/>
  <c r="AT276" i="2"/>
  <c r="AT122" i="2"/>
  <c r="AS275" i="2"/>
  <c r="AS165" i="2"/>
  <c r="AS89" i="2"/>
  <c r="AS25" i="2"/>
  <c r="AS172" i="2"/>
  <c r="AT50" i="2"/>
  <c r="AS317" i="2"/>
  <c r="AT439" i="2"/>
  <c r="AT884" i="2"/>
  <c r="AS329" i="2"/>
  <c r="AX329" i="2" s="1"/>
  <c r="AT178" i="2"/>
  <c r="AS160" i="2"/>
  <c r="AS118" i="2"/>
  <c r="BE118" i="2" s="1"/>
  <c r="AS88" i="2"/>
  <c r="AS164" i="2"/>
  <c r="AS274" i="2"/>
  <c r="AT121" i="2"/>
  <c r="AT274" i="2"/>
  <c r="AS407" i="2"/>
  <c r="AS611" i="2"/>
  <c r="AT43" i="2"/>
  <c r="AS44" i="2"/>
  <c r="AS187" i="2"/>
  <c r="AS322" i="2"/>
  <c r="AT302" i="2"/>
  <c r="AS818" i="2"/>
  <c r="AS343" i="2"/>
  <c r="AS175" i="2"/>
  <c r="AT347" i="2"/>
  <c r="AS288" i="2"/>
  <c r="AT256" i="2"/>
  <c r="AT757" i="2"/>
  <c r="AS196" i="2"/>
  <c r="AT36" i="2"/>
  <c r="AT164" i="2"/>
  <c r="AT321" i="2"/>
  <c r="AU321" i="2" s="1"/>
  <c r="AS458" i="2"/>
  <c r="AS50" i="2"/>
  <c r="AS535" i="2"/>
  <c r="AT284" i="2"/>
  <c r="AS219" i="2"/>
  <c r="AS195" i="2"/>
  <c r="AS96" i="2"/>
  <c r="AS174" i="2"/>
  <c r="AT8" i="2"/>
  <c r="AT137" i="2"/>
  <c r="AS293" i="2"/>
  <c r="AT425" i="2"/>
  <c r="AT701" i="2"/>
  <c r="AT107" i="2"/>
  <c r="AS84" i="2"/>
  <c r="AT26" i="2"/>
  <c r="AS354" i="2"/>
  <c r="AT334" i="2"/>
  <c r="AS230" i="2"/>
  <c r="AS375" i="2"/>
  <c r="AS239" i="2"/>
  <c r="AT379" i="2"/>
  <c r="AV379" i="2" s="1"/>
  <c r="AT95" i="2"/>
  <c r="AS402" i="2"/>
  <c r="AT460" i="2"/>
  <c r="AU460" i="2" s="1"/>
  <c r="AT186" i="2"/>
  <c r="AT337" i="2"/>
  <c r="AS476" i="2"/>
  <c r="AS90" i="2"/>
  <c r="AS52" i="2"/>
  <c r="AS365" i="2"/>
  <c r="AT18" i="2"/>
  <c r="AS8" i="2"/>
  <c r="AS104" i="2"/>
  <c r="AS186" i="2"/>
  <c r="AT25" i="2"/>
  <c r="AT153" i="2"/>
  <c r="BG153" i="2" s="1"/>
  <c r="AS309" i="2"/>
  <c r="AT443" i="2"/>
  <c r="AS996" i="2"/>
  <c r="AT172" i="2"/>
  <c r="AS126" i="2"/>
  <c r="AT154" i="2"/>
  <c r="AS386" i="2"/>
  <c r="AT366" i="2"/>
  <c r="AT13" i="2"/>
  <c r="AT409" i="2"/>
  <c r="AT22" i="2"/>
  <c r="AT414" i="2"/>
  <c r="AT183" i="2"/>
  <c r="AS592" i="2"/>
  <c r="AS595" i="2"/>
  <c r="AT494" i="2"/>
  <c r="AS146" i="2"/>
  <c r="AS92" i="2"/>
  <c r="AS453" i="2"/>
  <c r="AT98" i="2"/>
  <c r="AS24" i="2"/>
  <c r="AS112" i="2"/>
  <c r="AS197" i="2"/>
  <c r="AT41" i="2"/>
  <c r="AT169" i="2"/>
  <c r="AS325" i="2"/>
  <c r="AS462" i="2"/>
  <c r="AS34" i="2"/>
  <c r="AS297" i="2"/>
  <c r="AT797" i="2"/>
  <c r="AV797" i="2" s="1"/>
  <c r="AT309" i="2"/>
  <c r="AS422" i="2"/>
  <c r="AT399" i="2"/>
  <c r="AU399" i="2" s="1"/>
  <c r="AT77" i="2"/>
  <c r="AS446" i="2"/>
  <c r="AT86" i="2"/>
  <c r="AS451" i="2"/>
  <c r="AT263" i="2"/>
  <c r="AT597" i="2"/>
  <c r="AS1021" i="2"/>
  <c r="AS237" i="2"/>
  <c r="AT84" i="2"/>
  <c r="AT228" i="2"/>
  <c r="AT369" i="2"/>
  <c r="AS521" i="2"/>
  <c r="AS213" i="2"/>
  <c r="AS138" i="2"/>
  <c r="AS511" i="2"/>
  <c r="AS289" i="2"/>
  <c r="AS48" i="2"/>
  <c r="AS122" i="2"/>
  <c r="AS211" i="2"/>
  <c r="AT57" i="2"/>
  <c r="AT188" i="2"/>
  <c r="AS341" i="2"/>
  <c r="AS480" i="2"/>
  <c r="AS74" i="2"/>
  <c r="AS345" i="2"/>
  <c r="AT266" i="2"/>
  <c r="AS444" i="2"/>
  <c r="AT458" i="2"/>
  <c r="AS436" i="2"/>
  <c r="AT141" i="2"/>
  <c r="AT482" i="2"/>
  <c r="AT150" i="2"/>
  <c r="AT487" i="2"/>
  <c r="AS336" i="2"/>
  <c r="AT1033" i="2"/>
  <c r="AS811" i="2"/>
  <c r="AT759" i="2"/>
  <c r="AT1083" i="2"/>
  <c r="AV1083" i="2" s="1"/>
  <c r="AS1141" i="2"/>
  <c r="AS724" i="2"/>
  <c r="AU361" i="2"/>
  <c r="AS1052" i="2"/>
  <c r="AT1063" i="2"/>
  <c r="AU866" i="2"/>
  <c r="AS1088" i="2"/>
  <c r="AT910" i="2"/>
  <c r="AS685" i="2"/>
  <c r="AS1054" i="2"/>
  <c r="AT47" i="2"/>
  <c r="AT111" i="2"/>
  <c r="AT175" i="2"/>
  <c r="AT239" i="2"/>
  <c r="AS296" i="2"/>
  <c r="AS328" i="2"/>
  <c r="AS360" i="2"/>
  <c r="AS392" i="2"/>
  <c r="AS429" i="2"/>
  <c r="AT465" i="2"/>
  <c r="AT502" i="2"/>
  <c r="AS566" i="2"/>
  <c r="AT727" i="2"/>
  <c r="AS145" i="2"/>
  <c r="AS209" i="2"/>
  <c r="AS273" i="2"/>
  <c r="AT56" i="2"/>
  <c r="AT120" i="2"/>
  <c r="AT184" i="2"/>
  <c r="AT248" i="2"/>
  <c r="AT300" i="2"/>
  <c r="AT332" i="2"/>
  <c r="AT364" i="2"/>
  <c r="AT397" i="2"/>
  <c r="AS434" i="2"/>
  <c r="AT470" i="2"/>
  <c r="AT510" i="2"/>
  <c r="AT577" i="2"/>
  <c r="AT784" i="2"/>
  <c r="AS522" i="2"/>
  <c r="AS554" i="2"/>
  <c r="AT591" i="2"/>
  <c r="AS642" i="2"/>
  <c r="AS702" i="2"/>
  <c r="AT798" i="2"/>
  <c r="AT996" i="2"/>
  <c r="AT687" i="2"/>
  <c r="AT767" i="2"/>
  <c r="AT944" i="2"/>
  <c r="AT507" i="2"/>
  <c r="AT539" i="2"/>
  <c r="AS573" i="2"/>
  <c r="AS619" i="2"/>
  <c r="AT673" i="2"/>
  <c r="AT743" i="2"/>
  <c r="AT891" i="2"/>
  <c r="AS508" i="2"/>
  <c r="AS540" i="2"/>
  <c r="AT573" i="2"/>
  <c r="AT619" i="2"/>
  <c r="AS674" i="2"/>
  <c r="AT744" i="2"/>
  <c r="AT895" i="2"/>
  <c r="AT392" i="2"/>
  <c r="AT424" i="2"/>
  <c r="AT456" i="2"/>
  <c r="AT488" i="2"/>
  <c r="AT520" i="2"/>
  <c r="AT552" i="2"/>
  <c r="AS590" i="2"/>
  <c r="AT639" i="2"/>
  <c r="AS699" i="2"/>
  <c r="AT792" i="2"/>
  <c r="AS984" i="2"/>
  <c r="AT590" i="2"/>
  <c r="AS640" i="2"/>
  <c r="AT699" i="2"/>
  <c r="AT793" i="2"/>
  <c r="AT991" i="2"/>
  <c r="AT610" i="2"/>
  <c r="AT642" i="2"/>
  <c r="AT674" i="2"/>
  <c r="AT739" i="2"/>
  <c r="AT902" i="2"/>
  <c r="AV902" i="2" s="1"/>
  <c r="AS676" i="2"/>
  <c r="AT858" i="2"/>
  <c r="AT620" i="2"/>
  <c r="AT731" i="2"/>
  <c r="AS1068" i="2"/>
  <c r="AT748" i="2"/>
  <c r="AT770" i="2"/>
  <c r="AT1184" i="2"/>
  <c r="AS889" i="2"/>
  <c r="AS1070" i="2"/>
  <c r="AT1099" i="2"/>
  <c r="AT517" i="2"/>
  <c r="AS591" i="2"/>
  <c r="AT854" i="2"/>
  <c r="AS161" i="2"/>
  <c r="AS225" i="2"/>
  <c r="AT7" i="2"/>
  <c r="AT72" i="2"/>
  <c r="AT136" i="2"/>
  <c r="AT200" i="2"/>
  <c r="AT264" i="2"/>
  <c r="AT308" i="2"/>
  <c r="AT340" i="2"/>
  <c r="AT372" i="2"/>
  <c r="AT406" i="2"/>
  <c r="AS443" i="2"/>
  <c r="AT479" i="2"/>
  <c r="AT526" i="2"/>
  <c r="AT609" i="2"/>
  <c r="AT969" i="2"/>
  <c r="AS530" i="2"/>
  <c r="AS562" i="2"/>
  <c r="AT603" i="2"/>
  <c r="AS655" i="2"/>
  <c r="AS718" i="2"/>
  <c r="AS834" i="2"/>
  <c r="AS1076" i="2"/>
  <c r="AT703" i="2"/>
  <c r="AS803" i="2"/>
  <c r="AT1008" i="2"/>
  <c r="AT515" i="2"/>
  <c r="AT547" i="2"/>
  <c r="AS583" i="2"/>
  <c r="AT631" i="2"/>
  <c r="AT689" i="2"/>
  <c r="AS771" i="2"/>
  <c r="AT948" i="2"/>
  <c r="AS516" i="2"/>
  <c r="AS548" i="2"/>
  <c r="AT583" i="2"/>
  <c r="AS632" i="2"/>
  <c r="AS690" i="2"/>
  <c r="AT773" i="2"/>
  <c r="AS949" i="2"/>
  <c r="AT400" i="2"/>
  <c r="AT432" i="2"/>
  <c r="AT464" i="2"/>
  <c r="AT496" i="2"/>
  <c r="AT528" i="2"/>
  <c r="AT560" i="2"/>
  <c r="AT601" i="2"/>
  <c r="AS652" i="2"/>
  <c r="AS715" i="2"/>
  <c r="AS826" i="2"/>
  <c r="AT1059" i="2"/>
  <c r="AS602" i="2"/>
  <c r="AT653" i="2"/>
  <c r="AT715" i="2"/>
  <c r="AT830" i="2"/>
  <c r="AT1064" i="2"/>
  <c r="AT618" i="2"/>
  <c r="AT650" i="2"/>
  <c r="AT682" i="2"/>
  <c r="AT778" i="2"/>
  <c r="AS924" i="2"/>
  <c r="AS712" i="2"/>
  <c r="AT960" i="2"/>
  <c r="AV960" i="2" s="1"/>
  <c r="AT628" i="2"/>
  <c r="AS807" i="2"/>
  <c r="AS613" i="2"/>
  <c r="AS759" i="2"/>
  <c r="AS1057" i="2"/>
  <c r="AT973" i="2"/>
  <c r="AV973" i="2" s="1"/>
  <c r="AS932" i="2"/>
  <c r="AT1066" i="2"/>
  <c r="AV1066" i="2" s="1"/>
  <c r="AS308" i="2"/>
  <c r="AS340" i="2"/>
  <c r="AS372" i="2"/>
  <c r="AS406" i="2"/>
  <c r="AT442" i="2"/>
  <c r="AS479" i="2"/>
  <c r="AT525" i="2"/>
  <c r="AT605" i="2"/>
  <c r="AS960" i="2"/>
  <c r="AS169" i="2"/>
  <c r="AS233" i="2"/>
  <c r="AT16" i="2"/>
  <c r="AT80" i="2"/>
  <c r="AT144" i="2"/>
  <c r="AT208" i="2"/>
  <c r="AT272" i="2"/>
  <c r="AT312" i="2"/>
  <c r="AT344" i="2"/>
  <c r="AT376" i="2"/>
  <c r="AS411" i="2"/>
  <c r="AT447" i="2"/>
  <c r="AS484" i="2"/>
  <c r="AT534" i="2"/>
  <c r="AS624" i="2"/>
  <c r="AS1149" i="2"/>
  <c r="AS534" i="2"/>
  <c r="AT566" i="2"/>
  <c r="AS610" i="2"/>
  <c r="AS662" i="2"/>
  <c r="AT728" i="2"/>
  <c r="AT857" i="2"/>
  <c r="AT1136" i="2"/>
  <c r="AT711" i="2"/>
  <c r="AT818" i="2"/>
  <c r="AT1043" i="2"/>
  <c r="AT519" i="2"/>
  <c r="AT551" i="2"/>
  <c r="AS588" i="2"/>
  <c r="AS638" i="2"/>
  <c r="AT697" i="2"/>
  <c r="AT786" i="2"/>
  <c r="AT977" i="2"/>
  <c r="AS520" i="2"/>
  <c r="AS552" i="2"/>
  <c r="AT589" i="2"/>
  <c r="AS639" i="2"/>
  <c r="AS698" i="2"/>
  <c r="AT790" i="2"/>
  <c r="AT983" i="2"/>
  <c r="AT404" i="2"/>
  <c r="AT436" i="2"/>
  <c r="AT468" i="2"/>
  <c r="AT500" i="2"/>
  <c r="AT532" i="2"/>
  <c r="AS565" i="2"/>
  <c r="AT607" i="2"/>
  <c r="AS659" i="2"/>
  <c r="AT724" i="2"/>
  <c r="AT849" i="2"/>
  <c r="AS1105" i="2"/>
  <c r="AS608" i="2"/>
  <c r="AT659" i="2"/>
  <c r="AT725" i="2"/>
  <c r="AS850" i="2"/>
  <c r="AS1125" i="2"/>
  <c r="AT622" i="2"/>
  <c r="AT654" i="2"/>
  <c r="AT686" i="2"/>
  <c r="AT785" i="2"/>
  <c r="AT1004" i="2"/>
  <c r="AS716" i="2"/>
  <c r="AT1009" i="2"/>
  <c r="AT664" i="2"/>
  <c r="AS814" i="2"/>
  <c r="AS617" i="2"/>
  <c r="AT869" i="2"/>
  <c r="AS1096" i="2"/>
  <c r="AS1000" i="2"/>
  <c r="AT1121" i="2"/>
  <c r="AT1082" i="2"/>
  <c r="AT15" i="2"/>
  <c r="BE15" i="2" s="1"/>
  <c r="AT79" i="2"/>
  <c r="AT143" i="2"/>
  <c r="AT207" i="2"/>
  <c r="AT271" i="2"/>
  <c r="AS312" i="2"/>
  <c r="AS344" i="2"/>
  <c r="AS376" i="2"/>
  <c r="AT410" i="2"/>
  <c r="AS447" i="2"/>
  <c r="AT483" i="2"/>
  <c r="AT533" i="2"/>
  <c r="AT623" i="2"/>
  <c r="AT1128" i="2"/>
  <c r="AS177" i="2"/>
  <c r="AS241" i="2"/>
  <c r="AT24" i="2"/>
  <c r="AT88" i="2"/>
  <c r="AT152" i="2"/>
  <c r="AT216" i="2"/>
  <c r="AT280" i="2"/>
  <c r="AT316" i="2"/>
  <c r="AT348" i="2"/>
  <c r="AT380" i="2"/>
  <c r="AT415" i="2"/>
  <c r="AS452" i="2"/>
  <c r="AS489" i="2"/>
  <c r="AT542" i="2"/>
  <c r="AS643" i="2"/>
  <c r="AS506" i="2"/>
  <c r="AS538" i="2"/>
  <c r="AS571" i="2"/>
  <c r="AS616" i="2"/>
  <c r="AS670" i="2"/>
  <c r="AS739" i="2"/>
  <c r="AT880" i="2"/>
  <c r="AS656" i="2"/>
  <c r="AT719" i="2"/>
  <c r="AT841" i="2"/>
  <c r="AT1084" i="2"/>
  <c r="AT523" i="2"/>
  <c r="AT555" i="2"/>
  <c r="AS594" i="2"/>
  <c r="AS644" i="2"/>
  <c r="AT705" i="2"/>
  <c r="AT805" i="2"/>
  <c r="AS1009" i="2"/>
  <c r="AS524" i="2"/>
  <c r="AS556" i="2"/>
  <c r="AT594" i="2"/>
  <c r="AT645" i="2"/>
  <c r="AS706" i="2"/>
  <c r="AS806" i="2"/>
  <c r="AT1016" i="2"/>
  <c r="AT408" i="2"/>
  <c r="AT440" i="2"/>
  <c r="AT472" i="2"/>
  <c r="AT504" i="2"/>
  <c r="AT536" i="2"/>
  <c r="AT569" i="2"/>
  <c r="AS614" i="2"/>
  <c r="AS667" i="2"/>
  <c r="AS735" i="2"/>
  <c r="AT870" i="2"/>
  <c r="AS1189" i="2"/>
  <c r="AS615" i="2"/>
  <c r="AT667" i="2"/>
  <c r="AT735" i="2"/>
  <c r="AT873" i="2"/>
  <c r="AS1192" i="2"/>
  <c r="AT626" i="2"/>
  <c r="AT658" i="2"/>
  <c r="AT698" i="2"/>
  <c r="AS791" i="2"/>
  <c r="AS1017" i="2"/>
  <c r="AS758" i="2"/>
  <c r="AT1023" i="2"/>
  <c r="AT668" i="2"/>
  <c r="AV668" i="2" s="1"/>
  <c r="AT886" i="2"/>
  <c r="AS621" i="2"/>
  <c r="AT879" i="2"/>
  <c r="AT823" i="2"/>
  <c r="AS1025" i="2"/>
  <c r="AT1137" i="2"/>
  <c r="AS967" i="2"/>
  <c r="AS316" i="2"/>
  <c r="AS348" i="2"/>
  <c r="AS380" i="2"/>
  <c r="AS415" i="2"/>
  <c r="AT451" i="2"/>
  <c r="AS488" i="2"/>
  <c r="AT541" i="2"/>
  <c r="AT641" i="2"/>
  <c r="AS121" i="2"/>
  <c r="AS185" i="2"/>
  <c r="AS249" i="2"/>
  <c r="AT32" i="2"/>
  <c r="AT96" i="2"/>
  <c r="AT160" i="2"/>
  <c r="AT224" i="2"/>
  <c r="BC224" i="2" s="1"/>
  <c r="AT288" i="2"/>
  <c r="AT320" i="2"/>
  <c r="AT352" i="2"/>
  <c r="AT384" i="2"/>
  <c r="AS420" i="2"/>
  <c r="AS457" i="2"/>
  <c r="AT493" i="2"/>
  <c r="AT550" i="2"/>
  <c r="AS663" i="2"/>
  <c r="AS510" i="2"/>
  <c r="AS542" i="2"/>
  <c r="AT575" i="2"/>
  <c r="AS623" i="2"/>
  <c r="AS678" i="2"/>
  <c r="AS751" i="2"/>
  <c r="AT906" i="2"/>
  <c r="AT663" i="2"/>
  <c r="AT730" i="2"/>
  <c r="AT862" i="2"/>
  <c r="AS1160" i="2"/>
  <c r="AT527" i="2"/>
  <c r="AT559" i="2"/>
  <c r="AT599" i="2"/>
  <c r="AS651" i="2"/>
  <c r="AT713" i="2"/>
  <c r="AT822" i="2"/>
  <c r="AT1048" i="2"/>
  <c r="AS528" i="2"/>
  <c r="AS560" i="2"/>
  <c r="AS600" i="2"/>
  <c r="AT651" i="2"/>
  <c r="AS714" i="2"/>
  <c r="AT825" i="2"/>
  <c r="AS1049" i="2"/>
  <c r="AT412" i="2"/>
  <c r="AT444" i="2"/>
  <c r="AT476" i="2"/>
  <c r="AT508" i="2"/>
  <c r="AT540" i="2"/>
  <c r="AS574" i="2"/>
  <c r="AS620" i="2"/>
  <c r="AS675" i="2"/>
  <c r="AS746" i="2"/>
  <c r="AS896" i="2"/>
  <c r="AT574" i="2"/>
  <c r="AT621" i="2"/>
  <c r="AT675" i="2"/>
  <c r="AT746" i="2"/>
  <c r="AT901" i="2"/>
  <c r="AT598" i="2"/>
  <c r="AT630" i="2"/>
  <c r="AT662" i="2"/>
  <c r="AT702" i="2"/>
  <c r="AS831" i="2"/>
  <c r="AS1060" i="2"/>
  <c r="AS763" i="2"/>
  <c r="AT564" i="2"/>
  <c r="AU564" i="2" s="1"/>
  <c r="AT684" i="2"/>
  <c r="AS897" i="2"/>
  <c r="AS677" i="2"/>
  <c r="AT900" i="2"/>
  <c r="AT839" i="2"/>
  <c r="AT1007" i="2"/>
  <c r="AV1007" i="2" s="1"/>
  <c r="AT1153" i="2"/>
  <c r="AS983" i="2"/>
  <c r="AS320" i="2"/>
  <c r="AS352" i="2"/>
  <c r="AS384" i="2"/>
  <c r="AT419" i="2"/>
  <c r="AS456" i="2"/>
  <c r="AS493" i="2"/>
  <c r="AT549" i="2"/>
  <c r="AT661" i="2"/>
  <c r="AS129" i="2"/>
  <c r="AS193" i="2"/>
  <c r="AS257" i="2"/>
  <c r="AT40" i="2"/>
  <c r="AT104" i="2"/>
  <c r="AT168" i="2"/>
  <c r="AT232" i="2"/>
  <c r="AT292" i="2"/>
  <c r="BD292" i="2" s="1"/>
  <c r="AT324" i="2"/>
  <c r="AT356" i="2"/>
  <c r="AT388" i="2"/>
  <c r="AS425" i="2"/>
  <c r="AT461" i="2"/>
  <c r="AS498" i="2"/>
  <c r="AT558" i="2"/>
  <c r="AS695" i="2"/>
  <c r="AS514" i="2"/>
  <c r="AS546" i="2"/>
  <c r="AT581" i="2"/>
  <c r="AU581" i="2" s="1"/>
  <c r="AT629" i="2"/>
  <c r="AV629" i="2" s="1"/>
  <c r="AS686" i="2"/>
  <c r="AS766" i="2"/>
  <c r="AT937" i="2"/>
  <c r="AT671" i="2"/>
  <c r="AT741" i="2"/>
  <c r="AS885" i="2"/>
  <c r="AT499" i="2"/>
  <c r="AV499" i="2" s="1"/>
  <c r="AT531" i="2"/>
  <c r="AT563" i="2"/>
  <c r="AS606" i="2"/>
  <c r="BH606" i="2" s="1"/>
  <c r="AT657" i="2"/>
  <c r="AT722" i="2"/>
  <c r="AV722" i="2" s="1"/>
  <c r="AS842" i="2"/>
  <c r="AT1096" i="2"/>
  <c r="AS532" i="2"/>
  <c r="AS564" i="2"/>
  <c r="AS607" i="2"/>
  <c r="AS658" i="2"/>
  <c r="AS723" i="2"/>
  <c r="AT846" i="2"/>
  <c r="AT1104" i="2"/>
  <c r="AT416" i="2"/>
  <c r="AT448" i="2"/>
  <c r="AT480" i="2"/>
  <c r="AT512" i="2"/>
  <c r="AT544" i="2"/>
  <c r="AU544" i="2" s="1"/>
  <c r="AS579" i="2"/>
  <c r="AS627" i="2"/>
  <c r="AS683" i="2"/>
  <c r="AT760" i="2"/>
  <c r="AT927" i="2"/>
  <c r="AT579" i="2"/>
  <c r="AT627" i="2"/>
  <c r="AT683" i="2"/>
  <c r="AS762" i="2"/>
  <c r="AS928" i="2"/>
  <c r="AT602" i="2"/>
  <c r="AT634" i="2"/>
  <c r="AT666" i="2"/>
  <c r="AT706" i="2"/>
  <c r="AS839" i="2"/>
  <c r="AS668" i="2"/>
  <c r="AS787" i="2"/>
  <c r="AT568" i="2"/>
  <c r="AT721" i="2"/>
  <c r="AV721" i="2" s="1"/>
  <c r="AS908" i="2"/>
  <c r="AS681" i="2"/>
  <c r="AT749" i="2"/>
  <c r="AV749" i="2" s="1"/>
  <c r="AT851" i="2"/>
  <c r="AT1032" i="2"/>
  <c r="AU1032" i="2" s="1"/>
  <c r="AS1038" i="2"/>
  <c r="AS999" i="2"/>
  <c r="AT710" i="2"/>
  <c r="AT750" i="2"/>
  <c r="AS798" i="2"/>
  <c r="AS855" i="2"/>
  <c r="AS945" i="2"/>
  <c r="AT1076" i="2"/>
  <c r="AS680" i="2"/>
  <c r="AT720" i="2"/>
  <c r="AS794" i="2"/>
  <c r="AT875" i="2"/>
  <c r="AS1036" i="2"/>
  <c r="AT588" i="2"/>
  <c r="AT632" i="2"/>
  <c r="AT688" i="2"/>
  <c r="AT737" i="2"/>
  <c r="AT820" i="2"/>
  <c r="AT950" i="2"/>
  <c r="AS1116" i="2"/>
  <c r="AS625" i="2"/>
  <c r="AS689" i="2"/>
  <c r="AT764" i="2"/>
  <c r="AT911" i="2"/>
  <c r="AS790" i="2"/>
  <c r="AS1180" i="2"/>
  <c r="AT855" i="2"/>
  <c r="AS740" i="2"/>
  <c r="AS1053" i="2"/>
  <c r="AS1101" i="2"/>
  <c r="AS953" i="2"/>
  <c r="AT1169" i="2"/>
  <c r="AS1086" i="2"/>
  <c r="AT1098" i="2"/>
  <c r="AS1015" i="2"/>
  <c r="AT714" i="2"/>
  <c r="AT755" i="2"/>
  <c r="BC755" i="2" s="1"/>
  <c r="AT804" i="2"/>
  <c r="AS863" i="2"/>
  <c r="AS956" i="2"/>
  <c r="AS1097" i="2"/>
  <c r="AS684" i="2"/>
  <c r="AT736" i="2"/>
  <c r="AT800" i="2"/>
  <c r="AT917" i="2"/>
  <c r="AT1051" i="2"/>
  <c r="AT592" i="2"/>
  <c r="AT636" i="2"/>
  <c r="AT692" i="2"/>
  <c r="AT758" i="2"/>
  <c r="AS827" i="2"/>
  <c r="AS961" i="2"/>
  <c r="AS581" i="2"/>
  <c r="AS645" i="2"/>
  <c r="AS709" i="2"/>
  <c r="AS795" i="2"/>
  <c r="AS989" i="2"/>
  <c r="AS854" i="2"/>
  <c r="AS1184" i="2"/>
  <c r="AT929" i="2"/>
  <c r="AS820" i="2"/>
  <c r="AT840" i="2"/>
  <c r="AS757" i="2"/>
  <c r="AT1092" i="2"/>
  <c r="AS910" i="2"/>
  <c r="AS1166" i="2"/>
  <c r="AT1178" i="2"/>
  <c r="AS1095" i="2"/>
  <c r="AT718" i="2"/>
  <c r="AT761" i="2"/>
  <c r="AT810" i="2"/>
  <c r="AS871" i="2"/>
  <c r="AT966" i="2"/>
  <c r="AS1128" i="2"/>
  <c r="AS688" i="2"/>
  <c r="AS742" i="2"/>
  <c r="AT806" i="2"/>
  <c r="AT928" i="2"/>
  <c r="AT1067" i="2"/>
  <c r="AT596" i="2"/>
  <c r="AT652" i="2"/>
  <c r="AT696" i="2"/>
  <c r="AT763" i="2"/>
  <c r="AS835" i="2"/>
  <c r="AT972" i="2"/>
  <c r="AS585" i="2"/>
  <c r="AS649" i="2"/>
  <c r="AS713" i="2"/>
  <c r="AS802" i="2"/>
  <c r="AT1001" i="2"/>
  <c r="AS870" i="2"/>
  <c r="AT1204" i="2"/>
  <c r="AT935" i="2"/>
  <c r="AS836" i="2"/>
  <c r="AT856" i="2"/>
  <c r="AS773" i="2"/>
  <c r="AS1136" i="2"/>
  <c r="AS926" i="2"/>
  <c r="AS1182" i="2"/>
  <c r="AT1194" i="2"/>
  <c r="AS1111" i="2"/>
  <c r="AT690" i="2"/>
  <c r="AT723" i="2"/>
  <c r="AT766" i="2"/>
  <c r="AT817" i="2"/>
  <c r="AS881" i="2"/>
  <c r="AT979" i="2"/>
  <c r="AS1157" i="2"/>
  <c r="AS700" i="2"/>
  <c r="AS747" i="2"/>
  <c r="AT813" i="2"/>
  <c r="AT939" i="2"/>
  <c r="AT1168" i="2"/>
  <c r="AT600" i="2"/>
  <c r="AT656" i="2"/>
  <c r="AT700" i="2"/>
  <c r="AT769" i="2"/>
  <c r="AS867" i="2"/>
  <c r="AS985" i="2"/>
  <c r="AS589" i="2"/>
  <c r="AS653" i="2"/>
  <c r="AS717" i="2"/>
  <c r="AT808" i="2"/>
  <c r="AS1028" i="2"/>
  <c r="AT890" i="2"/>
  <c r="AT775" i="2"/>
  <c r="AT956" i="2"/>
  <c r="AS852" i="2"/>
  <c r="AT872" i="2"/>
  <c r="AS789" i="2"/>
  <c r="AS1177" i="2"/>
  <c r="AS942" i="2"/>
  <c r="AS1198" i="2"/>
  <c r="AT1210" i="2"/>
  <c r="AS1127" i="2"/>
  <c r="AT694" i="2"/>
  <c r="AT729" i="2"/>
  <c r="AT772" i="2"/>
  <c r="AS823" i="2"/>
  <c r="AS892" i="2"/>
  <c r="AS992" i="2"/>
  <c r="AS1181" i="2"/>
  <c r="AS704" i="2"/>
  <c r="AT752" i="2"/>
  <c r="AT842" i="2"/>
  <c r="AT949" i="2"/>
  <c r="AT1192" i="2"/>
  <c r="AT604" i="2"/>
  <c r="AT660" i="2"/>
  <c r="AT716" i="2"/>
  <c r="AS775" i="2"/>
  <c r="AS876" i="2"/>
  <c r="AT997" i="2"/>
  <c r="AS593" i="2"/>
  <c r="AS657" i="2"/>
  <c r="AS722" i="2"/>
  <c r="AT814" i="2"/>
  <c r="AT1040" i="2"/>
  <c r="AT922" i="2"/>
  <c r="AT787" i="2"/>
  <c r="AS980" i="2"/>
  <c r="AS868" i="2"/>
  <c r="AT893" i="2"/>
  <c r="AS805" i="2"/>
  <c r="AT1041" i="2"/>
  <c r="AS958" i="2"/>
  <c r="AT970" i="2"/>
  <c r="AS887" i="2"/>
  <c r="U22" i="1"/>
  <c r="AV624" i="2"/>
  <c r="AT1203" i="2"/>
  <c r="AT1131" i="2"/>
  <c r="AT1091" i="2"/>
  <c r="AS1199" i="2"/>
  <c r="AS1167" i="2"/>
  <c r="AS1135" i="2"/>
  <c r="AS1103" i="2"/>
  <c r="AS1071" i="2"/>
  <c r="AS1039" i="2"/>
  <c r="AS1007" i="2"/>
  <c r="AS975" i="2"/>
  <c r="AS943" i="2"/>
  <c r="AS911" i="2"/>
  <c r="AS879" i="2"/>
  <c r="AT1186" i="2"/>
  <c r="AT1154" i="2"/>
  <c r="AT1122" i="2"/>
  <c r="AT1090" i="2"/>
  <c r="AT1058" i="2"/>
  <c r="AT1026" i="2"/>
  <c r="AT994" i="2"/>
  <c r="AS1206" i="2"/>
  <c r="AS1174" i="2"/>
  <c r="AS1142" i="2"/>
  <c r="AS1110" i="2"/>
  <c r="AS1078" i="2"/>
  <c r="AS1046" i="2"/>
  <c r="AS1014" i="2"/>
  <c r="AS982" i="2"/>
  <c r="AS950" i="2"/>
  <c r="AS918" i="2"/>
  <c r="AS886" i="2"/>
  <c r="AT1193" i="2"/>
  <c r="AT1161" i="2"/>
  <c r="AT1129" i="2"/>
  <c r="AT1097" i="2"/>
  <c r="AT1065" i="2"/>
  <c r="AS1200" i="2"/>
  <c r="AS1113" i="2"/>
  <c r="AS1040" i="2"/>
  <c r="AT988" i="2"/>
  <c r="AT942" i="2"/>
  <c r="AS900" i="2"/>
  <c r="AS861" i="2"/>
  <c r="AS829" i="2"/>
  <c r="AS797" i="2"/>
  <c r="AS765" i="2"/>
  <c r="AS733" i="2"/>
  <c r="AS1165" i="2"/>
  <c r="AT1080" i="2"/>
  <c r="AS1020" i="2"/>
  <c r="AT968" i="2"/>
  <c r="AT925" i="2"/>
  <c r="AT883" i="2"/>
  <c r="AT848" i="2"/>
  <c r="AT1196" i="2"/>
  <c r="AS1112" i="2"/>
  <c r="AT1037" i="2"/>
  <c r="AT987" i="2"/>
  <c r="AS941" i="2"/>
  <c r="AT898" i="2"/>
  <c r="AS860" i="2"/>
  <c r="AS828" i="2"/>
  <c r="AS796" i="2"/>
  <c r="AS764" i="2"/>
  <c r="AS732" i="2"/>
  <c r="AS1164" i="2"/>
  <c r="AS1077" i="2"/>
  <c r="AT1017" i="2"/>
  <c r="AT967" i="2"/>
  <c r="AT924" i="2"/>
  <c r="AT881" i="2"/>
  <c r="AT847" i="2"/>
  <c r="AT815" i="2"/>
  <c r="AT783" i="2"/>
  <c r="AS1161" i="2"/>
  <c r="AT1148" i="2"/>
  <c r="AT1003" i="2"/>
  <c r="AS912" i="2"/>
  <c r="AS838" i="2"/>
  <c r="AS783" i="2"/>
  <c r="AS1172" i="2"/>
  <c r="AT1015" i="2"/>
  <c r="AT921" i="2"/>
  <c r="AT845" i="2"/>
  <c r="AT1119" i="2"/>
  <c r="AT1087" i="2"/>
  <c r="AS1195" i="2"/>
  <c r="AS1163" i="2"/>
  <c r="AS1131" i="2"/>
  <c r="AS1099" i="2"/>
  <c r="AS1067" i="2"/>
  <c r="AS1035" i="2"/>
  <c r="AS1003" i="2"/>
  <c r="AS971" i="2"/>
  <c r="AS939" i="2"/>
  <c r="AS907" i="2"/>
  <c r="AS875" i="2"/>
  <c r="AT1182" i="2"/>
  <c r="AT1150" i="2"/>
  <c r="AT1118" i="2"/>
  <c r="AT1086" i="2"/>
  <c r="AT1054" i="2"/>
  <c r="AT1022" i="2"/>
  <c r="AT990" i="2"/>
  <c r="AS1202" i="2"/>
  <c r="AS1170" i="2"/>
  <c r="AS1138" i="2"/>
  <c r="AS1106" i="2"/>
  <c r="AS1074" i="2"/>
  <c r="AS1042" i="2"/>
  <c r="AS1010" i="2"/>
  <c r="AS978" i="2"/>
  <c r="AS946" i="2"/>
  <c r="AS914" i="2"/>
  <c r="AS882" i="2"/>
  <c r="AT1189" i="2"/>
  <c r="AT1157" i="2"/>
  <c r="AT1125" i="2"/>
  <c r="AT1093" i="2"/>
  <c r="AT1061" i="2"/>
  <c r="AT1188" i="2"/>
  <c r="AS1104" i="2"/>
  <c r="AS1033" i="2"/>
  <c r="AT981" i="2"/>
  <c r="AS937" i="2"/>
  <c r="AT894" i="2"/>
  <c r="AS857" i="2"/>
  <c r="AS825" i="2"/>
  <c r="AS793" i="2"/>
  <c r="AS761" i="2"/>
  <c r="AS729" i="2"/>
  <c r="AS1156" i="2"/>
  <c r="AT1071" i="2"/>
  <c r="AS1013" i="2"/>
  <c r="AT963" i="2"/>
  <c r="AT920" i="2"/>
  <c r="AT877" i="2"/>
  <c r="AT844" i="2"/>
  <c r="AS1185" i="2"/>
  <c r="AT1100" i="2"/>
  <c r="AS1032" i="2"/>
  <c r="AT980" i="2"/>
  <c r="AS936" i="2"/>
  <c r="AS893" i="2"/>
  <c r="AS856" i="2"/>
  <c r="AS824" i="2"/>
  <c r="AS792" i="2"/>
  <c r="AS760" i="2"/>
  <c r="AS728" i="2"/>
  <c r="AT1152" i="2"/>
  <c r="AT1068" i="2"/>
  <c r="AS1012" i="2"/>
  <c r="AT961" i="2"/>
  <c r="AT919" i="2"/>
  <c r="AT876" i="2"/>
  <c r="AT843" i="2"/>
  <c r="AT811" i="2"/>
  <c r="AT779" i="2"/>
  <c r="AS1152" i="2"/>
  <c r="AS1117" i="2"/>
  <c r="AT989" i="2"/>
  <c r="AS901" i="2"/>
  <c r="AS830" i="2"/>
  <c r="AT777" i="2"/>
  <c r="AT1115" i="2"/>
  <c r="AT1111" i="2"/>
  <c r="AT1079" i="2"/>
  <c r="AS1187" i="2"/>
  <c r="AS1155" i="2"/>
  <c r="AS1123" i="2"/>
  <c r="AS1091" i="2"/>
  <c r="AS1059" i="2"/>
  <c r="AS1027" i="2"/>
  <c r="AS995" i="2"/>
  <c r="AS963" i="2"/>
  <c r="AS931" i="2"/>
  <c r="AS899" i="2"/>
  <c r="AT1206" i="2"/>
  <c r="AT1174" i="2"/>
  <c r="AT1142" i="2"/>
  <c r="AT1110" i="2"/>
  <c r="AT1078" i="2"/>
  <c r="AT1046" i="2"/>
  <c r="AT1014" i="2"/>
  <c r="AT982" i="2"/>
  <c r="AS1194" i="2"/>
  <c r="AS1162" i="2"/>
  <c r="AS1130" i="2"/>
  <c r="AS1098" i="2"/>
  <c r="AS1066" i="2"/>
  <c r="AS1034" i="2"/>
  <c r="AS1002" i="2"/>
  <c r="AS970" i="2"/>
  <c r="AS938" i="2"/>
  <c r="AS906" i="2"/>
  <c r="AS874" i="2"/>
  <c r="AT1181" i="2"/>
  <c r="AT1149" i="2"/>
  <c r="AT1117" i="2"/>
  <c r="AT1085" i="2"/>
  <c r="AT1053" i="2"/>
  <c r="AS1168" i="2"/>
  <c r="AS1081" i="2"/>
  <c r="AT1020" i="2"/>
  <c r="AS969" i="2"/>
  <c r="AT926" i="2"/>
  <c r="AS884" i="2"/>
  <c r="AS849" i="2"/>
  <c r="AS817" i="2"/>
  <c r="AS785" i="2"/>
  <c r="AS753" i="2"/>
  <c r="AS721" i="2"/>
  <c r="AS1133" i="2"/>
  <c r="AT1055" i="2"/>
  <c r="AT1000" i="2"/>
  <c r="AT952" i="2"/>
  <c r="AT909" i="2"/>
  <c r="AT868" i="2"/>
  <c r="AT836" i="2"/>
  <c r="AT1164" i="2"/>
  <c r="AS1080" i="2"/>
  <c r="AT1019" i="2"/>
  <c r="AS968" i="2"/>
  <c r="AS925" i="2"/>
  <c r="AT882" i="2"/>
  <c r="AS848" i="2"/>
  <c r="AS816" i="2"/>
  <c r="AS784" i="2"/>
  <c r="AS752" i="2"/>
  <c r="AS720" i="2"/>
  <c r="AS1132" i="2"/>
  <c r="AT1052" i="2"/>
  <c r="AT999" i="2"/>
  <c r="AT951" i="2"/>
  <c r="AT908" i="2"/>
  <c r="AT867" i="2"/>
  <c r="AT835" i="2"/>
  <c r="AT803" i="2"/>
  <c r="AT771" i="2"/>
  <c r="AS1129" i="2"/>
  <c r="AS1073" i="2"/>
  <c r="AS965" i="2"/>
  <c r="BD965" i="2" s="1"/>
  <c r="AS880" i="2"/>
  <c r="AS815" i="2"/>
  <c r="AT765" i="2"/>
  <c r="AS1093" i="2"/>
  <c r="AT976" i="2"/>
  <c r="AT889" i="2"/>
  <c r="AT821" i="2"/>
  <c r="AT1107" i="2"/>
  <c r="AT1075" i="2"/>
  <c r="AS1183" i="2"/>
  <c r="AS1151" i="2"/>
  <c r="AS1119" i="2"/>
  <c r="AS1087" i="2"/>
  <c r="AS1055" i="2"/>
  <c r="AS1023" i="2"/>
  <c r="AS991" i="2"/>
  <c r="AS959" i="2"/>
  <c r="AS927" i="2"/>
  <c r="AS895" i="2"/>
  <c r="AT1202" i="2"/>
  <c r="AT1170" i="2"/>
  <c r="AT1138" i="2"/>
  <c r="AT1106" i="2"/>
  <c r="AT1074" i="2"/>
  <c r="AT1042" i="2"/>
  <c r="AT1010" i="2"/>
  <c r="AT978" i="2"/>
  <c r="AS1190" i="2"/>
  <c r="AS1158" i="2"/>
  <c r="AS1126" i="2"/>
  <c r="AS1094" i="2"/>
  <c r="AS1062" i="2"/>
  <c r="AS1030" i="2"/>
  <c r="AS998" i="2"/>
  <c r="AS966" i="2"/>
  <c r="AS934" i="2"/>
  <c r="AS902" i="2"/>
  <c r="AT1209" i="2"/>
  <c r="AT1177" i="2"/>
  <c r="AT1145" i="2"/>
  <c r="AT1113" i="2"/>
  <c r="AT1081" i="2"/>
  <c r="AT1049" i="2"/>
  <c r="AT1156" i="2"/>
  <c r="AS1072" i="2"/>
  <c r="AT1013" i="2"/>
  <c r="AS964" i="2"/>
  <c r="AS921" i="2"/>
  <c r="AT878" i="2"/>
  <c r="AS845" i="2"/>
  <c r="AS813" i="2"/>
  <c r="AS781" i="2"/>
  <c r="AS749" i="2"/>
  <c r="AT1208" i="2"/>
  <c r="AS1124" i="2"/>
  <c r="AT1047" i="2"/>
  <c r="AT993" i="2"/>
  <c r="AT947" i="2"/>
  <c r="AT904" i="2"/>
  <c r="AT864" i="2"/>
  <c r="AT832" i="2"/>
  <c r="AS1153" i="2"/>
  <c r="AS1069" i="2"/>
  <c r="AT1012" i="2"/>
  <c r="AT962" i="2"/>
  <c r="AS920" i="2"/>
  <c r="AS877" i="2"/>
  <c r="AS844" i="2"/>
  <c r="AS812" i="2"/>
  <c r="AS780" i="2"/>
  <c r="AS748" i="2"/>
  <c r="AS1205" i="2"/>
  <c r="AT1120" i="2"/>
  <c r="AT1044" i="2"/>
  <c r="AT992" i="2"/>
  <c r="AT945" i="2"/>
  <c r="AT903" i="2"/>
  <c r="AT863" i="2"/>
  <c r="AT831" i="2"/>
  <c r="AT1103" i="2"/>
  <c r="AS1211" i="2"/>
  <c r="AS1179" i="2"/>
  <c r="AS1147" i="2"/>
  <c r="AS1115" i="2"/>
  <c r="AS1083" i="2"/>
  <c r="AS1051" i="2"/>
  <c r="AS1019" i="2"/>
  <c r="AS987" i="2"/>
  <c r="AS955" i="2"/>
  <c r="AS923" i="2"/>
  <c r="AS891" i="2"/>
  <c r="AT1198" i="2"/>
  <c r="AT1166" i="2"/>
  <c r="AT1134" i="2"/>
  <c r="AT1102" i="2"/>
  <c r="AT1070" i="2"/>
  <c r="AT1038" i="2"/>
  <c r="AT1006" i="2"/>
  <c r="AT974" i="2"/>
  <c r="AS1186" i="2"/>
  <c r="AS1154" i="2"/>
  <c r="AS1122" i="2"/>
  <c r="AS1090" i="2"/>
  <c r="AS1058" i="2"/>
  <c r="AS1026" i="2"/>
  <c r="AS994" i="2"/>
  <c r="AS962" i="2"/>
  <c r="AS930" i="2"/>
  <c r="AS898" i="2"/>
  <c r="AT1205" i="2"/>
  <c r="AT1173" i="2"/>
  <c r="AT1141" i="2"/>
  <c r="AT1109" i="2"/>
  <c r="AT1077" i="2"/>
  <c r="AT1045" i="2"/>
  <c r="AS1145" i="2"/>
  <c r="AS1064" i="2"/>
  <c r="AS1008" i="2"/>
  <c r="AT958" i="2"/>
  <c r="AS916" i="2"/>
  <c r="AS873" i="2"/>
  <c r="AS841" i="2"/>
  <c r="AS809" i="2"/>
  <c r="AS777" i="2"/>
  <c r="AS745" i="2"/>
  <c r="AS1197" i="2"/>
  <c r="AT1112" i="2"/>
  <c r="AT1039" i="2"/>
  <c r="AS988" i="2"/>
  <c r="AT941" i="2"/>
  <c r="AT899" i="2"/>
  <c r="AT860" i="2"/>
  <c r="AT828" i="2"/>
  <c r="AS1144" i="2"/>
  <c r="AS1061" i="2"/>
  <c r="AT1005" i="2"/>
  <c r="AS957" i="2"/>
  <c r="AT914" i="2"/>
  <c r="AS872" i="2"/>
  <c r="AS840" i="2"/>
  <c r="AS808" i="2"/>
  <c r="AS776" i="2"/>
  <c r="AS744" i="2"/>
  <c r="AS1196" i="2"/>
  <c r="AS1109" i="2"/>
  <c r="AS1037" i="2"/>
  <c r="AT985" i="2"/>
  <c r="AT940" i="2"/>
  <c r="AT897" i="2"/>
  <c r="AT859" i="2"/>
  <c r="AT827" i="2"/>
  <c r="AT795" i="2"/>
  <c r="AS1193" i="2"/>
  <c r="AT1108" i="2"/>
  <c r="AS1041" i="2"/>
  <c r="AS944" i="2"/>
  <c r="AS862" i="2"/>
  <c r="AT802" i="2"/>
  <c r="AT754" i="2"/>
  <c r="AT1056" i="2"/>
  <c r="AT1135" i="2"/>
  <c r="AT1095" i="2"/>
  <c r="AS1203" i="2"/>
  <c r="AS1171" i="2"/>
  <c r="AS1139" i="2"/>
  <c r="AS1107" i="2"/>
  <c r="AS1075" i="2"/>
  <c r="AS1043" i="2"/>
  <c r="AS1011" i="2"/>
  <c r="AS979" i="2"/>
  <c r="AS947" i="2"/>
  <c r="AS915" i="2"/>
  <c r="AS883" i="2"/>
  <c r="AT1190" i="2"/>
  <c r="AT1158" i="2"/>
  <c r="AT1126" i="2"/>
  <c r="AT1094" i="2"/>
  <c r="AT1062" i="2"/>
  <c r="AT1030" i="2"/>
  <c r="AT998" i="2"/>
  <c r="AS1210" i="2"/>
  <c r="AS1178" i="2"/>
  <c r="AS1146" i="2"/>
  <c r="AS1114" i="2"/>
  <c r="AS1082" i="2"/>
  <c r="AS1050" i="2"/>
  <c r="AS1018" i="2"/>
  <c r="AS986" i="2"/>
  <c r="AS954" i="2"/>
  <c r="AS922" i="2"/>
  <c r="AS890" i="2"/>
  <c r="AT1197" i="2"/>
  <c r="AT1165" i="2"/>
  <c r="AT1133" i="2"/>
  <c r="AT1101" i="2"/>
  <c r="AT1069" i="2"/>
  <c r="AS1209" i="2"/>
  <c r="AT1124" i="2"/>
  <c r="AS1048" i="2"/>
  <c r="AT995" i="2"/>
  <c r="AS948" i="2"/>
  <c r="AS905" i="2"/>
  <c r="AS865" i="2"/>
  <c r="AS833" i="2"/>
  <c r="AS801" i="2"/>
  <c r="AS769" i="2"/>
  <c r="AS737" i="2"/>
  <c r="AT1176" i="2"/>
  <c r="AS1092" i="2"/>
  <c r="AT1025" i="2"/>
  <c r="AT975" i="2"/>
  <c r="AT931" i="2"/>
  <c r="AT888" i="2"/>
  <c r="AT852" i="2"/>
  <c r="AS1208" i="2"/>
  <c r="AS1121" i="2"/>
  <c r="BD1121" i="2" s="1"/>
  <c r="AS1045" i="2"/>
  <c r="AS993" i="2"/>
  <c r="AT946" i="2"/>
  <c r="AS904" i="2"/>
  <c r="AS864" i="2"/>
  <c r="AS832" i="2"/>
  <c r="AS800" i="2"/>
  <c r="AS768" i="2"/>
  <c r="AS736" i="2"/>
  <c r="AS1173" i="2"/>
  <c r="AT1088" i="2"/>
  <c r="AT1024" i="2"/>
  <c r="AS973" i="2"/>
  <c r="AS1140" i="2"/>
  <c r="AS597" i="2"/>
  <c r="AS629" i="2"/>
  <c r="AS661" i="2"/>
  <c r="AS693" i="2"/>
  <c r="AS727" i="2"/>
  <c r="AS770" i="2"/>
  <c r="AT829" i="2"/>
  <c r="AT932" i="2"/>
  <c r="AT1072" i="2"/>
  <c r="AT796" i="2"/>
  <c r="AS933" i="2"/>
  <c r="AS1204" i="2"/>
  <c r="AT791" i="2"/>
  <c r="AT871" i="2"/>
  <c r="AS1005" i="2"/>
  <c r="AS756" i="2"/>
  <c r="AS888" i="2"/>
  <c r="AS1089" i="2"/>
  <c r="AT915" i="2"/>
  <c r="AT1144" i="2"/>
  <c r="AS821" i="2"/>
  <c r="AS976" i="2"/>
  <c r="AT1057" i="2"/>
  <c r="AT1185" i="2"/>
  <c r="AS974" i="2"/>
  <c r="AS1102" i="2"/>
  <c r="AT986" i="2"/>
  <c r="AT1114" i="2"/>
  <c r="AS903" i="2"/>
  <c r="AS1031" i="2"/>
  <c r="AS1159" i="2"/>
  <c r="AT934" i="2"/>
  <c r="AT1029" i="2"/>
  <c r="BF1029" i="2" s="1"/>
  <c r="AS660" i="2"/>
  <c r="AS692" i="2"/>
  <c r="AS726" i="2"/>
  <c r="AT768" i="2"/>
  <c r="AS819" i="2"/>
  <c r="AT885" i="2"/>
  <c r="AS972" i="2"/>
  <c r="AS1085" i="2"/>
  <c r="AT576" i="2"/>
  <c r="AT608" i="2"/>
  <c r="AT640" i="2"/>
  <c r="AT672" i="2"/>
  <c r="AT704" i="2"/>
  <c r="AT742" i="2"/>
  <c r="AT788" i="2"/>
  <c r="AS843" i="2"/>
  <c r="AT918" i="2"/>
  <c r="AT1011" i="2"/>
  <c r="AS1169" i="2"/>
  <c r="AS601" i="2"/>
  <c r="AS633" i="2"/>
  <c r="AS665" i="2"/>
  <c r="AS697" i="2"/>
  <c r="AT732" i="2"/>
  <c r="AT776" i="2"/>
  <c r="AT837" i="2"/>
  <c r="AT943" i="2"/>
  <c r="AT1116" i="2"/>
  <c r="AT809" i="2"/>
  <c r="AT954" i="2"/>
  <c r="AS1120" i="2"/>
  <c r="AT799" i="2"/>
  <c r="AT887" i="2"/>
  <c r="AT1031" i="2"/>
  <c r="AS772" i="2"/>
  <c r="AS909" i="2"/>
  <c r="AT1132" i="2"/>
  <c r="AT936" i="2"/>
  <c r="AS1188" i="2"/>
  <c r="AS837" i="2"/>
  <c r="AS1001" i="2"/>
  <c r="AT1073" i="2"/>
  <c r="AT1201" i="2"/>
  <c r="AS990" i="2"/>
  <c r="AS1118" i="2"/>
  <c r="AT1002" i="2"/>
  <c r="AT1130" i="2"/>
  <c r="AS919" i="2"/>
  <c r="AS1047" i="2"/>
  <c r="AS1175" i="2"/>
  <c r="AS1044" i="2"/>
  <c r="BC1044" i="2" s="1"/>
  <c r="AS664" i="2"/>
  <c r="AS696" i="2"/>
  <c r="AS731" i="2"/>
  <c r="AT774" i="2"/>
  <c r="AZ774" i="2" s="1"/>
  <c r="AT826" i="2"/>
  <c r="AT896" i="2"/>
  <c r="AT984" i="2"/>
  <c r="AS1108" i="2"/>
  <c r="AT580" i="2"/>
  <c r="AT612" i="2"/>
  <c r="AT644" i="2"/>
  <c r="AT676" i="2"/>
  <c r="AT708" i="2"/>
  <c r="AT747" i="2"/>
  <c r="AT794" i="2"/>
  <c r="AS851" i="2"/>
  <c r="AS929" i="2"/>
  <c r="AS1024" i="2"/>
  <c r="AT1200" i="2"/>
  <c r="AS605" i="2"/>
  <c r="AS637" i="2"/>
  <c r="AS669" i="2"/>
  <c r="AS701" i="2"/>
  <c r="AS738" i="2"/>
  <c r="AT782" i="2"/>
  <c r="AT853" i="2"/>
  <c r="AT953" i="2"/>
  <c r="AS1148" i="2"/>
  <c r="AS822" i="2"/>
  <c r="AS977" i="2"/>
  <c r="AT1140" i="2"/>
  <c r="AT807" i="2"/>
  <c r="AT892" i="2"/>
  <c r="AT1060" i="2"/>
  <c r="AS788" i="2"/>
  <c r="AT930" i="2"/>
  <c r="AS1176" i="2"/>
  <c r="AT957" i="2"/>
  <c r="AS725" i="2"/>
  <c r="AS853" i="2"/>
  <c r="AT1027" i="2"/>
  <c r="AT1089" i="2"/>
  <c r="AS878" i="2"/>
  <c r="AS1006" i="2"/>
  <c r="AS1134" i="2"/>
  <c r="AT1018" i="2"/>
  <c r="AT1146" i="2"/>
  <c r="AS935" i="2"/>
  <c r="AS1063" i="2"/>
  <c r="AS1191" i="2"/>
  <c r="AT781" i="2"/>
  <c r="AT834" i="2"/>
  <c r="AT907" i="2"/>
  <c r="AS997" i="2"/>
  <c r="AS1137" i="2"/>
  <c r="AT584" i="2"/>
  <c r="AT616" i="2"/>
  <c r="AT648" i="2"/>
  <c r="AT680" i="2"/>
  <c r="AT712" i="2"/>
  <c r="AT753" i="2"/>
  <c r="AT801" i="2"/>
  <c r="AS859" i="2"/>
  <c r="AS940" i="2"/>
  <c r="AT1036" i="2"/>
  <c r="AS577" i="2"/>
  <c r="AS609" i="2"/>
  <c r="AS641" i="2"/>
  <c r="AS673" i="2"/>
  <c r="AS705" i="2"/>
  <c r="AS743" i="2"/>
  <c r="AT789" i="2"/>
  <c r="AT861" i="2"/>
  <c r="AT964" i="2"/>
  <c r="AS1201" i="2"/>
  <c r="AS846" i="2"/>
  <c r="AS1016" i="2"/>
  <c r="AT1172" i="2"/>
  <c r="AT819" i="2"/>
  <c r="AT913" i="2"/>
  <c r="AS1100" i="2"/>
  <c r="AS804" i="2"/>
  <c r="AS952" i="2"/>
  <c r="AT824" i="2"/>
  <c r="AS981" i="2"/>
  <c r="AS741" i="2"/>
  <c r="AS869" i="2"/>
  <c r="AS1056" i="2"/>
  <c r="AT1105" i="2"/>
  <c r="AS894" i="2"/>
  <c r="AS1022" i="2"/>
  <c r="AS1150" i="2"/>
  <c r="AT1034" i="2"/>
  <c r="AT1162" i="2"/>
  <c r="AS951" i="2"/>
  <c r="AS1079" i="2"/>
  <c r="AS1207" i="2"/>
  <c r="AT1127" i="2"/>
  <c r="AT1211" i="2"/>
  <c r="AT9" i="2"/>
  <c r="AT1139" i="2"/>
  <c r="AT1147" i="2"/>
  <c r="AT1151" i="2"/>
  <c r="AT1123" i="2"/>
  <c r="AT1183" i="2"/>
  <c r="U27" i="1"/>
  <c r="U26" i="1"/>
  <c r="U17" i="1"/>
  <c r="U15" i="1"/>
  <c r="U23" i="1"/>
  <c r="U30" i="1"/>
  <c r="U32" i="1"/>
  <c r="U18" i="1"/>
  <c r="U21" i="1"/>
  <c r="BX177" i="2"/>
  <c r="U16" i="1"/>
  <c r="U25" i="1"/>
  <c r="U35" i="1"/>
  <c r="U34" i="1"/>
  <c r="U24" i="1"/>
  <c r="U29" i="1"/>
  <c r="U28" i="1"/>
  <c r="BX201" i="2"/>
  <c r="U19" i="1"/>
  <c r="U31" i="1"/>
  <c r="U33" i="1"/>
  <c r="BX145" i="2"/>
  <c r="BX185" i="2"/>
  <c r="BX137" i="2"/>
  <c r="BX121" i="2"/>
  <c r="BX161" i="2"/>
  <c r="BX97" i="2"/>
  <c r="BX81" i="2"/>
  <c r="BX7" i="2"/>
  <c r="BX169" i="2"/>
  <c r="BX105" i="2"/>
  <c r="BX193" i="2"/>
  <c r="BX129" i="2"/>
  <c r="BX153" i="2"/>
  <c r="BX89" i="2"/>
  <c r="BX113" i="2"/>
  <c r="BX207" i="2"/>
  <c r="BX199" i="2"/>
  <c r="BX191" i="2"/>
  <c r="BX183" i="2"/>
  <c r="BX175" i="2"/>
  <c r="BX167" i="2"/>
  <c r="BX159" i="2"/>
  <c r="BX151" i="2"/>
  <c r="BX143" i="2"/>
  <c r="BX135" i="2"/>
  <c r="BX127" i="2"/>
  <c r="BX119" i="2"/>
  <c r="BX111" i="2"/>
  <c r="BX103" i="2"/>
  <c r="BX95" i="2"/>
  <c r="BX87" i="2"/>
  <c r="BX79" i="2"/>
  <c r="BX71" i="2"/>
  <c r="BX63" i="2"/>
  <c r="BX55" i="2"/>
  <c r="BX47" i="2"/>
  <c r="BX39" i="2"/>
  <c r="BX31" i="2"/>
  <c r="BX23" i="2"/>
  <c r="BX15" i="2"/>
  <c r="BX205" i="2"/>
  <c r="BX197" i="2"/>
  <c r="BX189" i="2"/>
  <c r="BX181" i="2"/>
  <c r="BX173" i="2"/>
  <c r="BX165" i="2"/>
  <c r="BX157" i="2"/>
  <c r="BX149" i="2"/>
  <c r="BX141" i="2"/>
  <c r="BX133" i="2"/>
  <c r="BX125" i="2"/>
  <c r="BX117" i="2"/>
  <c r="BX109" i="2"/>
  <c r="BX101" i="2"/>
  <c r="BX93" i="2"/>
  <c r="BX85" i="2"/>
  <c r="BX77" i="2"/>
  <c r="BX69" i="2"/>
  <c r="BX61" i="2"/>
  <c r="BX53" i="2"/>
  <c r="BX45" i="2"/>
  <c r="BX37" i="2"/>
  <c r="BX29" i="2"/>
  <c r="BX21" i="2"/>
  <c r="BX13" i="2"/>
  <c r="BX203" i="2"/>
  <c r="BX195" i="2"/>
  <c r="BX187" i="2"/>
  <c r="BX179" i="2"/>
  <c r="BX171" i="2"/>
  <c r="BX163" i="2"/>
  <c r="BX155" i="2"/>
  <c r="BX147" i="2"/>
  <c r="BX139" i="2"/>
  <c r="BX131" i="2"/>
  <c r="BX123" i="2"/>
  <c r="BX115" i="2"/>
  <c r="BX107" i="2"/>
  <c r="BX99" i="2"/>
  <c r="BX91" i="2"/>
  <c r="BX83" i="2"/>
  <c r="BX75" i="2"/>
  <c r="BX67" i="2"/>
  <c r="BX59" i="2"/>
  <c r="BX51" i="2"/>
  <c r="BX43" i="2"/>
  <c r="BX35" i="2"/>
  <c r="BX27" i="2"/>
  <c r="BX19" i="2"/>
  <c r="BX11" i="2"/>
  <c r="BX73" i="2"/>
  <c r="BX65" i="2"/>
  <c r="BX57" i="2"/>
  <c r="BX49" i="2"/>
  <c r="BX41" i="2"/>
  <c r="BX33" i="2"/>
  <c r="BX25" i="2"/>
  <c r="BX17" i="2"/>
  <c r="BF46" i="2"/>
  <c r="AY368" i="2"/>
  <c r="BG346" i="2"/>
  <c r="AA5" i="1"/>
  <c r="AA8" i="1" s="1"/>
  <c r="N8" i="1" s="1"/>
  <c r="T5" i="1"/>
  <c r="T10" i="1" s="1"/>
  <c r="G10" i="1" s="1"/>
  <c r="T4" i="1"/>
  <c r="AT1143" i="2"/>
  <c r="AT1175" i="2"/>
  <c r="AT1207" i="2"/>
  <c r="AT1155" i="2"/>
  <c r="AT1187" i="2"/>
  <c r="AT1159" i="2"/>
  <c r="AT1191" i="2"/>
  <c r="AT1163" i="2"/>
  <c r="AT1195" i="2"/>
  <c r="AT1167" i="2"/>
  <c r="AT1199" i="2"/>
  <c r="AT1171" i="2"/>
  <c r="AZ46" i="2"/>
  <c r="K2" i="1"/>
  <c r="J2" i="1"/>
  <c r="L2" i="1"/>
  <c r="F3" i="1"/>
  <c r="C3" i="1" s="1"/>
  <c r="I2" i="1"/>
  <c r="H2" i="1"/>
  <c r="G2" i="1"/>
  <c r="F2" i="1"/>
  <c r="M2" i="1"/>
  <c r="D1" i="1"/>
  <c r="BB346" i="2"/>
  <c r="AA11" i="1"/>
  <c r="N11" i="1" s="1"/>
  <c r="BD128" i="2"/>
  <c r="BC346" i="2"/>
  <c r="BC128" i="2"/>
  <c r="Y35" i="1"/>
  <c r="Y24" i="1"/>
  <c r="Y27" i="1"/>
  <c r="R11" i="1"/>
  <c r="BH285" i="2"/>
  <c r="Y20" i="1"/>
  <c r="Y15" i="1"/>
  <c r="Y25" i="1"/>
  <c r="Y36" i="1"/>
  <c r="Y33" i="1"/>
  <c r="Y21" i="1"/>
  <c r="Y31" i="1"/>
  <c r="Y30" i="1"/>
  <c r="Y17" i="1"/>
  <c r="Y26" i="1"/>
  <c r="Y32" i="1"/>
  <c r="Y22" i="1"/>
  <c r="Y23" i="1"/>
  <c r="Y28" i="1"/>
  <c r="Y29" i="1"/>
  <c r="Y16" i="1"/>
  <c r="Y18" i="1"/>
  <c r="Y34" i="1"/>
  <c r="Y19" i="1"/>
  <c r="X4" i="1"/>
  <c r="BD346" i="2"/>
  <c r="AW346" i="2"/>
  <c r="BE346" i="2"/>
  <c r="V4" i="1"/>
  <c r="R4" i="1"/>
  <c r="Z11" i="1"/>
  <c r="M11" i="1" s="1"/>
  <c r="BD285" i="2"/>
  <c r="V11" i="1"/>
  <c r="I11" i="1" s="1"/>
  <c r="AA9" i="1"/>
  <c r="N9" i="1" s="1"/>
  <c r="Z8" i="1"/>
  <c r="M8" i="1" s="1"/>
  <c r="V8" i="1"/>
  <c r="I8" i="1" s="1"/>
  <c r="R8" i="1"/>
  <c r="W4" i="1"/>
  <c r="S4" i="1"/>
  <c r="Z9" i="1"/>
  <c r="M9" i="1" s="1"/>
  <c r="V9" i="1"/>
  <c r="I9" i="1" s="1"/>
  <c r="R9" i="1"/>
  <c r="X7" i="1"/>
  <c r="K7" i="1" s="1"/>
  <c r="AA6" i="1"/>
  <c r="N6" i="1" s="1"/>
  <c r="Y5" i="1"/>
  <c r="Y7" i="1" s="1"/>
  <c r="L7" i="1" s="1"/>
  <c r="W5" i="1"/>
  <c r="W11" i="1" s="1"/>
  <c r="J11" i="1" s="1"/>
  <c r="U5" i="1"/>
  <c r="U8" i="1" s="1"/>
  <c r="H8" i="1" s="1"/>
  <c r="S5" i="1"/>
  <c r="S11" i="1" s="1"/>
  <c r="Z4" i="1"/>
  <c r="X8" i="1"/>
  <c r="K8" i="1" s="1"/>
  <c r="AA7" i="1"/>
  <c r="N7" i="1" s="1"/>
  <c r="X11" i="1"/>
  <c r="K11" i="1" s="1"/>
  <c r="AA10" i="1"/>
  <c r="N10" i="1" s="1"/>
  <c r="Z6" i="1"/>
  <c r="M6" i="1" s="1"/>
  <c r="X6" i="1"/>
  <c r="K6" i="1" s="1"/>
  <c r="V6" i="1"/>
  <c r="I6" i="1" s="1"/>
  <c r="R6" i="1"/>
  <c r="X9" i="1"/>
  <c r="K9" i="1" s="1"/>
  <c r="Z7" i="1"/>
  <c r="M7" i="1" s="1"/>
  <c r="V7" i="1"/>
  <c r="I7" i="1" s="1"/>
  <c r="R7" i="1"/>
  <c r="BC371" i="2" l="1"/>
  <c r="BC348" i="2"/>
  <c r="BD466" i="2"/>
  <c r="BD371" i="2"/>
  <c r="AU489" i="2"/>
  <c r="BE489" i="2"/>
  <c r="BD550" i="2"/>
  <c r="BD369" i="2"/>
  <c r="BE466" i="2"/>
  <c r="BA466" i="2"/>
  <c r="BG466" i="2"/>
  <c r="BF466" i="2"/>
  <c r="BC701" i="2"/>
  <c r="BH466" i="2"/>
  <c r="AX466" i="2"/>
  <c r="BC466" i="2"/>
  <c r="AZ466" i="2"/>
  <c r="BB466" i="2"/>
  <c r="AW466" i="2"/>
  <c r="AZ289" i="2"/>
  <c r="R9" i="2"/>
  <c r="BH522" i="2"/>
  <c r="BC1004" i="2"/>
  <c r="AZ614" i="2"/>
  <c r="AU635" i="2"/>
  <c r="AU346" i="2"/>
  <c r="BD142" i="2"/>
  <c r="BA142" i="2"/>
  <c r="BF598" i="2"/>
  <c r="AW694" i="2"/>
  <c r="BA263" i="2"/>
  <c r="BF578" i="2"/>
  <c r="BD437" i="2"/>
  <c r="BH192" i="2"/>
  <c r="BC125" i="2"/>
  <c r="BD46" i="2"/>
  <c r="BE624" i="2"/>
  <c r="BH261" i="2"/>
  <c r="BD502" i="2"/>
  <c r="BE435" i="2"/>
  <c r="BE95" i="2"/>
  <c r="BH276" i="2"/>
  <c r="BC365" i="2"/>
  <c r="AZ541" i="2"/>
  <c r="AV562" i="2"/>
  <c r="BC626" i="2"/>
  <c r="AZ28" i="2"/>
  <c r="BH419" i="2"/>
  <c r="AZ496" i="2"/>
  <c r="AZ485" i="2"/>
  <c r="BB368" i="2"/>
  <c r="BA28" i="2"/>
  <c r="BG637" i="2"/>
  <c r="BA368" i="2"/>
  <c r="BH368" i="2"/>
  <c r="AU326" i="2"/>
  <c r="BD368" i="2"/>
  <c r="BD799" i="2"/>
  <c r="AZ368" i="2"/>
  <c r="BC368" i="2"/>
  <c r="BG368" i="2"/>
  <c r="AY552" i="2"/>
  <c r="BG432" i="2"/>
  <c r="BB92" i="2"/>
  <c r="BC472" i="2"/>
  <c r="AY498" i="2"/>
  <c r="AW693" i="2"/>
  <c r="BC778" i="2"/>
  <c r="BB473" i="2"/>
  <c r="BE636" i="2"/>
  <c r="BB177" i="2"/>
  <c r="BA650" i="2"/>
  <c r="AZ435" i="2"/>
  <c r="BF485" i="2"/>
  <c r="BB63" i="2"/>
  <c r="BD356" i="2"/>
  <c r="BH215" i="2"/>
  <c r="BG246" i="2"/>
  <c r="AW342" i="2"/>
  <c r="BD290" i="2"/>
  <c r="AU381" i="2"/>
  <c r="BC290" i="2"/>
  <c r="Q7" i="2"/>
  <c r="R8" i="2"/>
  <c r="S106" i="1"/>
  <c r="S105" i="1"/>
  <c r="BC833" i="2"/>
  <c r="Z105" i="1"/>
  <c r="Z106" i="1"/>
  <c r="W105" i="1"/>
  <c r="W106" i="1"/>
  <c r="X106" i="1"/>
  <c r="X105" i="1"/>
  <c r="T105" i="1"/>
  <c r="T106" i="1"/>
  <c r="R106" i="1"/>
  <c r="R105" i="1"/>
  <c r="V105" i="1"/>
  <c r="V106" i="1"/>
  <c r="N161" i="2"/>
  <c r="Q9" i="2"/>
  <c r="BB655" i="2"/>
  <c r="BC910" i="2"/>
  <c r="AX505" i="2"/>
  <c r="BC121" i="2"/>
  <c r="BE427" i="2"/>
  <c r="BH395" i="2"/>
  <c r="AY279" i="2"/>
  <c r="BB182" i="2"/>
  <c r="BA1022" i="2"/>
  <c r="BG357" i="2"/>
  <c r="AY176" i="2"/>
  <c r="BD687" i="2"/>
  <c r="AZ509" i="2"/>
  <c r="BB450" i="2"/>
  <c r="AZ387" i="2"/>
  <c r="BG310" i="2"/>
  <c r="BB331" i="2"/>
  <c r="AW412" i="2"/>
  <c r="BA386" i="2"/>
  <c r="BC412" i="2"/>
  <c r="BA631" i="2"/>
  <c r="AZ215" i="2"/>
  <c r="BH331" i="2"/>
  <c r="BC1109" i="2"/>
  <c r="BA387" i="2"/>
  <c r="BD1027" i="2"/>
  <c r="BD1090" i="2"/>
  <c r="BG132" i="2"/>
  <c r="BG387" i="2"/>
  <c r="BD412" i="2"/>
  <c r="BD454" i="2"/>
  <c r="BC509" i="2"/>
  <c r="BB412" i="2"/>
  <c r="AZ454" i="2"/>
  <c r="AU509" i="2"/>
  <c r="AW596" i="2"/>
  <c r="BC707" i="2"/>
  <c r="AZ467" i="2"/>
  <c r="BH387" i="2"/>
  <c r="BH182" i="2"/>
  <c r="BG454" i="2"/>
  <c r="BH168" i="2"/>
  <c r="BA366" i="2"/>
  <c r="BD310" i="2"/>
  <c r="BD387" i="2"/>
  <c r="BE454" i="2"/>
  <c r="BE279" i="2"/>
  <c r="BA426" i="2"/>
  <c r="AZ132" i="2"/>
  <c r="BA1143" i="2"/>
  <c r="AV291" i="2"/>
  <c r="BD132" i="2"/>
  <c r="BD663" i="2"/>
  <c r="BC786" i="2"/>
  <c r="BE387" i="2"/>
  <c r="AZ426" i="2"/>
  <c r="BC134" i="2"/>
  <c r="AX310" i="2"/>
  <c r="AW509" i="2"/>
  <c r="BA331" i="2"/>
  <c r="BC450" i="2"/>
  <c r="AW331" i="2"/>
  <c r="BC537" i="2"/>
  <c r="BA132" i="2"/>
  <c r="AX537" i="2"/>
  <c r="BD756" i="2"/>
  <c r="AV454" i="2"/>
  <c r="BE152" i="2"/>
  <c r="BH617" i="2"/>
  <c r="AZ182" i="2"/>
  <c r="BH426" i="2"/>
  <c r="BC132" i="2"/>
  <c r="AY182" i="2"/>
  <c r="AY387" i="2"/>
  <c r="BA1011" i="2"/>
  <c r="BF236" i="2"/>
  <c r="BD229" i="2"/>
  <c r="AY389" i="2"/>
  <c r="AZ450" i="2"/>
  <c r="BC454" i="2"/>
  <c r="BH537" i="2"/>
  <c r="AZ537" i="2"/>
  <c r="BF182" i="2"/>
  <c r="AV321" i="2"/>
  <c r="BD1186" i="2"/>
  <c r="BC331" i="2"/>
  <c r="AZ331" i="2"/>
  <c r="BD331" i="2"/>
  <c r="BG331" i="2"/>
  <c r="BB454" i="2"/>
  <c r="BB426" i="2"/>
  <c r="BC426" i="2"/>
  <c r="BB387" i="2"/>
  <c r="BH132" i="2"/>
  <c r="AX182" i="2"/>
  <c r="AY331" i="2"/>
  <c r="BC387" i="2"/>
  <c r="BA509" i="2"/>
  <c r="BF132" i="2"/>
  <c r="BE412" i="2"/>
  <c r="BB289" i="2"/>
  <c r="AZ417" i="2"/>
  <c r="BD1096" i="2"/>
  <c r="BH153" i="2"/>
  <c r="BD83" i="2"/>
  <c r="BD441" i="2"/>
  <c r="R101" i="1"/>
  <c r="R97" i="1"/>
  <c r="R93" i="1"/>
  <c r="R89" i="1"/>
  <c r="R85" i="1"/>
  <c r="R81" i="1"/>
  <c r="R77" i="1"/>
  <c r="R98" i="1"/>
  <c r="R92" i="1"/>
  <c r="R76" i="1"/>
  <c r="R75" i="1"/>
  <c r="R60" i="1"/>
  <c r="R56" i="1"/>
  <c r="R52" i="1"/>
  <c r="R48" i="1"/>
  <c r="R44" i="1"/>
  <c r="R40" i="1"/>
  <c r="R99" i="1"/>
  <c r="R86" i="1"/>
  <c r="R74" i="1"/>
  <c r="R73" i="1"/>
  <c r="R64" i="1"/>
  <c r="R47" i="1"/>
  <c r="R43" i="1"/>
  <c r="R102" i="1"/>
  <c r="R82" i="1"/>
  <c r="R100" i="1"/>
  <c r="R87" i="1"/>
  <c r="R79" i="1"/>
  <c r="R78" i="1"/>
  <c r="R72" i="1"/>
  <c r="R71" i="1"/>
  <c r="R63" i="1"/>
  <c r="R59" i="1"/>
  <c r="R55" i="1"/>
  <c r="R51" i="1"/>
  <c r="R39" i="1"/>
  <c r="R94" i="1"/>
  <c r="R88" i="1"/>
  <c r="R80" i="1"/>
  <c r="R70" i="1"/>
  <c r="R69" i="1"/>
  <c r="R62" i="1"/>
  <c r="R54" i="1"/>
  <c r="R50" i="1"/>
  <c r="R42" i="1"/>
  <c r="R38" i="1"/>
  <c r="R83" i="1"/>
  <c r="R67" i="1"/>
  <c r="R95" i="1"/>
  <c r="R68" i="1"/>
  <c r="R58" i="1"/>
  <c r="R46" i="1"/>
  <c r="R96" i="1"/>
  <c r="R103" i="1"/>
  <c r="R90" i="1"/>
  <c r="R84" i="1"/>
  <c r="R66" i="1"/>
  <c r="R61" i="1"/>
  <c r="R57" i="1"/>
  <c r="R53" i="1"/>
  <c r="R49" i="1"/>
  <c r="R45" i="1"/>
  <c r="R41" i="1"/>
  <c r="R37" i="1"/>
  <c r="R104" i="1"/>
  <c r="R91" i="1"/>
  <c r="R65" i="1"/>
  <c r="Z101" i="1"/>
  <c r="Z97" i="1"/>
  <c r="Z93" i="1"/>
  <c r="Z89" i="1"/>
  <c r="Z85" i="1"/>
  <c r="Z81" i="1"/>
  <c r="Z77" i="1"/>
  <c r="Z102" i="1"/>
  <c r="Z96" i="1"/>
  <c r="Z83" i="1"/>
  <c r="Z65" i="1"/>
  <c r="Z60" i="1"/>
  <c r="Z56" i="1"/>
  <c r="Z52" i="1"/>
  <c r="Z48" i="1"/>
  <c r="Z44" i="1"/>
  <c r="Z40" i="1"/>
  <c r="Z103" i="1"/>
  <c r="Z90" i="1"/>
  <c r="Z84" i="1"/>
  <c r="Z64" i="1"/>
  <c r="Z39" i="1"/>
  <c r="Z38" i="1"/>
  <c r="Z104" i="1"/>
  <c r="Z91" i="1"/>
  <c r="Z76" i="1"/>
  <c r="Z75" i="1"/>
  <c r="Z74" i="1"/>
  <c r="Z59" i="1"/>
  <c r="Z55" i="1"/>
  <c r="Z51" i="1"/>
  <c r="Z47" i="1"/>
  <c r="Z43" i="1"/>
  <c r="Z98" i="1"/>
  <c r="Z92" i="1"/>
  <c r="Z73" i="1"/>
  <c r="Z72" i="1"/>
  <c r="Z63" i="1"/>
  <c r="Z71" i="1"/>
  <c r="Z58" i="1"/>
  <c r="Z46" i="1"/>
  <c r="Z99" i="1"/>
  <c r="Z86" i="1"/>
  <c r="Z78" i="1"/>
  <c r="Z70" i="1"/>
  <c r="Z62" i="1"/>
  <c r="Z54" i="1"/>
  <c r="Z50" i="1"/>
  <c r="Z42" i="1"/>
  <c r="Z79" i="1"/>
  <c r="Z94" i="1"/>
  <c r="Z88" i="1"/>
  <c r="Z67" i="1"/>
  <c r="Z61" i="1"/>
  <c r="Z57" i="1"/>
  <c r="Z53" i="1"/>
  <c r="Z49" i="1"/>
  <c r="Z45" i="1"/>
  <c r="Z41" i="1"/>
  <c r="Z37" i="1"/>
  <c r="Z80" i="1"/>
  <c r="Z68" i="1"/>
  <c r="Z95" i="1"/>
  <c r="Z82" i="1"/>
  <c r="Z66" i="1"/>
  <c r="Z100" i="1"/>
  <c r="Z87" i="1"/>
  <c r="Z69" i="1"/>
  <c r="S101" i="1"/>
  <c r="S97" i="1"/>
  <c r="S93" i="1"/>
  <c r="S89" i="1"/>
  <c r="S85" i="1"/>
  <c r="S81" i="1"/>
  <c r="S77" i="1"/>
  <c r="S73" i="1"/>
  <c r="S69" i="1"/>
  <c r="S104" i="1"/>
  <c r="S100" i="1"/>
  <c r="S96" i="1"/>
  <c r="S92" i="1"/>
  <c r="S88" i="1"/>
  <c r="S84" i="1"/>
  <c r="S103" i="1"/>
  <c r="S99" i="1"/>
  <c r="S95" i="1"/>
  <c r="S91" i="1"/>
  <c r="S87" i="1"/>
  <c r="S83" i="1"/>
  <c r="S79" i="1"/>
  <c r="S75" i="1"/>
  <c r="S71" i="1"/>
  <c r="S67" i="1"/>
  <c r="S63" i="1"/>
  <c r="S102" i="1"/>
  <c r="S98" i="1"/>
  <c r="S94" i="1"/>
  <c r="S90" i="1"/>
  <c r="S86" i="1"/>
  <c r="S82" i="1"/>
  <c r="S78" i="1"/>
  <c r="S74" i="1"/>
  <c r="S70" i="1"/>
  <c r="S66" i="1"/>
  <c r="S64" i="1"/>
  <c r="S57" i="1"/>
  <c r="S72" i="1"/>
  <c r="S59" i="1"/>
  <c r="S55" i="1"/>
  <c r="S51" i="1"/>
  <c r="S47" i="1"/>
  <c r="S43" i="1"/>
  <c r="S39" i="1"/>
  <c r="S41" i="1"/>
  <c r="S80" i="1"/>
  <c r="S49" i="1"/>
  <c r="S68" i="1"/>
  <c r="S62" i="1"/>
  <c r="S58" i="1"/>
  <c r="S54" i="1"/>
  <c r="S50" i="1"/>
  <c r="S46" i="1"/>
  <c r="S42" i="1"/>
  <c r="S38" i="1"/>
  <c r="S53" i="1"/>
  <c r="S45" i="1"/>
  <c r="S65" i="1"/>
  <c r="S61" i="1"/>
  <c r="S76" i="1"/>
  <c r="S60" i="1"/>
  <c r="S56" i="1"/>
  <c r="S52" i="1"/>
  <c r="S48" i="1"/>
  <c r="S44" i="1"/>
  <c r="S40" i="1"/>
  <c r="S37" i="1"/>
  <c r="BE1048" i="2"/>
  <c r="W103" i="1"/>
  <c r="W99" i="1"/>
  <c r="W95" i="1"/>
  <c r="W91" i="1"/>
  <c r="W87" i="1"/>
  <c r="W83" i="1"/>
  <c r="W79" i="1"/>
  <c r="W75" i="1"/>
  <c r="W71" i="1"/>
  <c r="W102" i="1"/>
  <c r="W98" i="1"/>
  <c r="W94" i="1"/>
  <c r="W90" i="1"/>
  <c r="W86" i="1"/>
  <c r="W101" i="1"/>
  <c r="W97" i="1"/>
  <c r="W93" i="1"/>
  <c r="W89" i="1"/>
  <c r="W85" i="1"/>
  <c r="W81" i="1"/>
  <c r="W77" i="1"/>
  <c r="W73" i="1"/>
  <c r="W69" i="1"/>
  <c r="W65" i="1"/>
  <c r="W104" i="1"/>
  <c r="W100" i="1"/>
  <c r="W96" i="1"/>
  <c r="W92" i="1"/>
  <c r="W88" i="1"/>
  <c r="W84" i="1"/>
  <c r="W80" i="1"/>
  <c r="W76" i="1"/>
  <c r="W72" i="1"/>
  <c r="W68" i="1"/>
  <c r="W74" i="1"/>
  <c r="W47" i="1"/>
  <c r="W82" i="1"/>
  <c r="W67" i="1"/>
  <c r="W61" i="1"/>
  <c r="W57" i="1"/>
  <c r="W53" i="1"/>
  <c r="W49" i="1"/>
  <c r="W45" i="1"/>
  <c r="W41" i="1"/>
  <c r="W37" i="1"/>
  <c r="W66" i="1"/>
  <c r="W55" i="1"/>
  <c r="W60" i="1"/>
  <c r="W56" i="1"/>
  <c r="W52" i="1"/>
  <c r="W48" i="1"/>
  <c r="W44" i="1"/>
  <c r="W40" i="1"/>
  <c r="W64" i="1"/>
  <c r="W39" i="1"/>
  <c r="W59" i="1"/>
  <c r="W51" i="1"/>
  <c r="W78" i="1"/>
  <c r="W63" i="1"/>
  <c r="W43" i="1"/>
  <c r="W70" i="1"/>
  <c r="W62" i="1"/>
  <c r="W58" i="1"/>
  <c r="W54" i="1"/>
  <c r="W50" i="1"/>
  <c r="W46" i="1"/>
  <c r="W42" i="1"/>
  <c r="W38" i="1"/>
  <c r="BC655" i="2"/>
  <c r="BC496" i="2"/>
  <c r="V103" i="1"/>
  <c r="V99" i="1"/>
  <c r="V95" i="1"/>
  <c r="V91" i="1"/>
  <c r="V87" i="1"/>
  <c r="V83" i="1"/>
  <c r="V79" i="1"/>
  <c r="V100" i="1"/>
  <c r="V94" i="1"/>
  <c r="V80" i="1"/>
  <c r="V70" i="1"/>
  <c r="V69" i="1"/>
  <c r="V68" i="1"/>
  <c r="V62" i="1"/>
  <c r="V58" i="1"/>
  <c r="V54" i="1"/>
  <c r="V50" i="1"/>
  <c r="V46" i="1"/>
  <c r="V42" i="1"/>
  <c r="V38" i="1"/>
  <c r="V64" i="1"/>
  <c r="V101" i="1"/>
  <c r="V88" i="1"/>
  <c r="V81" i="1"/>
  <c r="V41" i="1"/>
  <c r="V102" i="1"/>
  <c r="V89" i="1"/>
  <c r="V82" i="1"/>
  <c r="V67" i="1"/>
  <c r="V61" i="1"/>
  <c r="V57" i="1"/>
  <c r="V53" i="1"/>
  <c r="V49" i="1"/>
  <c r="V45" i="1"/>
  <c r="V37" i="1"/>
  <c r="V44" i="1"/>
  <c r="V96" i="1"/>
  <c r="V90" i="1"/>
  <c r="V66" i="1"/>
  <c r="V65" i="1"/>
  <c r="V60" i="1"/>
  <c r="V98" i="1"/>
  <c r="V76" i="1"/>
  <c r="V97" i="1"/>
  <c r="V84" i="1"/>
  <c r="V56" i="1"/>
  <c r="V52" i="1"/>
  <c r="V48" i="1"/>
  <c r="V40" i="1"/>
  <c r="V85" i="1"/>
  <c r="V92" i="1"/>
  <c r="V86" i="1"/>
  <c r="V77" i="1"/>
  <c r="V74" i="1"/>
  <c r="V73" i="1"/>
  <c r="V72" i="1"/>
  <c r="V59" i="1"/>
  <c r="V55" i="1"/>
  <c r="V51" i="1"/>
  <c r="V47" i="1"/>
  <c r="V43" i="1"/>
  <c r="V39" i="1"/>
  <c r="V104" i="1"/>
  <c r="V93" i="1"/>
  <c r="V78" i="1"/>
  <c r="V71" i="1"/>
  <c r="V63" i="1"/>
  <c r="V75" i="1"/>
  <c r="T104" i="1"/>
  <c r="T100" i="1"/>
  <c r="T96" i="1"/>
  <c r="T92" i="1"/>
  <c r="T88" i="1"/>
  <c r="T84" i="1"/>
  <c r="T80" i="1"/>
  <c r="T76" i="1"/>
  <c r="T99" i="1"/>
  <c r="T86" i="1"/>
  <c r="T77" i="1"/>
  <c r="T74" i="1"/>
  <c r="T73" i="1"/>
  <c r="T72" i="1"/>
  <c r="T59" i="1"/>
  <c r="T55" i="1"/>
  <c r="T51" i="1"/>
  <c r="T47" i="1"/>
  <c r="T43" i="1"/>
  <c r="T39" i="1"/>
  <c r="T41" i="1"/>
  <c r="T37" i="1"/>
  <c r="T103" i="1"/>
  <c r="T93" i="1"/>
  <c r="T87" i="1"/>
  <c r="T79" i="1"/>
  <c r="T78" i="1"/>
  <c r="T71" i="1"/>
  <c r="T63" i="1"/>
  <c r="T38" i="1"/>
  <c r="T53" i="1"/>
  <c r="T65" i="1"/>
  <c r="T94" i="1"/>
  <c r="T70" i="1"/>
  <c r="T69" i="1"/>
  <c r="T68" i="1"/>
  <c r="T62" i="1"/>
  <c r="T58" i="1"/>
  <c r="T54" i="1"/>
  <c r="T50" i="1"/>
  <c r="T46" i="1"/>
  <c r="T42" i="1"/>
  <c r="T49" i="1"/>
  <c r="T101" i="1"/>
  <c r="T95" i="1"/>
  <c r="T81" i="1"/>
  <c r="T57" i="1"/>
  <c r="T45" i="1"/>
  <c r="T102" i="1"/>
  <c r="T89" i="1"/>
  <c r="T83" i="1"/>
  <c r="T82" i="1"/>
  <c r="T67" i="1"/>
  <c r="T61" i="1"/>
  <c r="T66" i="1"/>
  <c r="T97" i="1"/>
  <c r="T91" i="1"/>
  <c r="T60" i="1"/>
  <c r="T56" i="1"/>
  <c r="T52" i="1"/>
  <c r="T48" i="1"/>
  <c r="T44" i="1"/>
  <c r="T40" i="1"/>
  <c r="T90" i="1"/>
  <c r="T98" i="1"/>
  <c r="T85" i="1"/>
  <c r="T75" i="1"/>
  <c r="T64" i="1"/>
  <c r="BC577" i="2"/>
  <c r="AZ286" i="2"/>
  <c r="BB492" i="2"/>
  <c r="E10" i="1"/>
  <c r="BD496" i="2"/>
  <c r="BA435" i="2"/>
  <c r="X102" i="1"/>
  <c r="X98" i="1"/>
  <c r="X94" i="1"/>
  <c r="X90" i="1"/>
  <c r="X86" i="1"/>
  <c r="X82" i="1"/>
  <c r="X78" i="1"/>
  <c r="X101" i="1"/>
  <c r="X88" i="1"/>
  <c r="X81" i="1"/>
  <c r="X67" i="1"/>
  <c r="X61" i="1"/>
  <c r="X57" i="1"/>
  <c r="X53" i="1"/>
  <c r="X49" i="1"/>
  <c r="X45" i="1"/>
  <c r="X41" i="1"/>
  <c r="X37" i="1"/>
  <c r="X92" i="1"/>
  <c r="X95" i="1"/>
  <c r="X89" i="1"/>
  <c r="X66" i="1"/>
  <c r="X44" i="1"/>
  <c r="X47" i="1"/>
  <c r="X43" i="1"/>
  <c r="X73" i="1"/>
  <c r="X96" i="1"/>
  <c r="X83" i="1"/>
  <c r="X65" i="1"/>
  <c r="X60" i="1"/>
  <c r="X56" i="1"/>
  <c r="X52" i="1"/>
  <c r="X48" i="1"/>
  <c r="X40" i="1"/>
  <c r="X39" i="1"/>
  <c r="X77" i="1"/>
  <c r="X63" i="1"/>
  <c r="X103" i="1"/>
  <c r="X97" i="1"/>
  <c r="X84" i="1"/>
  <c r="X64" i="1"/>
  <c r="X55" i="1"/>
  <c r="X51" i="1"/>
  <c r="X104" i="1"/>
  <c r="X91" i="1"/>
  <c r="X85" i="1"/>
  <c r="X76" i="1"/>
  <c r="X75" i="1"/>
  <c r="X74" i="1"/>
  <c r="X59" i="1"/>
  <c r="X72" i="1"/>
  <c r="X99" i="1"/>
  <c r="X93" i="1"/>
  <c r="X71" i="1"/>
  <c r="X70" i="1"/>
  <c r="X62" i="1"/>
  <c r="X58" i="1"/>
  <c r="X54" i="1"/>
  <c r="X50" i="1"/>
  <c r="X46" i="1"/>
  <c r="X42" i="1"/>
  <c r="X38" i="1"/>
  <c r="X100" i="1"/>
  <c r="X87" i="1"/>
  <c r="X80" i="1"/>
  <c r="X79" i="1"/>
  <c r="X69" i="1"/>
  <c r="X68" i="1"/>
  <c r="E11" i="1"/>
  <c r="BC713" i="2"/>
  <c r="BB631" i="2"/>
  <c r="AW356" i="2"/>
  <c r="BE246" i="2"/>
  <c r="BD342" i="2"/>
  <c r="BC367" i="2"/>
  <c r="BD58" i="2"/>
  <c r="BA321" i="2"/>
  <c r="BA290" i="2"/>
  <c r="BB277" i="2"/>
  <c r="BC321" i="2"/>
  <c r="BC342" i="2"/>
  <c r="BB246" i="2"/>
  <c r="BE342" i="2"/>
  <c r="BA578" i="2"/>
  <c r="BH246" i="2"/>
  <c r="BG46" i="2"/>
  <c r="BD9" i="2"/>
  <c r="BC322" i="2"/>
  <c r="BA439" i="2"/>
  <c r="BF378" i="2"/>
  <c r="BE356" i="2"/>
  <c r="BD215" i="2"/>
  <c r="BE215" i="2"/>
  <c r="BC369" i="2"/>
  <c r="BH46" i="2"/>
  <c r="AV307" i="2"/>
  <c r="AY545" i="2"/>
  <c r="BC215" i="2"/>
  <c r="BD246" i="2"/>
  <c r="BB286" i="2"/>
  <c r="BB578" i="2"/>
  <c r="BA46" i="2"/>
  <c r="AX913" i="2"/>
  <c r="AY457" i="2"/>
  <c r="BH266" i="2"/>
  <c r="BE228" i="2"/>
  <c r="BE46" i="2"/>
  <c r="BC246" i="2"/>
  <c r="BC669" i="2"/>
  <c r="AU679" i="2"/>
  <c r="AZ710" i="2"/>
  <c r="BD681" i="2"/>
  <c r="BF575" i="2"/>
  <c r="AX237" i="2"/>
  <c r="BH195" i="2"/>
  <c r="BE58" i="2"/>
  <c r="BC578" i="2"/>
  <c r="BD578" i="2"/>
  <c r="AU457" i="2"/>
  <c r="BD495" i="2"/>
  <c r="BE165" i="2"/>
  <c r="AW399" i="2"/>
  <c r="BC399" i="2"/>
  <c r="BA399" i="2"/>
  <c r="BD399" i="2"/>
  <c r="AW624" i="2"/>
  <c r="BC289" i="2"/>
  <c r="BH289" i="2"/>
  <c r="BD239" i="2"/>
  <c r="BH491" i="2"/>
  <c r="BB403" i="2"/>
  <c r="BG282" i="2"/>
  <c r="BC356" i="2"/>
  <c r="BD631" i="2"/>
  <c r="BD138" i="2"/>
  <c r="BC443" i="2"/>
  <c r="BB954" i="2"/>
  <c r="BD688" i="2"/>
  <c r="AW288" i="2"/>
  <c r="BE656" i="2"/>
  <c r="BC1096" i="2"/>
  <c r="BD443" i="2"/>
  <c r="AW602" i="2"/>
  <c r="AW1192" i="2"/>
  <c r="BD55" i="2"/>
  <c r="BA655" i="2"/>
  <c r="BC478" i="2"/>
  <c r="BC383" i="2"/>
  <c r="BD327" i="2"/>
  <c r="BA496" i="2"/>
  <c r="BC438" i="2"/>
  <c r="BD614" i="2"/>
  <c r="BA614" i="2"/>
  <c r="BB614" i="2"/>
  <c r="BB496" i="2"/>
  <c r="BA778" i="2"/>
  <c r="BC614" i="2"/>
  <c r="BD778" i="2"/>
  <c r="BD744" i="2"/>
  <c r="BC663" i="2"/>
  <c r="BG441" i="2"/>
  <c r="BD1169" i="2"/>
  <c r="BD608" i="2"/>
  <c r="BC661" i="2"/>
  <c r="BC873" i="2"/>
  <c r="BC806" i="2"/>
  <c r="BC705" i="2"/>
  <c r="AW1070" i="2"/>
  <c r="BC1023" i="2"/>
  <c r="BC999" i="2"/>
  <c r="BB793" i="2"/>
  <c r="BC846" i="2"/>
  <c r="BD1192" i="2"/>
  <c r="BD583" i="2"/>
  <c r="BC309" i="2"/>
  <c r="BA405" i="2"/>
  <c r="BC319" i="2"/>
  <c r="BB386" i="2"/>
  <c r="BC687" i="2"/>
  <c r="BA232" i="2"/>
  <c r="BC569" i="2"/>
  <c r="BB207" i="2"/>
  <c r="BC468" i="2"/>
  <c r="BD307" i="2"/>
  <c r="BB133" i="2"/>
  <c r="AZ323" i="2"/>
  <c r="BE17" i="2"/>
  <c r="BB485" i="2"/>
  <c r="BE285" i="2"/>
  <c r="BB19" i="2"/>
  <c r="BF91" i="2"/>
  <c r="BH309" i="2"/>
  <c r="BD386" i="2"/>
  <c r="AZ222" i="2"/>
  <c r="BH151" i="2"/>
  <c r="BC316" i="2"/>
  <c r="AZ639" i="2"/>
  <c r="BD403" i="2"/>
  <c r="AY386" i="2"/>
  <c r="BH138" i="2"/>
  <c r="BH17" i="2"/>
  <c r="BC386" i="2"/>
  <c r="BB309" i="2"/>
  <c r="BC1141" i="2"/>
  <c r="BA597" i="2"/>
  <c r="BA416" i="2"/>
  <c r="BC500" i="2"/>
  <c r="BC292" i="2"/>
  <c r="BD634" i="2"/>
  <c r="BC546" i="2"/>
  <c r="BD767" i="2"/>
  <c r="BA395" i="2"/>
  <c r="AZ279" i="2"/>
  <c r="BC305" i="2"/>
  <c r="BA13" i="2"/>
  <c r="BC377" i="2"/>
  <c r="BE327" i="2"/>
  <c r="AW310" i="2"/>
  <c r="BD357" i="2"/>
  <c r="BH310" i="2"/>
  <c r="BD1004" i="2"/>
  <c r="BC329" i="2"/>
  <c r="BC639" i="2"/>
  <c r="BC13" i="2"/>
  <c r="BC357" i="2"/>
  <c r="BC602" i="2"/>
  <c r="BD417" i="2"/>
  <c r="BB292" i="2"/>
  <c r="BB357" i="2"/>
  <c r="AW292" i="2"/>
  <c r="BA417" i="2"/>
  <c r="AZ110" i="2"/>
  <c r="BH417" i="2"/>
  <c r="BH329" i="2"/>
  <c r="AZ13" i="2"/>
  <c r="AU339" i="2"/>
  <c r="AV294" i="2"/>
  <c r="BG395" i="2"/>
  <c r="AW979" i="2"/>
  <c r="BD923" i="2"/>
  <c r="BH874" i="2"/>
  <c r="BC1035" i="2"/>
  <c r="BA1065" i="2"/>
  <c r="BD982" i="2"/>
  <c r="BB549" i="2"/>
  <c r="BH216" i="2"/>
  <c r="BH411" i="2"/>
  <c r="BB213" i="2"/>
  <c r="BH159" i="2"/>
  <c r="BH503" i="2"/>
  <c r="AZ315" i="2"/>
  <c r="AZ374" i="2"/>
  <c r="BC131" i="2"/>
  <c r="BD226" i="2"/>
  <c r="BE713" i="2"/>
  <c r="BD602" i="2"/>
  <c r="BC441" i="2"/>
  <c r="BC366" i="2"/>
  <c r="BC583" i="2"/>
  <c r="BC279" i="2"/>
  <c r="BD366" i="2"/>
  <c r="BD329" i="2"/>
  <c r="BB195" i="2"/>
  <c r="AW435" i="2"/>
  <c r="BB329" i="2"/>
  <c r="BE195" i="2"/>
  <c r="BA357" i="2"/>
  <c r="BA305" i="2"/>
  <c r="BH441" i="2"/>
  <c r="AZ377" i="2"/>
  <c r="AZ153" i="2"/>
  <c r="AY395" i="2"/>
  <c r="BD718" i="2"/>
  <c r="BC917" i="2"/>
  <c r="BA225" i="2"/>
  <c r="BG120" i="2"/>
  <c r="BD465" i="2"/>
  <c r="BE163" i="2"/>
  <c r="AW713" i="2"/>
  <c r="AZ310" i="2"/>
  <c r="BC417" i="2"/>
  <c r="BC596" i="2"/>
  <c r="BC310" i="2"/>
  <c r="BB310" i="2"/>
  <c r="BB381" i="2"/>
  <c r="BB192" i="2"/>
  <c r="AW357" i="2"/>
  <c r="BA110" i="2"/>
  <c r="BH435" i="2"/>
  <c r="BA500" i="2"/>
  <c r="BH222" i="2"/>
  <c r="AZ381" i="2"/>
  <c r="BG417" i="2"/>
  <c r="BG151" i="2"/>
  <c r="BB576" i="2"/>
  <c r="AU411" i="2"/>
  <c r="BC311" i="2"/>
  <c r="BD381" i="2"/>
  <c r="BA156" i="2"/>
  <c r="BC222" i="2"/>
  <c r="BC634" i="2"/>
  <c r="AW279" i="2"/>
  <c r="AZ395" i="2"/>
  <c r="BG305" i="2"/>
  <c r="AY417" i="2"/>
  <c r="AV329" i="2"/>
  <c r="BE531" i="2"/>
  <c r="BD713" i="2"/>
  <c r="BC435" i="2"/>
  <c r="BD395" i="2"/>
  <c r="BD153" i="2"/>
  <c r="BB435" i="2"/>
  <c r="BE151" i="2"/>
  <c r="BB441" i="2"/>
  <c r="BA99" i="2"/>
  <c r="BA583" i="2"/>
  <c r="BA153" i="2"/>
  <c r="BA441" i="2"/>
  <c r="AZ195" i="2"/>
  <c r="BG195" i="2"/>
  <c r="BG192" i="2"/>
  <c r="BG1004" i="2"/>
  <c r="BF717" i="2"/>
  <c r="BG272" i="2"/>
  <c r="BD151" i="2"/>
  <c r="BB279" i="2"/>
  <c r="BA151" i="2"/>
  <c r="BA329" i="2"/>
  <c r="BF165" i="2"/>
  <c r="BD435" i="2"/>
  <c r="BC195" i="2"/>
  <c r="BC395" i="2"/>
  <c r="BE357" i="2"/>
  <c r="AW416" i="2"/>
  <c r="BB395" i="2"/>
  <c r="BA195" i="2"/>
  <c r="BH357" i="2"/>
  <c r="BH279" i="2"/>
  <c r="AZ329" i="2"/>
  <c r="AZ357" i="2"/>
  <c r="AY435" i="2"/>
  <c r="AX441" i="2"/>
  <c r="BB546" i="2"/>
  <c r="BD13" i="2"/>
  <c r="BC636" i="2"/>
  <c r="BE310" i="2"/>
  <c r="BA310" i="2"/>
  <c r="AZ441" i="2"/>
  <c r="BG329" i="2"/>
  <c r="BD782" i="2"/>
  <c r="BD727" i="2"/>
  <c r="BC1088" i="2"/>
  <c r="AZ292" i="2"/>
  <c r="BD721" i="2"/>
  <c r="BC1092" i="2"/>
  <c r="BH288" i="2"/>
  <c r="BE324" i="2"/>
  <c r="BD649" i="2"/>
  <c r="BC379" i="2"/>
  <c r="BD484" i="2"/>
  <c r="BC364" i="2"/>
  <c r="BC695" i="2"/>
  <c r="BD133" i="2"/>
  <c r="BC635" i="2"/>
  <c r="BH323" i="2"/>
  <c r="BG382" i="2"/>
  <c r="BB223" i="2"/>
  <c r="BC529" i="2"/>
  <c r="BC572" i="2"/>
  <c r="AY587" i="2"/>
  <c r="BB643" i="2"/>
  <c r="BA49" i="2"/>
  <c r="BA285" i="2"/>
  <c r="BD130" i="2"/>
  <c r="BC398" i="2"/>
  <c r="BC115" i="2"/>
  <c r="AY91" i="2"/>
  <c r="BD737" i="2"/>
  <c r="BB528" i="2"/>
  <c r="BC728" i="2"/>
  <c r="BH50" i="2"/>
  <c r="BD427" i="2"/>
  <c r="BC497" i="2"/>
  <c r="BC285" i="2"/>
  <c r="BC485" i="2"/>
  <c r="BA635" i="2"/>
  <c r="BC738" i="2"/>
  <c r="BC1050" i="2"/>
  <c r="BA113" i="2"/>
  <c r="BD234" i="2"/>
  <c r="BH422" i="2"/>
  <c r="BE282" i="2"/>
  <c r="AW324" i="2"/>
  <c r="AW282" i="2"/>
  <c r="BD572" i="2"/>
  <c r="BC282" i="2"/>
  <c r="BD635" i="2"/>
  <c r="BB115" i="2"/>
  <c r="BB449" i="2"/>
  <c r="AZ491" i="2"/>
  <c r="BG381" i="2"/>
  <c r="BG467" i="2"/>
  <c r="AY327" i="2"/>
  <c r="BE467" i="2"/>
  <c r="AW327" i="2"/>
  <c r="BD223" i="2"/>
  <c r="BD324" i="2"/>
  <c r="BC381" i="2"/>
  <c r="BC382" i="2"/>
  <c r="AW307" i="2"/>
  <c r="BA106" i="2"/>
  <c r="BA50" i="2"/>
  <c r="AZ223" i="2"/>
  <c r="AZ50" i="2"/>
  <c r="AZ933" i="2"/>
  <c r="BA816" i="2"/>
  <c r="BC1033" i="2"/>
  <c r="BC536" i="2"/>
  <c r="BC613" i="2"/>
  <c r="BC473" i="2"/>
  <c r="BH382" i="2"/>
  <c r="BG307" i="2"/>
  <c r="AX381" i="2"/>
  <c r="BC43" i="2"/>
  <c r="BD373" i="2"/>
  <c r="AZ109" i="2"/>
  <c r="BD323" i="2"/>
  <c r="AZ285" i="2"/>
  <c r="BD49" i="2"/>
  <c r="BD54" i="2"/>
  <c r="BC491" i="2"/>
  <c r="BC133" i="2"/>
  <c r="BC130" i="2"/>
  <c r="BD485" i="2"/>
  <c r="BE54" i="2"/>
  <c r="BB398" i="2"/>
  <c r="BB307" i="2"/>
  <c r="BH282" i="2"/>
  <c r="BE485" i="2"/>
  <c r="AX91" i="2"/>
  <c r="BD824" i="2"/>
  <c r="AW893" i="2"/>
  <c r="BH949" i="2"/>
  <c r="BB854" i="2"/>
  <c r="AW444" i="2"/>
  <c r="BH587" i="2"/>
  <c r="BD382" i="2"/>
  <c r="BC156" i="2"/>
  <c r="BC323" i="2"/>
  <c r="BB327" i="2"/>
  <c r="BE382" i="2"/>
  <c r="BA54" i="2"/>
  <c r="BH91" i="2"/>
  <c r="BH497" i="2"/>
  <c r="AZ101" i="2"/>
  <c r="BG91" i="2"/>
  <c r="BC812" i="2"/>
  <c r="BB526" i="2"/>
  <c r="BE49" i="2"/>
  <c r="AW285" i="2"/>
  <c r="BH467" i="2"/>
  <c r="BC649" i="2"/>
  <c r="BH485" i="2"/>
  <c r="AX485" i="2"/>
  <c r="AW467" i="2"/>
  <c r="BD497" i="2"/>
  <c r="BD791" i="2"/>
  <c r="BC1108" i="2"/>
  <c r="BE647" i="2"/>
  <c r="BD1044" i="2"/>
  <c r="BD979" i="2"/>
  <c r="BD693" i="2"/>
  <c r="BE721" i="2"/>
  <c r="BE979" i="2"/>
  <c r="BC11" i="2"/>
  <c r="BC721" i="2"/>
  <c r="BA389" i="2"/>
  <c r="AW721" i="2"/>
  <c r="BC923" i="2"/>
  <c r="BC874" i="2"/>
  <c r="BC693" i="2"/>
  <c r="AW581" i="2"/>
  <c r="BD874" i="2"/>
  <c r="BD981" i="2"/>
  <c r="BD1148" i="2"/>
  <c r="BD657" i="2"/>
  <c r="BE763" i="2"/>
  <c r="BA294" i="2"/>
  <c r="BH131" i="2"/>
  <c r="AW385" i="2"/>
  <c r="BH139" i="2"/>
  <c r="BD12" i="2"/>
  <c r="BC775" i="2"/>
  <c r="BC928" i="2"/>
  <c r="BE592" i="2"/>
  <c r="BC858" i="2"/>
  <c r="BE238" i="2"/>
  <c r="AW565" i="2"/>
  <c r="BD568" i="2"/>
  <c r="BC338" i="2"/>
  <c r="BD422" i="2"/>
  <c r="BA117" i="2"/>
  <c r="BD559" i="2"/>
  <c r="BD220" i="2"/>
  <c r="BA136" i="2"/>
  <c r="BH158" i="2"/>
  <c r="AZ349" i="2"/>
  <c r="BC53" i="2"/>
  <c r="BE157" i="2"/>
  <c r="BC982" i="2"/>
  <c r="BB815" i="2"/>
  <c r="BD476" i="2"/>
  <c r="BC922" i="2"/>
  <c r="BD925" i="2"/>
  <c r="BC825" i="2"/>
  <c r="AW763" i="2"/>
  <c r="BC10" i="2"/>
  <c r="AZ117" i="2"/>
  <c r="BD378" i="2"/>
  <c r="BC294" i="2"/>
  <c r="BA10" i="2"/>
  <c r="BC1037" i="2"/>
  <c r="BH1090" i="2"/>
  <c r="BB349" i="2"/>
  <c r="BC920" i="2"/>
  <c r="BC783" i="2"/>
  <c r="BC759" i="2"/>
  <c r="AW592" i="2"/>
  <c r="BD159" i="2"/>
  <c r="BC220" i="2"/>
  <c r="BC405" i="2"/>
  <c r="BH236" i="2"/>
  <c r="BB552" i="2"/>
  <c r="BC568" i="2"/>
  <c r="BB274" i="2"/>
  <c r="BD759" i="2"/>
  <c r="BA374" i="2"/>
  <c r="AW378" i="2"/>
  <c r="BD928" i="2"/>
  <c r="BD740" i="2"/>
  <c r="BD503" i="2"/>
  <c r="BC1090" i="2"/>
  <c r="BC389" i="2"/>
  <c r="BC422" i="2"/>
  <c r="BC737" i="2"/>
  <c r="BD294" i="2"/>
  <c r="BD349" i="2"/>
  <c r="BD322" i="2"/>
  <c r="BD263" i="2"/>
  <c r="BD117" i="2"/>
  <c r="BB503" i="2"/>
  <c r="BE503" i="2"/>
  <c r="BB117" i="2"/>
  <c r="BB858" i="2"/>
  <c r="BE322" i="2"/>
  <c r="AW503" i="2"/>
  <c r="BA503" i="2"/>
  <c r="BA322" i="2"/>
  <c r="BA349" i="2"/>
  <c r="BH389" i="2"/>
  <c r="AZ389" i="2"/>
  <c r="BB1137" i="2"/>
  <c r="BC1094" i="2"/>
  <c r="BC880" i="2"/>
  <c r="BC1161" i="2"/>
  <c r="AU393" i="2"/>
  <c r="BE550" i="2"/>
  <c r="BE385" i="2"/>
  <c r="AW411" i="2"/>
  <c r="BD157" i="2"/>
  <c r="BD858" i="2"/>
  <c r="BD793" i="2"/>
  <c r="BC207" i="2"/>
  <c r="BC374" i="2"/>
  <c r="BC793" i="2"/>
  <c r="BC597" i="2"/>
  <c r="BC550" i="2"/>
  <c r="BC799" i="2"/>
  <c r="BE234" i="2"/>
  <c r="AW568" i="2"/>
  <c r="BB220" i="2"/>
  <c r="BB405" i="2"/>
  <c r="AW322" i="2"/>
  <c r="BA385" i="2"/>
  <c r="BA62" i="2"/>
  <c r="AZ385" i="2"/>
  <c r="N76" i="2"/>
  <c r="BD565" i="2"/>
  <c r="BD411" i="2"/>
  <c r="BD1023" i="2"/>
  <c r="BC502" i="2"/>
  <c r="BC213" i="2"/>
  <c r="BC117" i="2"/>
  <c r="BC385" i="2"/>
  <c r="BD999" i="2"/>
  <c r="BD389" i="2"/>
  <c r="BB1023" i="2"/>
  <c r="BE568" i="2"/>
  <c r="AW858" i="2"/>
  <c r="BB322" i="2"/>
  <c r="BE226" i="2"/>
  <c r="BA226" i="2"/>
  <c r="BA55" i="2"/>
  <c r="BA236" i="2"/>
  <c r="AZ229" i="2"/>
  <c r="BH405" i="2"/>
  <c r="BC1124" i="2"/>
  <c r="BA780" i="2"/>
  <c r="BB889" i="2"/>
  <c r="BC1085" i="2"/>
  <c r="BF847" i="2"/>
  <c r="BD1112" i="2"/>
  <c r="BC599" i="2"/>
  <c r="BC126" i="2"/>
  <c r="N74" i="2"/>
  <c r="BE159" i="2"/>
  <c r="BE232" i="2"/>
  <c r="AW550" i="2"/>
  <c r="BD552" i="2"/>
  <c r="BC552" i="2"/>
  <c r="BD136" i="2"/>
  <c r="BD53" i="2"/>
  <c r="BB799" i="2"/>
  <c r="BB294" i="2"/>
  <c r="BB374" i="2"/>
  <c r="BA541" i="2"/>
  <c r="BH171" i="2"/>
  <c r="AZ220" i="2"/>
  <c r="BB559" i="2"/>
  <c r="BA79" i="2"/>
  <c r="N163" i="2"/>
  <c r="BE1023" i="2"/>
  <c r="AW1023" i="2"/>
  <c r="BD238" i="2"/>
  <c r="BD232" i="2"/>
  <c r="BC349" i="2"/>
  <c r="BC503" i="2"/>
  <c r="BB550" i="2"/>
  <c r="BB319" i="2"/>
  <c r="BB389" i="2"/>
  <c r="BB1090" i="2"/>
  <c r="BE229" i="2"/>
  <c r="AW349" i="2"/>
  <c r="BA858" i="2"/>
  <c r="BA229" i="2"/>
  <c r="BA220" i="2"/>
  <c r="BH378" i="2"/>
  <c r="BA139" i="2"/>
  <c r="BH117" i="2"/>
  <c r="BH226" i="2"/>
  <c r="BF226" i="2"/>
  <c r="BC804" i="2"/>
  <c r="BD425" i="2"/>
  <c r="AZ556" i="2"/>
  <c r="BH523" i="2"/>
  <c r="BB336" i="2"/>
  <c r="AZ486" i="2"/>
  <c r="BG189" i="2"/>
  <c r="BD318" i="2"/>
  <c r="BH157" i="2"/>
  <c r="BD385" i="2"/>
  <c r="BC981" i="2"/>
  <c r="BC378" i="2"/>
  <c r="BD597" i="2"/>
  <c r="BD490" i="2"/>
  <c r="BB378" i="2"/>
  <c r="BB385" i="2"/>
  <c r="BA378" i="2"/>
  <c r="BA319" i="2"/>
  <c r="AZ319" i="2"/>
  <c r="BF158" i="2"/>
  <c r="BD821" i="2"/>
  <c r="BC946" i="2"/>
  <c r="AW393" i="2"/>
  <c r="O221" i="2"/>
  <c r="R106" i="2" s="1"/>
  <c r="BE378" i="2"/>
  <c r="BE411" i="2"/>
  <c r="BD541" i="2"/>
  <c r="BC411" i="2"/>
  <c r="BB411" i="2"/>
  <c r="AV740" i="2"/>
  <c r="BA565" i="2"/>
  <c r="BA52" i="2"/>
  <c r="Q51" i="2"/>
  <c r="BH1057" i="2"/>
  <c r="BA1083" i="2"/>
  <c r="BB884" i="2"/>
  <c r="BA369" i="2"/>
  <c r="AW564" i="2"/>
  <c r="BC623" i="2"/>
  <c r="BC769" i="2"/>
  <c r="BG408" i="2"/>
  <c r="BC522" i="2"/>
  <c r="BC332" i="2"/>
  <c r="BA289" i="2"/>
  <c r="AW846" i="2"/>
  <c r="BC756" i="2"/>
  <c r="BC1122" i="2"/>
  <c r="BH317" i="2"/>
  <c r="AW825" i="2"/>
  <c r="BC1148" i="2"/>
  <c r="BE824" i="2"/>
  <c r="BC925" i="2"/>
  <c r="BD1085" i="2"/>
  <c r="BH953" i="2"/>
  <c r="BA1040" i="2"/>
  <c r="AY625" i="2"/>
  <c r="BA311" i="2"/>
  <c r="BE825" i="2"/>
  <c r="AW824" i="2"/>
  <c r="BD825" i="2"/>
  <c r="BC889" i="2"/>
  <c r="BC694" i="2"/>
  <c r="BB917" i="2"/>
  <c r="BD840" i="2"/>
  <c r="BB945" i="2"/>
  <c r="BD1202" i="2"/>
  <c r="AZ446" i="2"/>
  <c r="BD354" i="2"/>
  <c r="BH401" i="2"/>
  <c r="BE769" i="2"/>
  <c r="BC718" i="2"/>
  <c r="BD769" i="2"/>
  <c r="BD806" i="2"/>
  <c r="BD935" i="2"/>
  <c r="BC653" i="2"/>
  <c r="BC1136" i="2"/>
  <c r="BD416" i="2"/>
  <c r="BB767" i="2"/>
  <c r="BH95" i="2"/>
  <c r="BD889" i="2"/>
  <c r="BC9" i="2"/>
  <c r="BC1172" i="2"/>
  <c r="BC887" i="2"/>
  <c r="BD660" i="2"/>
  <c r="AW795" i="2"/>
  <c r="BG991" i="2"/>
  <c r="BD1104" i="2"/>
  <c r="BE1099" i="2"/>
  <c r="BC829" i="2"/>
  <c r="BA125" i="2"/>
  <c r="BH473" i="2"/>
  <c r="BH202" i="2"/>
  <c r="BE662" i="2"/>
  <c r="BB222" i="2"/>
  <c r="AW1209" i="2"/>
  <c r="BC817" i="2"/>
  <c r="BC989" i="2"/>
  <c r="BC746" i="2"/>
  <c r="BC1048" i="2"/>
  <c r="BC841" i="2"/>
  <c r="BC716" i="2"/>
  <c r="AZ309" i="2"/>
  <c r="BD882" i="2"/>
  <c r="BB737" i="2"/>
  <c r="BD1039" i="2"/>
  <c r="BD596" i="2"/>
  <c r="BC767" i="2"/>
  <c r="BC565" i="2"/>
  <c r="BB13" i="2"/>
  <c r="AZ767" i="2"/>
  <c r="BC891" i="2"/>
  <c r="BC1098" i="2"/>
  <c r="AW910" i="2"/>
  <c r="BD546" i="2"/>
  <c r="BC1202" i="2"/>
  <c r="BA408" i="2"/>
  <c r="BC758" i="2"/>
  <c r="BB560" i="2"/>
  <c r="BC410" i="2"/>
  <c r="BC674" i="2"/>
  <c r="AZ122" i="2"/>
  <c r="BH22" i="2"/>
  <c r="BD463" i="2"/>
  <c r="AY298" i="2"/>
  <c r="BG240" i="2"/>
  <c r="BC221" i="2"/>
  <c r="BG227" i="2"/>
  <c r="BG360" i="2"/>
  <c r="BD694" i="2"/>
  <c r="BC416" i="2"/>
  <c r="BB596" i="2"/>
  <c r="BB416" i="2"/>
  <c r="BE565" i="2"/>
  <c r="BB399" i="2"/>
  <c r="BA309" i="2"/>
  <c r="BG309" i="2"/>
  <c r="AU360" i="2"/>
  <c r="AU378" i="2"/>
  <c r="BH494" i="2"/>
  <c r="BF195" i="2"/>
  <c r="BC581" i="2"/>
  <c r="AW997" i="2"/>
  <c r="BE910" i="2"/>
  <c r="BC631" i="2"/>
  <c r="BH13" i="2"/>
  <c r="BG13" i="2"/>
  <c r="BH712" i="2"/>
  <c r="BC834" i="2"/>
  <c r="BH932" i="2"/>
  <c r="AZ551" i="2"/>
  <c r="BD910" i="2"/>
  <c r="BD581" i="2"/>
  <c r="BC680" i="2"/>
  <c r="BE188" i="2"/>
  <c r="BC518" i="2"/>
  <c r="BB930" i="2"/>
  <c r="BC1055" i="2"/>
  <c r="BD1111" i="2"/>
  <c r="BD200" i="2"/>
  <c r="BE471" i="2"/>
  <c r="BD1205" i="2"/>
  <c r="BC828" i="2"/>
  <c r="BC1111" i="2"/>
  <c r="BC1036" i="2"/>
  <c r="BB865" i="2"/>
  <c r="AW698" i="2"/>
  <c r="BC392" i="2"/>
  <c r="AX167" i="2"/>
  <c r="BC986" i="2"/>
  <c r="BC1113" i="2"/>
  <c r="BD1042" i="2"/>
  <c r="BC908" i="2"/>
  <c r="BC1174" i="2"/>
  <c r="BC876" i="2"/>
  <c r="AW802" i="2"/>
  <c r="BD989" i="2"/>
  <c r="BD720" i="2"/>
  <c r="BC689" i="2"/>
  <c r="BG371" i="2"/>
  <c r="BC954" i="2"/>
  <c r="BD1022" i="2"/>
  <c r="BD1047" i="2"/>
  <c r="BC956" i="2"/>
  <c r="BC1083" i="2"/>
  <c r="BC930" i="2"/>
  <c r="BD939" i="2"/>
  <c r="AW1104" i="2"/>
  <c r="BC587" i="2"/>
  <c r="BF321" i="2"/>
  <c r="BF509" i="2"/>
  <c r="AW537" i="2"/>
  <c r="AY509" i="2"/>
  <c r="AX509" i="2"/>
  <c r="BE321" i="2"/>
  <c r="BB530" i="2"/>
  <c r="BD1136" i="2"/>
  <c r="BH272" i="2"/>
  <c r="BH321" i="2"/>
  <c r="BH360" i="2"/>
  <c r="BG537" i="2"/>
  <c r="AY321" i="2"/>
  <c r="BE509" i="2"/>
  <c r="BF537" i="2"/>
  <c r="BD795" i="2"/>
  <c r="BD509" i="2"/>
  <c r="BB321" i="2"/>
  <c r="BA222" i="2"/>
  <c r="BG321" i="2"/>
  <c r="AV509" i="2"/>
  <c r="BE537" i="2"/>
  <c r="BG509" i="2"/>
  <c r="BD802" i="2"/>
  <c r="BC528" i="2"/>
  <c r="BC802" i="2"/>
  <c r="BD689" i="2"/>
  <c r="BD537" i="2"/>
  <c r="BD321" i="2"/>
  <c r="BB25" i="2"/>
  <c r="BB371" i="2"/>
  <c r="BA371" i="2"/>
  <c r="BA537" i="2"/>
  <c r="AZ25" i="2"/>
  <c r="AZ321" i="2"/>
  <c r="AX321" i="2"/>
  <c r="AW321" i="2"/>
  <c r="BF371" i="2"/>
  <c r="AU537" i="2"/>
  <c r="AX605" i="2"/>
  <c r="BC681" i="2"/>
  <c r="BB537" i="2"/>
  <c r="BB509" i="2"/>
  <c r="BE499" i="2"/>
  <c r="BH509" i="2"/>
  <c r="AV537" i="2"/>
  <c r="BC576" i="2"/>
  <c r="AU452" i="2"/>
  <c r="BB656" i="2"/>
  <c r="BB589" i="2"/>
  <c r="BB802" i="2"/>
  <c r="BD121" i="2"/>
  <c r="BE943" i="2"/>
  <c r="BD920" i="2"/>
  <c r="BB813" i="2"/>
  <c r="BD1173" i="2"/>
  <c r="BB817" i="2"/>
  <c r="BC1112" i="2"/>
  <c r="BB316" i="2"/>
  <c r="BC425" i="2"/>
  <c r="BE802" i="2"/>
  <c r="BD195" i="2"/>
  <c r="BC743" i="2"/>
  <c r="BC859" i="2"/>
  <c r="BD1140" i="2"/>
  <c r="BE1031" i="2"/>
  <c r="BD1082" i="2"/>
  <c r="BC988" i="2"/>
  <c r="BC1091" i="2"/>
  <c r="BD830" i="2"/>
  <c r="BH792" i="2"/>
  <c r="BC729" i="2"/>
  <c r="BC1067" i="2"/>
  <c r="BD1097" i="2"/>
  <c r="BC1014" i="2"/>
  <c r="BD868" i="2"/>
  <c r="AZ1128" i="2"/>
  <c r="BC684" i="2"/>
  <c r="AW855" i="2"/>
  <c r="BB480" i="2"/>
  <c r="BH711" i="2"/>
  <c r="BC960" i="2"/>
  <c r="BD591" i="2"/>
  <c r="BC734" i="2"/>
  <c r="BD191" i="2"/>
  <c r="BC774" i="2"/>
  <c r="BD774" i="2"/>
  <c r="BB581" i="2"/>
  <c r="BC1127" i="2"/>
  <c r="BB704" i="2"/>
  <c r="BC1206" i="2"/>
  <c r="BC1025" i="2"/>
  <c r="BD849" i="2"/>
  <c r="BE1184" i="2"/>
  <c r="BE535" i="2"/>
  <c r="BA77" i="2"/>
  <c r="BA251" i="2"/>
  <c r="BB244" i="2"/>
  <c r="BB87" i="2"/>
  <c r="BC1185" i="2"/>
  <c r="BC339" i="2"/>
  <c r="BE1032" i="2"/>
  <c r="BB65" i="2"/>
  <c r="BD1032" i="2"/>
  <c r="BD120" i="2"/>
  <c r="BC1089" i="2"/>
  <c r="BE720" i="2"/>
  <c r="BD980" i="2"/>
  <c r="BA974" i="2"/>
  <c r="BB877" i="2"/>
  <c r="BC978" i="2"/>
  <c r="BC765" i="2"/>
  <c r="BC1086" i="2"/>
  <c r="BD967" i="2"/>
  <c r="AZ483" i="2"/>
  <c r="BE562" i="2"/>
  <c r="AZ186" i="2"/>
  <c r="BC535" i="2"/>
  <c r="BH187" i="2"/>
  <c r="BA164" i="2"/>
  <c r="BA437" i="2"/>
  <c r="BB270" i="2"/>
  <c r="BD295" i="2"/>
  <c r="BH258" i="2"/>
  <c r="BD993" i="2"/>
  <c r="BD1077" i="2"/>
  <c r="BD600" i="2"/>
  <c r="BC926" i="2"/>
  <c r="BC747" i="2"/>
  <c r="BD785" i="2"/>
  <c r="BB424" i="2"/>
  <c r="BB487" i="2"/>
  <c r="BC1118" i="2"/>
  <c r="BC291" i="2"/>
  <c r="BB268" i="2"/>
  <c r="AW430" i="2"/>
  <c r="BD1162" i="2"/>
  <c r="AW943" i="2"/>
  <c r="BC652" i="2"/>
  <c r="AW996" i="2"/>
  <c r="BC8" i="2"/>
  <c r="BA343" i="2"/>
  <c r="BE355" i="2"/>
  <c r="BH199" i="2"/>
  <c r="BB418" i="2"/>
  <c r="BE299" i="2"/>
  <c r="BC553" i="2"/>
  <c r="BH116" i="2"/>
  <c r="AZ108" i="2"/>
  <c r="BD51" i="2"/>
  <c r="BC1003" i="2"/>
  <c r="BD800" i="2"/>
  <c r="BC493" i="2"/>
  <c r="BC372" i="2"/>
  <c r="BD520" i="2"/>
  <c r="BC810" i="2"/>
  <c r="BC603" i="2"/>
  <c r="BD326" i="2"/>
  <c r="BC719" i="2"/>
  <c r="BC350" i="2"/>
  <c r="BC561" i="2"/>
  <c r="BD459" i="2"/>
  <c r="BC517" i="2"/>
  <c r="BH87" i="2"/>
  <c r="BB185" i="2"/>
  <c r="BC1189" i="2"/>
  <c r="BC1125" i="2"/>
  <c r="BB525" i="2"/>
  <c r="BC414" i="2"/>
  <c r="AW433" i="2"/>
  <c r="BC437" i="2"/>
  <c r="BD489" i="2"/>
  <c r="AW866" i="2"/>
  <c r="BA244" i="2"/>
  <c r="BH295" i="2"/>
  <c r="BD1135" i="2"/>
  <c r="BC702" i="2"/>
  <c r="BA527" i="2"/>
  <c r="BE879" i="2"/>
  <c r="BA24" i="2"/>
  <c r="AW628" i="2"/>
  <c r="BC969" i="2"/>
  <c r="BC507" i="2"/>
  <c r="BC458" i="2"/>
  <c r="BD347" i="2"/>
  <c r="BC370" i="2"/>
  <c r="BH21" i="2"/>
  <c r="BA190" i="2"/>
  <c r="BC328" i="2"/>
  <c r="BB181" i="2"/>
  <c r="BE599" i="2"/>
  <c r="BD625" i="2"/>
  <c r="BE295" i="2"/>
  <c r="BH291" i="2"/>
  <c r="AW599" i="2"/>
  <c r="BE168" i="2"/>
  <c r="BC562" i="2"/>
  <c r="BB295" i="2"/>
  <c r="BA326" i="2"/>
  <c r="BH1003" i="2"/>
  <c r="BH432" i="2"/>
  <c r="BE187" i="2"/>
  <c r="BD168" i="2"/>
  <c r="BA866" i="2"/>
  <c r="BD1086" i="2"/>
  <c r="BC1082" i="2"/>
  <c r="BA33" i="2"/>
  <c r="BD648" i="2"/>
  <c r="BD1060" i="2"/>
  <c r="BC766" i="2"/>
  <c r="BE258" i="2"/>
  <c r="BA67" i="2"/>
  <c r="BD430" i="2"/>
  <c r="BC1026" i="2"/>
  <c r="BC971" i="2"/>
  <c r="BC280" i="2"/>
  <c r="BA730" i="2"/>
  <c r="BD547" i="2"/>
  <c r="BC334" i="2"/>
  <c r="BC314" i="2"/>
  <c r="BA464" i="2"/>
  <c r="AY300" i="2"/>
  <c r="BF554" i="2"/>
  <c r="BC762" i="2"/>
  <c r="BA838" i="2"/>
  <c r="BC754" i="2"/>
  <c r="BD514" i="2"/>
  <c r="BC671" i="2"/>
  <c r="BD166" i="2"/>
  <c r="BD145" i="2"/>
  <c r="BC448" i="2"/>
  <c r="BC204" i="2"/>
  <c r="BF217" i="2"/>
  <c r="AY361" i="2"/>
  <c r="BH1104" i="2"/>
  <c r="BC842" i="2"/>
  <c r="BC662" i="2"/>
  <c r="BD528" i="2"/>
  <c r="BC1024" i="2"/>
  <c r="BC931" i="2"/>
  <c r="BA930" i="2"/>
  <c r="BD1055" i="2"/>
  <c r="BH769" i="2"/>
  <c r="BB1146" i="2"/>
  <c r="BC1146" i="2"/>
  <c r="AW1137" i="2"/>
  <c r="BD743" i="2"/>
  <c r="BC704" i="2"/>
  <c r="BC830" i="2"/>
  <c r="BB743" i="2"/>
  <c r="BE955" i="2"/>
  <c r="BD955" i="2"/>
  <c r="BD1031" i="2"/>
  <c r="BE729" i="2"/>
  <c r="BD1109" i="2"/>
  <c r="BH273" i="2"/>
  <c r="BD859" i="2"/>
  <c r="BA554" i="2"/>
  <c r="BC1193" i="2"/>
  <c r="BB1193" i="2"/>
  <c r="BD983" i="2"/>
  <c r="BC983" i="2"/>
  <c r="BG116" i="2"/>
  <c r="BD116" i="2"/>
  <c r="BC840" i="2"/>
  <c r="AW743" i="2"/>
  <c r="BA743" i="2"/>
  <c r="BB267" i="2"/>
  <c r="BE123" i="2"/>
  <c r="AW300" i="2"/>
  <c r="BD1189" i="2"/>
  <c r="BH704" i="2"/>
  <c r="BD704" i="2"/>
  <c r="BC720" i="2"/>
  <c r="BC980" i="2"/>
  <c r="BB1055" i="2"/>
  <c r="BC1123" i="2"/>
  <c r="BD861" i="2"/>
  <c r="BC990" i="2"/>
  <c r="BC1116" i="2"/>
  <c r="BC975" i="2"/>
  <c r="BC1101" i="2"/>
  <c r="BC1030" i="2"/>
  <c r="BC1203" i="2"/>
  <c r="BD1041" i="2"/>
  <c r="BC985" i="2"/>
  <c r="BB872" i="2"/>
  <c r="BC1045" i="2"/>
  <c r="AW974" i="2"/>
  <c r="BA992" i="2"/>
  <c r="BC813" i="2"/>
  <c r="BD1049" i="2"/>
  <c r="BD978" i="2"/>
  <c r="BD765" i="2"/>
  <c r="BC1133" i="2"/>
  <c r="BD1098" i="2"/>
  <c r="BB1115" i="2"/>
  <c r="BA728" i="2"/>
  <c r="BD1003" i="2"/>
  <c r="BB805" i="2"/>
  <c r="BC1204" i="2"/>
  <c r="BC1095" i="2"/>
  <c r="BC961" i="2"/>
  <c r="BC800" i="2"/>
  <c r="BD1053" i="2"/>
  <c r="BB798" i="2"/>
  <c r="BC1060" i="2"/>
  <c r="BE675" i="2"/>
  <c r="BD651" i="2"/>
  <c r="AW493" i="2"/>
  <c r="BG160" i="2"/>
  <c r="BD1017" i="2"/>
  <c r="BC645" i="2"/>
  <c r="BC849" i="2"/>
  <c r="BD1184" i="2"/>
  <c r="BE520" i="2"/>
  <c r="BC619" i="2"/>
  <c r="AY465" i="2"/>
  <c r="BC293" i="2"/>
  <c r="BB535" i="2"/>
  <c r="BH413" i="2"/>
  <c r="BC442" i="2"/>
  <c r="BD558" i="2"/>
  <c r="BD810" i="2"/>
  <c r="BD219" i="2"/>
  <c r="BD603" i="2"/>
  <c r="BC200" i="2"/>
  <c r="AW326" i="2"/>
  <c r="BB351" i="2"/>
  <c r="BD431" i="2"/>
  <c r="BC409" i="2"/>
  <c r="BB291" i="2"/>
  <c r="BA295" i="2"/>
  <c r="BD726" i="2"/>
  <c r="AW350" i="2"/>
  <c r="BC135" i="2"/>
  <c r="BA561" i="2"/>
  <c r="BB459" i="2"/>
  <c r="BD517" i="2"/>
  <c r="BA105" i="2"/>
  <c r="BD244" i="2"/>
  <c r="BA141" i="2"/>
  <c r="BE185" i="2"/>
  <c r="BD80" i="2"/>
  <c r="AZ1163" i="2"/>
  <c r="AW634" i="2"/>
  <c r="BD926" i="2"/>
  <c r="BC513" i="2"/>
  <c r="BE1098" i="2"/>
  <c r="BE661" i="2"/>
  <c r="AW1031" i="2"/>
  <c r="BD729" i="2"/>
  <c r="BD891" i="2"/>
  <c r="BD1045" i="2"/>
  <c r="BD866" i="2"/>
  <c r="BD291" i="2"/>
  <c r="BD350" i="2"/>
  <c r="BD908" i="2"/>
  <c r="BD974" i="2"/>
  <c r="BC648" i="2"/>
  <c r="BC431" i="2"/>
  <c r="BC464" i="2"/>
  <c r="BC1027" i="2"/>
  <c r="BC1053" i="2"/>
  <c r="BC430" i="2"/>
  <c r="BC861" i="2"/>
  <c r="BD442" i="2"/>
  <c r="BD650" i="2"/>
  <c r="BB800" i="2"/>
  <c r="BB350" i="2"/>
  <c r="BB765" i="2"/>
  <c r="BE800" i="2"/>
  <c r="BE430" i="2"/>
  <c r="AW535" i="2"/>
  <c r="AW955" i="2"/>
  <c r="BB804" i="2"/>
  <c r="BB186" i="2"/>
  <c r="BB838" i="2"/>
  <c r="BB430" i="2"/>
  <c r="BE960" i="2"/>
  <c r="BA430" i="2"/>
  <c r="BA350" i="2"/>
  <c r="AZ413" i="2"/>
  <c r="AZ83" i="2"/>
  <c r="BH430" i="2"/>
  <c r="BB935" i="2"/>
  <c r="BH726" i="2"/>
  <c r="BD1204" i="2"/>
  <c r="BB1025" i="2"/>
  <c r="BH1095" i="2"/>
  <c r="BE1192" i="2"/>
  <c r="BD763" i="2"/>
  <c r="BC1184" i="2"/>
  <c r="BC283" i="2"/>
  <c r="BC415" i="2"/>
  <c r="BD308" i="2"/>
  <c r="BC984" i="2"/>
  <c r="BD458" i="2"/>
  <c r="BE557" i="2"/>
  <c r="BE493" i="2"/>
  <c r="BE1137" i="2"/>
  <c r="AW729" i="2"/>
  <c r="AW1032" i="2"/>
  <c r="AW661" i="2"/>
  <c r="BD675" i="2"/>
  <c r="BD734" i="2"/>
  <c r="BD1067" i="2"/>
  <c r="BD798" i="2"/>
  <c r="BD698" i="2"/>
  <c r="BC483" i="2"/>
  <c r="BC967" i="2"/>
  <c r="BC866" i="2"/>
  <c r="BC520" i="2"/>
  <c r="BC1115" i="2"/>
  <c r="BC877" i="2"/>
  <c r="BC1137" i="2"/>
  <c r="BC164" i="2"/>
  <c r="BC413" i="2"/>
  <c r="BC308" i="2"/>
  <c r="BD804" i="2"/>
  <c r="BD1115" i="2"/>
  <c r="BD1118" i="2"/>
  <c r="BD617" i="2"/>
  <c r="BD141" i="2"/>
  <c r="BB392" i="2"/>
  <c r="BE734" i="2"/>
  <c r="AW295" i="2"/>
  <c r="BB728" i="2"/>
  <c r="BB409" i="2"/>
  <c r="BB1086" i="2"/>
  <c r="BB786" i="2"/>
  <c r="BA1098" i="2"/>
  <c r="BA459" i="2"/>
  <c r="BA891" i="2"/>
  <c r="BA187" i="2"/>
  <c r="BH561" i="2"/>
  <c r="AZ432" i="2"/>
  <c r="BC1162" i="2"/>
  <c r="BB1206" i="2"/>
  <c r="BE664" i="2"/>
  <c r="BC751" i="2"/>
  <c r="BC118" i="2"/>
  <c r="BD943" i="2"/>
  <c r="AW675" i="2"/>
  <c r="AW1184" i="2"/>
  <c r="AW413" i="2"/>
  <c r="BD493" i="2"/>
  <c r="BD258" i="2"/>
  <c r="BD661" i="2"/>
  <c r="BD613" i="2"/>
  <c r="BD606" i="2"/>
  <c r="BC816" i="2"/>
  <c r="BC120" i="2"/>
  <c r="BC351" i="2"/>
  <c r="BC326" i="2"/>
  <c r="BC1032" i="2"/>
  <c r="BC727" i="2"/>
  <c r="BC698" i="2"/>
  <c r="BC798" i="2"/>
  <c r="BC489" i="2"/>
  <c r="BC295" i="2"/>
  <c r="BD1161" i="2"/>
  <c r="BD813" i="2"/>
  <c r="BD877" i="2"/>
  <c r="BD562" i="2"/>
  <c r="BB599" i="2"/>
  <c r="BB520" i="2"/>
  <c r="BB955" i="2"/>
  <c r="BB830" i="2"/>
  <c r="BE392" i="2"/>
  <c r="BA258" i="2"/>
  <c r="BA810" i="2"/>
  <c r="AZ217" i="2"/>
  <c r="AZ170" i="2"/>
  <c r="BG202" i="2"/>
  <c r="BF160" i="2"/>
  <c r="AW800" i="2"/>
  <c r="BD890" i="2"/>
  <c r="BE970" i="2"/>
  <c r="BB856" i="2"/>
  <c r="BC950" i="2"/>
  <c r="BD328" i="2"/>
  <c r="BD413" i="2"/>
  <c r="BD985" i="2"/>
  <c r="BD1137" i="2"/>
  <c r="BC1017" i="2"/>
  <c r="BC933" i="2"/>
  <c r="BC465" i="2"/>
  <c r="BC625" i="2"/>
  <c r="BC459" i="2"/>
  <c r="BC1049" i="2"/>
  <c r="BD345" i="2"/>
  <c r="BB675" i="2"/>
  <c r="BB465" i="2"/>
  <c r="BB273" i="2"/>
  <c r="BB561" i="2"/>
  <c r="BE291" i="2"/>
  <c r="BB326" i="2"/>
  <c r="BA413" i="2"/>
  <c r="BA291" i="2"/>
  <c r="BH459" i="2"/>
  <c r="AZ769" i="2"/>
  <c r="BC1135" i="2"/>
  <c r="BD540" i="2"/>
  <c r="BE413" i="2"/>
  <c r="AW1098" i="2"/>
  <c r="BD599" i="2"/>
  <c r="BE459" i="2"/>
  <c r="AW459" i="2"/>
  <c r="BC187" i="2"/>
  <c r="BC432" i="2"/>
  <c r="BC955" i="2"/>
  <c r="BC664" i="2"/>
  <c r="BC974" i="2"/>
  <c r="BC992" i="2"/>
  <c r="BC675" i="2"/>
  <c r="BD816" i="2"/>
  <c r="BD535" i="2"/>
  <c r="BD971" i="2"/>
  <c r="BD930" i="2"/>
  <c r="BD990" i="2"/>
  <c r="BB413" i="2"/>
  <c r="BE350" i="2"/>
  <c r="BB266" i="2"/>
  <c r="BH486" i="2"/>
  <c r="AZ728" i="2"/>
  <c r="BD788" i="2"/>
  <c r="BD828" i="2"/>
  <c r="AW1117" i="2"/>
  <c r="BD628" i="2"/>
  <c r="BC650" i="2"/>
  <c r="BC606" i="2"/>
  <c r="BC782" i="2"/>
  <c r="BD298" i="2"/>
  <c r="BB734" i="2"/>
  <c r="BB974" i="2"/>
  <c r="BB276" i="2"/>
  <c r="BB816" i="2"/>
  <c r="BH498" i="2"/>
  <c r="AX353" i="2"/>
  <c r="BD527" i="2"/>
  <c r="AW314" i="2"/>
  <c r="BD123" i="2"/>
  <c r="BD754" i="2"/>
  <c r="BD702" i="2"/>
  <c r="BC354" i="2"/>
  <c r="BC525" i="2"/>
  <c r="BC633" i="2"/>
  <c r="BD204" i="2"/>
  <c r="BD339" i="2"/>
  <c r="BD343" i="2"/>
  <c r="BD199" i="2"/>
  <c r="BD448" i="2"/>
  <c r="BB359" i="2"/>
  <c r="BB419" i="2"/>
  <c r="BE51" i="2"/>
  <c r="BB15" i="2"/>
  <c r="BB547" i="2"/>
  <c r="BB318" i="2"/>
  <c r="BB370" i="2"/>
  <c r="BE996" i="2"/>
  <c r="AW664" i="2"/>
  <c r="BA355" i="2"/>
  <c r="BA240" i="2"/>
  <c r="BA418" i="2"/>
  <c r="BA336" i="2"/>
  <c r="BH343" i="2"/>
  <c r="BH525" i="2"/>
  <c r="BH514" i="2"/>
  <c r="BH227" i="2"/>
  <c r="BH453" i="2"/>
  <c r="AZ472" i="2"/>
  <c r="AZ345" i="2"/>
  <c r="AZ318" i="2"/>
  <c r="AU463" i="2"/>
  <c r="BG43" i="2"/>
  <c r="BG299" i="2"/>
  <c r="AY711" i="2"/>
  <c r="BF361" i="2"/>
  <c r="BF299" i="2"/>
  <c r="BE361" i="2"/>
  <c r="AW647" i="2"/>
  <c r="BC24" i="2"/>
  <c r="BC421" i="2"/>
  <c r="BC343" i="2"/>
  <c r="BC471" i="2"/>
  <c r="BE359" i="2"/>
  <c r="BE476" i="2"/>
  <c r="BD486" i="2"/>
  <c r="BD996" i="2"/>
  <c r="BD392" i="2"/>
  <c r="BD453" i="2"/>
  <c r="BD233" i="2"/>
  <c r="BD314" i="2"/>
  <c r="BD557" i="2"/>
  <c r="BD240" i="2"/>
  <c r="BC191" i="2"/>
  <c r="BC547" i="2"/>
  <c r="BC21" i="2"/>
  <c r="BC123" i="2"/>
  <c r="BC418" i="2"/>
  <c r="BC347" i="2"/>
  <c r="BC710" i="2"/>
  <c r="BC996" i="2"/>
  <c r="BC318" i="2"/>
  <c r="BC628" i="2"/>
  <c r="BC419" i="2"/>
  <c r="BC730" i="2"/>
  <c r="BC353" i="2"/>
  <c r="BD118" i="2"/>
  <c r="BD81" i="2"/>
  <c r="BD228" i="2"/>
  <c r="BD421" i="2"/>
  <c r="BB527" i="2"/>
  <c r="BB118" i="2"/>
  <c r="BB671" i="2"/>
  <c r="BE166" i="2"/>
  <c r="BE564" i="2"/>
  <c r="BB176" i="2"/>
  <c r="BB556" i="2"/>
  <c r="BB446" i="2"/>
  <c r="BB308" i="2"/>
  <c r="BE190" i="2"/>
  <c r="BA671" i="2"/>
  <c r="BA108" i="2"/>
  <c r="BH734" i="2"/>
  <c r="BA525" i="2"/>
  <c r="BH471" i="2"/>
  <c r="BH167" i="2"/>
  <c r="AZ202" i="2"/>
  <c r="AZ299" i="2"/>
  <c r="BG22" i="2"/>
  <c r="BF15" i="2"/>
  <c r="BF300" i="2"/>
  <c r="BC934" i="2"/>
  <c r="BD1013" i="2"/>
  <c r="AW361" i="2"/>
  <c r="BD414" i="2"/>
  <c r="BE855" i="2"/>
  <c r="BE527" i="2"/>
  <c r="AW419" i="2"/>
  <c r="AW730" i="2"/>
  <c r="BD855" i="2"/>
  <c r="BD633" i="2"/>
  <c r="BD355" i="2"/>
  <c r="BC189" i="2"/>
  <c r="BC122" i="2"/>
  <c r="BC217" i="2"/>
  <c r="BC476" i="2"/>
  <c r="BC299" i="2"/>
  <c r="BC199" i="2"/>
  <c r="BC463" i="2"/>
  <c r="BC949" i="2"/>
  <c r="BC527" i="2"/>
  <c r="BC359" i="2"/>
  <c r="BC480" i="2"/>
  <c r="BD22" i="2"/>
  <c r="BD464" i="2"/>
  <c r="BD336" i="2"/>
  <c r="BD471" i="2"/>
  <c r="BB664" i="2"/>
  <c r="BB328" i="2"/>
  <c r="BE116" i="2"/>
  <c r="BE448" i="2"/>
  <c r="BE985" i="2"/>
  <c r="AW318" i="2"/>
  <c r="AW328" i="2"/>
  <c r="AW486" i="2"/>
  <c r="BB471" i="2"/>
  <c r="BB1083" i="2"/>
  <c r="BB361" i="2"/>
  <c r="BB353" i="2"/>
  <c r="BA116" i="2"/>
  <c r="BA298" i="2"/>
  <c r="BA300" i="2"/>
  <c r="BA353" i="2"/>
  <c r="BA189" i="2"/>
  <c r="BH361" i="2"/>
  <c r="BH421" i="2"/>
  <c r="BH446" i="2"/>
  <c r="BH300" i="2"/>
  <c r="AZ227" i="2"/>
  <c r="AZ361" i="2"/>
  <c r="AZ298" i="2"/>
  <c r="AZ167" i="2"/>
  <c r="AZ353" i="2"/>
  <c r="AU1179" i="2"/>
  <c r="BG361" i="2"/>
  <c r="BF353" i="2"/>
  <c r="BF471" i="2"/>
  <c r="BG421" i="2"/>
  <c r="BD361" i="2"/>
  <c r="BD359" i="2"/>
  <c r="BC523" i="2"/>
  <c r="BC514" i="2"/>
  <c r="BC446" i="2"/>
  <c r="BC22" i="2"/>
  <c r="BC1160" i="2"/>
  <c r="BD762" i="2"/>
  <c r="BD560" i="2"/>
  <c r="BB221" i="2"/>
  <c r="BB453" i="2"/>
  <c r="BB996" i="2"/>
  <c r="BE328" i="2"/>
  <c r="BE1160" i="2"/>
  <c r="AW355" i="2"/>
  <c r="BB401" i="2"/>
  <c r="BB523" i="2"/>
  <c r="BB300" i="2"/>
  <c r="BB711" i="2"/>
  <c r="BE240" i="2"/>
  <c r="BE300" i="2"/>
  <c r="AW392" i="2"/>
  <c r="BB623" i="2"/>
  <c r="BA299" i="2"/>
  <c r="BA453" i="2"/>
  <c r="BA227" i="2"/>
  <c r="BA471" i="2"/>
  <c r="BA996" i="2"/>
  <c r="BH353" i="2"/>
  <c r="BH240" i="2"/>
  <c r="AZ711" i="2"/>
  <c r="AZ421" i="2"/>
  <c r="AV345" i="2"/>
  <c r="BG471" i="2"/>
  <c r="BF116" i="2"/>
  <c r="AX361" i="2"/>
  <c r="AY353" i="2"/>
  <c r="AY471" i="2"/>
  <c r="AU1160" i="2"/>
  <c r="AY630" i="2"/>
  <c r="BD730" i="2"/>
  <c r="BD221" i="2"/>
  <c r="BC1128" i="2"/>
  <c r="BC560" i="2"/>
  <c r="BC300" i="2"/>
  <c r="BC361" i="2"/>
  <c r="BC564" i="2"/>
  <c r="BC355" i="2"/>
  <c r="BD711" i="2"/>
  <c r="BD217" i="2"/>
  <c r="BD710" i="2"/>
  <c r="BD1125" i="2"/>
  <c r="BE730" i="2"/>
  <c r="AW359" i="2"/>
  <c r="AW476" i="2"/>
  <c r="BD480" i="2"/>
  <c r="BD717" i="2"/>
  <c r="BC872" i="2"/>
  <c r="BC531" i="2"/>
  <c r="BC453" i="2"/>
  <c r="BC717" i="2"/>
  <c r="BD202" i="2"/>
  <c r="BD227" i="2"/>
  <c r="BD525" i="2"/>
  <c r="BD418" i="2"/>
  <c r="BB730" i="2"/>
  <c r="BB116" i="2"/>
  <c r="AW299" i="2"/>
  <c r="BB343" i="2"/>
  <c r="BB204" i="2"/>
  <c r="BB597" i="2"/>
  <c r="BB1027" i="2"/>
  <c r="BA167" i="2"/>
  <c r="BA401" i="2"/>
  <c r="BA228" i="2"/>
  <c r="AZ359" i="2"/>
  <c r="AZ176" i="2"/>
  <c r="BH299" i="2"/>
  <c r="AZ228" i="2"/>
  <c r="AZ300" i="2"/>
  <c r="BG300" i="2"/>
  <c r="BF240" i="2"/>
  <c r="BF167" i="2"/>
  <c r="AX471" i="2"/>
  <c r="BD647" i="2"/>
  <c r="BD167" i="2"/>
  <c r="BE419" i="2"/>
  <c r="BD419" i="2"/>
  <c r="BD564" i="2"/>
  <c r="BD531" i="2"/>
  <c r="BD664" i="2"/>
  <c r="BD671" i="2"/>
  <c r="BC15" i="2"/>
  <c r="BC190" i="2"/>
  <c r="BC298" i="2"/>
  <c r="BC556" i="2"/>
  <c r="BC557" i="2"/>
  <c r="BC486" i="2"/>
  <c r="BC116" i="2"/>
  <c r="BC855" i="2"/>
  <c r="BD446" i="2"/>
  <c r="BD122" i="2"/>
  <c r="BD872" i="2"/>
  <c r="BB464" i="2"/>
  <c r="BB202" i="2"/>
  <c r="BB298" i="2"/>
  <c r="BA446" i="2"/>
  <c r="BA361" i="2"/>
  <c r="BH359" i="2"/>
  <c r="BH298" i="2"/>
  <c r="AZ401" i="2"/>
  <c r="AZ471" i="2"/>
  <c r="AZ116" i="2"/>
  <c r="AX300" i="2"/>
  <c r="BG355" i="2"/>
  <c r="BG353" i="2"/>
  <c r="BD984" i="2"/>
  <c r="BE1045" i="2"/>
  <c r="AW527" i="2"/>
  <c r="BD299" i="2"/>
  <c r="BC711" i="2"/>
  <c r="BC505" i="2"/>
  <c r="BC345" i="2"/>
  <c r="BC401" i="2"/>
  <c r="BC336" i="2"/>
  <c r="BC202" i="2"/>
  <c r="BD992" i="2"/>
  <c r="BD300" i="2"/>
  <c r="BD401" i="2"/>
  <c r="BD556" i="2"/>
  <c r="BB355" i="2"/>
  <c r="BB421" i="2"/>
  <c r="BB299" i="2"/>
  <c r="BE122" i="2"/>
  <c r="BA359" i="2"/>
  <c r="BF345" i="2"/>
  <c r="BG359" i="2"/>
  <c r="BF421" i="2"/>
  <c r="BF298" i="2"/>
  <c r="AY266" i="2"/>
  <c r="BD353" i="2"/>
  <c r="BD1018" i="2"/>
  <c r="BB1001" i="2"/>
  <c r="AZ629" i="2"/>
  <c r="BB491" i="2"/>
  <c r="BF84" i="2"/>
  <c r="BD796" i="2"/>
  <c r="BC868" i="2"/>
  <c r="BD918" i="2"/>
  <c r="BC1126" i="2"/>
  <c r="BC1039" i="2"/>
  <c r="BC1168" i="2"/>
  <c r="Q20" i="2"/>
  <c r="S30" i="2"/>
  <c r="S52" i="2" s="1"/>
  <c r="S74" i="2" s="1"/>
  <c r="R41" i="2"/>
  <c r="R74" i="2" s="1"/>
  <c r="Q41" i="2"/>
  <c r="Q74" i="2" s="1"/>
  <c r="Q52" i="2"/>
  <c r="S19" i="2"/>
  <c r="S41" i="2" s="1"/>
  <c r="S63" i="2" s="1"/>
  <c r="R19" i="2"/>
  <c r="R52" i="2" s="1"/>
  <c r="BB989" i="2"/>
  <c r="BU8" i="2"/>
  <c r="BV9" i="2"/>
  <c r="T74" i="2"/>
  <c r="T42" i="2"/>
  <c r="L19" i="2"/>
  <c r="R11" i="2"/>
  <c r="L20" i="2"/>
  <c r="R14" i="2" s="1"/>
  <c r="N187" i="2"/>
  <c r="N158" i="2"/>
  <c r="O190" i="2"/>
  <c r="O161" i="2"/>
  <c r="BB920" i="2"/>
  <c r="BD1146" i="2"/>
  <c r="BC1140" i="2"/>
  <c r="BB1031" i="2"/>
  <c r="BD986" i="2"/>
  <c r="BD1193" i="2"/>
  <c r="BD1113" i="2"/>
  <c r="BC1042" i="2"/>
  <c r="BD1174" i="2"/>
  <c r="BB729" i="2"/>
  <c r="S85" i="2"/>
  <c r="S105" i="2" s="1"/>
  <c r="S86" i="2"/>
  <c r="S106" i="2"/>
  <c r="T62" i="2"/>
  <c r="T30" i="2"/>
  <c r="R29" i="2"/>
  <c r="R62" i="2" s="1"/>
  <c r="Q29" i="2"/>
  <c r="Q62" i="2" s="1"/>
  <c r="BC1182" i="2"/>
  <c r="BB827" i="2"/>
  <c r="BC736" i="2"/>
  <c r="BD1033" i="2"/>
  <c r="BC324" i="2"/>
  <c r="BA649" i="2"/>
  <c r="BB536" i="2"/>
  <c r="BD247" i="2"/>
  <c r="BB323" i="2"/>
  <c r="BD248" i="2"/>
  <c r="BC643" i="2"/>
  <c r="BA101" i="2"/>
  <c r="BD11" i="2"/>
  <c r="BB1109" i="2"/>
  <c r="BC1120" i="2"/>
  <c r="BC993" i="2"/>
  <c r="BC878" i="2"/>
  <c r="BC1081" i="2"/>
  <c r="BH1185" i="2"/>
  <c r="BC1077" i="2"/>
  <c r="BA1026" i="2"/>
  <c r="BC943" i="2"/>
  <c r="BD827" i="2"/>
  <c r="BC1031" i="2"/>
  <c r="BD736" i="2"/>
  <c r="BD1011" i="2"/>
  <c r="BB661" i="2"/>
  <c r="BB1120" i="2"/>
  <c r="AW1045" i="2"/>
  <c r="BB414" i="2"/>
  <c r="BA955" i="2"/>
  <c r="BA491" i="2"/>
  <c r="AZ649" i="2"/>
  <c r="BD1175" i="2"/>
  <c r="BA657" i="2"/>
  <c r="BC657" i="2"/>
  <c r="BC1177" i="2"/>
  <c r="BB1177" i="2"/>
  <c r="BD1178" i="2"/>
  <c r="BC1178" i="2"/>
  <c r="BF740" i="2"/>
  <c r="BC740" i="2"/>
  <c r="BE740" i="2"/>
  <c r="BB740" i="2"/>
  <c r="AW740" i="2"/>
  <c r="AV334" i="2"/>
  <c r="BH334" i="2"/>
  <c r="BB334" i="2"/>
  <c r="BD334" i="2"/>
  <c r="BA334" i="2"/>
  <c r="BB288" i="2"/>
  <c r="BE288" i="2"/>
  <c r="BA288" i="2"/>
  <c r="BG50" i="2"/>
  <c r="BE50" i="2"/>
  <c r="BD50" i="2"/>
  <c r="BF50" i="2"/>
  <c r="AY449" i="2"/>
  <c r="AW449" i="2"/>
  <c r="BH449" i="2"/>
  <c r="BE449" i="2"/>
  <c r="BD449" i="2"/>
  <c r="AZ449" i="2"/>
  <c r="AU449" i="2"/>
  <c r="BA449" i="2"/>
  <c r="BD125" i="2"/>
  <c r="BH125" i="2"/>
  <c r="AY473" i="2"/>
  <c r="AV473" i="2"/>
  <c r="AU473" i="2"/>
  <c r="BE473" i="2"/>
  <c r="AZ473" i="2"/>
  <c r="BD473" i="2"/>
  <c r="AX473" i="2"/>
  <c r="BF473" i="2"/>
  <c r="BA473" i="2"/>
  <c r="AW473" i="2"/>
  <c r="BH134" i="2"/>
  <c r="BE134" i="2"/>
  <c r="BB134" i="2"/>
  <c r="BD134" i="2"/>
  <c r="BF134" i="2"/>
  <c r="BG134" i="2"/>
  <c r="BA134" i="2"/>
  <c r="AU478" i="2"/>
  <c r="BA478" i="2"/>
  <c r="AV478" i="2"/>
  <c r="AY478" i="2"/>
  <c r="BD478" i="2"/>
  <c r="BG707" i="2"/>
  <c r="BA707" i="2"/>
  <c r="BD707" i="2"/>
  <c r="AZ707" i="2"/>
  <c r="BB707" i="2"/>
  <c r="BE307" i="2"/>
  <c r="BC307" i="2"/>
  <c r="BH307" i="2"/>
  <c r="AX307" i="2"/>
  <c r="BA307" i="2"/>
  <c r="AY307" i="2"/>
  <c r="BH933" i="2"/>
  <c r="BB933" i="2"/>
  <c r="BD311" i="2"/>
  <c r="BF311" i="2"/>
  <c r="AZ311" i="2"/>
  <c r="BH311" i="2"/>
  <c r="BB311" i="2"/>
  <c r="AU338" i="2"/>
  <c r="BH338" i="2"/>
  <c r="BB338" i="2"/>
  <c r="BA338" i="2"/>
  <c r="BH238" i="2"/>
  <c r="BA238" i="2"/>
  <c r="AZ379" i="2"/>
  <c r="BA379" i="2"/>
  <c r="BB379" i="2"/>
  <c r="BG379" i="2"/>
  <c r="BH379" i="2"/>
  <c r="AU383" i="2"/>
  <c r="BA383" i="2"/>
  <c r="BA103" i="2"/>
  <c r="AZ103" i="2"/>
  <c r="AU484" i="2"/>
  <c r="BC484" i="2"/>
  <c r="BF166" i="2"/>
  <c r="BD364" i="2"/>
  <c r="BB364" i="2"/>
  <c r="AZ133" i="2"/>
  <c r="BH133" i="2"/>
  <c r="BG133" i="2"/>
  <c r="BC302" i="2"/>
  <c r="BG302" i="2"/>
  <c r="BD302" i="2"/>
  <c r="BH302" i="2"/>
  <c r="AZ635" i="2"/>
  <c r="BH635" i="2"/>
  <c r="BB635" i="2"/>
  <c r="BE635" i="2"/>
  <c r="AW635" i="2"/>
  <c r="BA135" i="2"/>
  <c r="BB135" i="2"/>
  <c r="BH135" i="2"/>
  <c r="BD135" i="2"/>
  <c r="AU327" i="2"/>
  <c r="BC327" i="2"/>
  <c r="BH327" i="2"/>
  <c r="BA112" i="2"/>
  <c r="BA234" i="2"/>
  <c r="AV403" i="2"/>
  <c r="BH403" i="2"/>
  <c r="BC403" i="2"/>
  <c r="BG403" i="2"/>
  <c r="BA403" i="2"/>
  <c r="BE403" i="2"/>
  <c r="AZ403" i="2"/>
  <c r="AU382" i="2"/>
  <c r="BB382" i="2"/>
  <c r="AZ382" i="2"/>
  <c r="BA382" i="2"/>
  <c r="AW382" i="2"/>
  <c r="BG45" i="2"/>
  <c r="BH45" i="2"/>
  <c r="BE45" i="2"/>
  <c r="BD45" i="2"/>
  <c r="BC45" i="2"/>
  <c r="AU427" i="2"/>
  <c r="AW427" i="2"/>
  <c r="AZ427" i="2"/>
  <c r="BC427" i="2"/>
  <c r="BA427" i="2"/>
  <c r="BB427" i="2"/>
  <c r="BG427" i="2"/>
  <c r="BH427" i="2"/>
  <c r="BG54" i="2"/>
  <c r="BH54" i="2"/>
  <c r="BD433" i="2"/>
  <c r="BC433" i="2"/>
  <c r="BF223" i="2"/>
  <c r="BH223" i="2"/>
  <c r="BE223" i="2"/>
  <c r="BC223" i="2"/>
  <c r="BA223" i="2"/>
  <c r="BG223" i="2"/>
  <c r="BH529" i="2"/>
  <c r="BB529" i="2"/>
  <c r="BD529" i="2"/>
  <c r="BF529" i="2"/>
  <c r="BA529" i="2"/>
  <c r="AZ529" i="2"/>
  <c r="BH495" i="2"/>
  <c r="BB495" i="2"/>
  <c r="BC495" i="2"/>
  <c r="AY495" i="2"/>
  <c r="BG495" i="2"/>
  <c r="BA495" i="2"/>
  <c r="BF495" i="2"/>
  <c r="AZ495" i="2"/>
  <c r="BA572" i="2"/>
  <c r="BB572" i="2"/>
  <c r="BG587" i="2"/>
  <c r="BA587" i="2"/>
  <c r="BD587" i="2"/>
  <c r="AZ587" i="2"/>
  <c r="BB587" i="2"/>
  <c r="AV497" i="2"/>
  <c r="AW497" i="2"/>
  <c r="BB497" i="2"/>
  <c r="AZ497" i="2"/>
  <c r="BE497" i="2"/>
  <c r="AU497" i="2"/>
  <c r="BA497" i="2"/>
  <c r="BD612" i="2"/>
  <c r="BC612" i="2"/>
  <c r="BB612" i="2"/>
  <c r="AX373" i="2"/>
  <c r="BB373" i="2"/>
  <c r="BH373" i="2"/>
  <c r="BC373" i="2"/>
  <c r="BA17" i="2"/>
  <c r="BB17" i="2"/>
  <c r="BC17" i="2"/>
  <c r="BD17" i="2"/>
  <c r="BH94" i="2"/>
  <c r="AU434" i="2"/>
  <c r="AV434" i="2"/>
  <c r="AY97" i="2"/>
  <c r="BB66" i="2"/>
  <c r="AY282" i="2"/>
  <c r="BA282" i="2"/>
  <c r="BA381" i="2"/>
  <c r="BH381" i="2"/>
  <c r="BG156" i="2"/>
  <c r="BH156" i="2"/>
  <c r="AV485" i="2"/>
  <c r="AY485" i="2"/>
  <c r="BG485" i="2"/>
  <c r="BA485" i="2"/>
  <c r="AU485" i="2"/>
  <c r="AZ106" i="2"/>
  <c r="BG285" i="2"/>
  <c r="AY285" i="2"/>
  <c r="BH43" i="2"/>
  <c r="BD43" i="2"/>
  <c r="BA51" i="2"/>
  <c r="AU297" i="2"/>
  <c r="AV297" i="2"/>
  <c r="BE12" i="2"/>
  <c r="BB12" i="2"/>
  <c r="BC12" i="2"/>
  <c r="BB179" i="2"/>
  <c r="BH179" i="2"/>
  <c r="BC763" i="2"/>
  <c r="BC656" i="2"/>
  <c r="BB657" i="2"/>
  <c r="AZ334" i="2"/>
  <c r="AZ307" i="2"/>
  <c r="BF307" i="2"/>
  <c r="AV449" i="2"/>
  <c r="BD656" i="2"/>
  <c r="BC1011" i="2"/>
  <c r="BD283" i="2"/>
  <c r="BB1042" i="2"/>
  <c r="AW1109" i="2"/>
  <c r="BA133" i="2"/>
  <c r="BG449" i="2"/>
  <c r="BF478" i="2"/>
  <c r="BG529" i="2"/>
  <c r="BC827" i="2"/>
  <c r="BC1192" i="2"/>
  <c r="BB265" i="2"/>
  <c r="BB1011" i="2"/>
  <c r="BG473" i="2"/>
  <c r="BD1177" i="2"/>
  <c r="BD933" i="2"/>
  <c r="BA283" i="2"/>
  <c r="BH707" i="2"/>
  <c r="BB701" i="2"/>
  <c r="BD701" i="2"/>
  <c r="BD837" i="2"/>
  <c r="BC837" i="2"/>
  <c r="BB608" i="2"/>
  <c r="BA608" i="2"/>
  <c r="BC608" i="2"/>
  <c r="BA988" i="2"/>
  <c r="BB988" i="2"/>
  <c r="BA1109" i="2"/>
  <c r="AZ1109" i="2"/>
  <c r="BE1113" i="2"/>
  <c r="BB1113" i="2"/>
  <c r="BH816" i="2"/>
  <c r="BD753" i="2"/>
  <c r="BC753" i="2"/>
  <c r="BD876" i="2"/>
  <c r="BB876" i="2"/>
  <c r="BA1185" i="2"/>
  <c r="BB1185" i="2"/>
  <c r="BD1185" i="2"/>
  <c r="BE882" i="2"/>
  <c r="BC882" i="2"/>
  <c r="BB861" i="2"/>
  <c r="AW861" i="2"/>
  <c r="BE861" i="2"/>
  <c r="BB1097" i="2"/>
  <c r="BC1097" i="2"/>
  <c r="BB1014" i="2"/>
  <c r="AW1014" i="2"/>
  <c r="AZ1014" i="2"/>
  <c r="BA1014" i="2"/>
  <c r="BD1014" i="2"/>
  <c r="BB1026" i="2"/>
  <c r="BD957" i="2"/>
  <c r="BB896" i="2"/>
  <c r="BD896" i="2"/>
  <c r="BC660" i="2"/>
  <c r="AW660" i="2"/>
  <c r="BA32" i="2"/>
  <c r="BH15" i="2"/>
  <c r="BH228" i="2"/>
  <c r="BA1199" i="2"/>
  <c r="AY738" i="2"/>
  <c r="BD1050" i="2"/>
  <c r="BC979" i="2"/>
  <c r="BD941" i="2"/>
  <c r="AZ1179" i="2"/>
  <c r="AZ536" i="2"/>
  <c r="BE233" i="2"/>
  <c r="BA297" i="2"/>
  <c r="BA61" i="2"/>
  <c r="BC921" i="2"/>
  <c r="BB1182" i="2"/>
  <c r="BH600" i="2"/>
  <c r="BE43" i="2"/>
  <c r="AW875" i="2"/>
  <c r="BD1180" i="2"/>
  <c r="BF448" i="2"/>
  <c r="AY1160" i="2"/>
  <c r="BG440" i="2"/>
  <c r="AZ571" i="2"/>
  <c r="AZ554" i="2"/>
  <c r="BD570" i="2"/>
  <c r="BA531" i="2"/>
  <c r="BA556" i="2"/>
  <c r="BH531" i="2"/>
  <c r="AV611" i="2"/>
  <c r="BG298" i="2"/>
  <c r="BA526" i="2"/>
  <c r="BH145" i="2"/>
  <c r="BB868" i="2"/>
  <c r="AZ419" i="2"/>
  <c r="BG167" i="2"/>
  <c r="BF266" i="2"/>
  <c r="AX298" i="2"/>
  <c r="BG812" i="2"/>
  <c r="AW421" i="2"/>
  <c r="AZ15" i="2"/>
  <c r="BA612" i="2"/>
  <c r="BA80" i="2"/>
  <c r="BA248" i="2"/>
  <c r="BG49" i="2"/>
  <c r="BA711" i="2"/>
  <c r="AZ861" i="2"/>
  <c r="BC580" i="2"/>
  <c r="BC909" i="2"/>
  <c r="BG672" i="2"/>
  <c r="BB821" i="2"/>
  <c r="BE899" i="2"/>
  <c r="BH7" i="2"/>
  <c r="BB1044" i="2"/>
  <c r="BD1081" i="2"/>
  <c r="AW1204" i="2"/>
  <c r="BA800" i="2"/>
  <c r="BB766" i="2"/>
  <c r="BA849" i="2"/>
  <c r="AX376" i="2"/>
  <c r="BH520" i="2"/>
  <c r="BD893" i="2"/>
  <c r="BB1204" i="2"/>
  <c r="BH1032" i="2"/>
  <c r="BA536" i="2"/>
  <c r="BH233" i="2"/>
  <c r="BF489" i="2"/>
  <c r="BC935" i="2"/>
  <c r="BH536" i="2"/>
  <c r="BH625" i="2"/>
  <c r="BF498" i="2"/>
  <c r="BC768" i="2"/>
  <c r="BC1197" i="2"/>
  <c r="BD1043" i="2"/>
  <c r="BE916" i="2"/>
  <c r="BE1205" i="2"/>
  <c r="BC1047" i="2"/>
  <c r="BC824" i="2"/>
  <c r="BE926" i="2"/>
  <c r="BB1166" i="2"/>
  <c r="AY855" i="2"/>
  <c r="BG702" i="2"/>
  <c r="BH527" i="2"/>
  <c r="BH24" i="2"/>
  <c r="BB726" i="2"/>
  <c r="BB693" i="2"/>
  <c r="BE1081" i="2"/>
  <c r="BA625" i="2"/>
  <c r="BG465" i="2"/>
  <c r="AX483" i="2"/>
  <c r="BD850" i="2"/>
  <c r="BA409" i="2"/>
  <c r="BH483" i="2"/>
  <c r="AZ625" i="2"/>
  <c r="BB1008" i="2"/>
  <c r="BC538" i="2"/>
  <c r="BC638" i="2"/>
  <c r="BB200" i="2"/>
  <c r="BB517" i="2"/>
  <c r="BA150" i="2"/>
  <c r="BC726" i="2"/>
  <c r="BB1081" i="2"/>
  <c r="BB874" i="2"/>
  <c r="BE935" i="2"/>
  <c r="AW726" i="2"/>
  <c r="BH489" i="2"/>
  <c r="BG625" i="2"/>
  <c r="BA665" i="2"/>
  <c r="AZ719" i="2"/>
  <c r="BC506" i="2"/>
  <c r="BD738" i="2"/>
  <c r="BB738" i="2"/>
  <c r="BA233" i="2"/>
  <c r="AY562" i="2"/>
  <c r="BF625" i="2"/>
  <c r="BH648" i="2"/>
  <c r="BA912" i="2"/>
  <c r="BB271" i="2"/>
  <c r="BB625" i="2"/>
  <c r="BH562" i="2"/>
  <c r="BG562" i="2"/>
  <c r="AW865" i="2"/>
  <c r="BD811" i="2"/>
  <c r="BE184" i="2"/>
  <c r="BH154" i="2"/>
  <c r="BC1043" i="2"/>
  <c r="BC1018" i="2"/>
  <c r="BC896" i="2"/>
  <c r="BD1206" i="2"/>
  <c r="BB1205" i="2"/>
  <c r="BB660" i="2"/>
  <c r="BB855" i="2"/>
  <c r="BE1070" i="2"/>
  <c r="BB926" i="2"/>
  <c r="BB916" i="2"/>
  <c r="BB710" i="2"/>
  <c r="BA1104" i="2"/>
  <c r="BA419" i="2"/>
  <c r="AZ702" i="2"/>
  <c r="BC772" i="2"/>
  <c r="BC1144" i="2"/>
  <c r="BC1062" i="2"/>
  <c r="BC998" i="2"/>
  <c r="BC1020" i="2"/>
  <c r="BH540" i="2"/>
  <c r="BH751" i="2"/>
  <c r="BC997" i="2"/>
  <c r="BC1121" i="2"/>
  <c r="BD768" i="2"/>
  <c r="BB1162" i="2"/>
  <c r="BB1070" i="2"/>
  <c r="BB824" i="2"/>
  <c r="BE717" i="2"/>
  <c r="BE1104" i="2"/>
  <c r="BA1070" i="2"/>
  <c r="BD1070" i="2"/>
  <c r="BC916" i="2"/>
  <c r="BC795" i="2"/>
  <c r="BC1205" i="2"/>
  <c r="BD949" i="2"/>
  <c r="BD1143" i="2"/>
  <c r="AW1166" i="2"/>
  <c r="BH710" i="2"/>
  <c r="BH702" i="2"/>
  <c r="AZ717" i="2"/>
  <c r="BC919" i="2"/>
  <c r="BD1208" i="2"/>
  <c r="BC1075" i="2"/>
  <c r="BH748" i="2"/>
  <c r="BC1073" i="2"/>
  <c r="BC1080" i="2"/>
  <c r="BE1078" i="2"/>
  <c r="BA1131" i="2"/>
  <c r="BC611" i="2"/>
  <c r="BD916" i="2"/>
  <c r="BB717" i="2"/>
  <c r="BA824" i="2"/>
  <c r="BC1129" i="2"/>
  <c r="BD303" i="2"/>
  <c r="BD997" i="2"/>
  <c r="BD921" i="2"/>
  <c r="BE1039" i="2"/>
  <c r="BE949" i="2"/>
  <c r="AW717" i="2"/>
  <c r="BA15" i="2"/>
  <c r="BA523" i="2"/>
  <c r="BA878" i="2"/>
  <c r="BA1166" i="2"/>
  <c r="BD576" i="2"/>
  <c r="BD1149" i="2"/>
  <c r="BA547" i="2"/>
  <c r="BE1162" i="2"/>
  <c r="BC965" i="2"/>
  <c r="BC1070" i="2"/>
  <c r="BC1104" i="2"/>
  <c r="BA717" i="2"/>
  <c r="BH717" i="2"/>
  <c r="AZ664" i="2"/>
  <c r="BC962" i="2"/>
  <c r="BC1147" i="2"/>
  <c r="BB969" i="2"/>
  <c r="AW1074" i="2"/>
  <c r="BD1119" i="2"/>
  <c r="BB950" i="2"/>
  <c r="BC879" i="2"/>
  <c r="BC820" i="2"/>
  <c r="BC723" i="2"/>
  <c r="AW574" i="2"/>
  <c r="BC735" i="2"/>
  <c r="BC515" i="2"/>
  <c r="BE699" i="2"/>
  <c r="BD619" i="2"/>
  <c r="BD1151" i="2"/>
  <c r="BD1198" i="2"/>
  <c r="BC692" i="2"/>
  <c r="BD906" i="2"/>
  <c r="BA566" i="2"/>
  <c r="BG749" i="2"/>
  <c r="BC947" i="2"/>
  <c r="BC843" i="2"/>
  <c r="BC1156" i="2"/>
  <c r="BC1061" i="2"/>
  <c r="BC907" i="2"/>
  <c r="BC898" i="2"/>
  <c r="BC1165" i="2"/>
  <c r="BD1203" i="2"/>
  <c r="BC835" i="2"/>
  <c r="BC929" i="2"/>
  <c r="BC714" i="2"/>
  <c r="BC760" i="2"/>
  <c r="BC658" i="2"/>
  <c r="BD1048" i="2"/>
  <c r="BC352" i="2"/>
  <c r="BC667" i="2"/>
  <c r="BD725" i="2"/>
  <c r="BD436" i="2"/>
  <c r="BD372" i="2"/>
  <c r="BD712" i="2"/>
  <c r="BD826" i="2"/>
  <c r="BA690" i="2"/>
  <c r="BC801" i="2"/>
  <c r="BB809" i="2"/>
  <c r="BC987" i="2"/>
  <c r="BC1145" i="2"/>
  <c r="BB901" i="2"/>
  <c r="BC900" i="2"/>
  <c r="AY401" i="2"/>
  <c r="AX176" i="2"/>
  <c r="BH220" i="2"/>
  <c r="BB442" i="2"/>
  <c r="BE538" i="2"/>
  <c r="BD636" i="2"/>
  <c r="BC540" i="2"/>
  <c r="BD751" i="2"/>
  <c r="BD589" i="2"/>
  <c r="BE638" i="2"/>
  <c r="BE540" i="2"/>
  <c r="BA630" i="2"/>
  <c r="BA826" i="2"/>
  <c r="BH408" i="2"/>
  <c r="BH526" i="2"/>
  <c r="BC1106" i="2"/>
  <c r="BD752" i="2"/>
  <c r="BC1110" i="2"/>
  <c r="BD1188" i="2"/>
  <c r="BC815" i="2"/>
  <c r="BB860" i="2"/>
  <c r="BC700" i="2"/>
  <c r="BD972" i="2"/>
  <c r="BC966" i="2"/>
  <c r="BC787" i="2"/>
  <c r="BD927" i="2"/>
  <c r="BB1153" i="2"/>
  <c r="BE384" i="2"/>
  <c r="BB376" i="2"/>
  <c r="BA869" i="2"/>
  <c r="BC697" i="2"/>
  <c r="BD610" i="2"/>
  <c r="BC1059" i="2"/>
  <c r="BD773" i="2"/>
  <c r="BA1063" i="2"/>
  <c r="BC358" i="2"/>
  <c r="BB330" i="2"/>
  <c r="AX640" i="2"/>
  <c r="BE225" i="2"/>
  <c r="AW1048" i="2"/>
  <c r="BC566" i="2"/>
  <c r="BB636" i="2"/>
  <c r="BA769" i="2"/>
  <c r="BA152" i="2"/>
  <c r="BH152" i="2"/>
  <c r="AX617" i="2"/>
  <c r="BG152" i="2"/>
  <c r="BA1193" i="2"/>
  <c r="BE893" i="2"/>
  <c r="BD538" i="2"/>
  <c r="BD772" i="2"/>
  <c r="AZ352" i="2"/>
  <c r="BD352" i="2"/>
  <c r="BB498" i="2"/>
  <c r="BB690" i="2"/>
  <c r="BD1167" i="2"/>
  <c r="BF225" i="2"/>
  <c r="BB931" i="2"/>
  <c r="BB1039" i="2"/>
  <c r="BD630" i="2"/>
  <c r="BE772" i="2"/>
  <c r="AW772" i="2"/>
  <c r="BD498" i="2"/>
  <c r="BC498" i="2"/>
  <c r="BB1143" i="2"/>
  <c r="BB712" i="2"/>
  <c r="AW760" i="2"/>
  <c r="BA726" i="2"/>
  <c r="BA738" i="2"/>
  <c r="BH738" i="2"/>
  <c r="BB1048" i="2"/>
  <c r="BH891" i="2"/>
  <c r="BD682" i="2"/>
  <c r="BD225" i="2"/>
  <c r="BC712" i="2"/>
  <c r="BC690" i="2"/>
  <c r="BC725" i="2"/>
  <c r="BD714" i="2"/>
  <c r="BD638" i="2"/>
  <c r="BH225" i="2"/>
  <c r="AZ630" i="2"/>
  <c r="AZ152" i="2"/>
  <c r="BG225" i="2"/>
  <c r="BD152" i="2"/>
  <c r="BE498" i="2"/>
  <c r="AW540" i="2"/>
  <c r="BD760" i="2"/>
  <c r="BC1007" i="2"/>
  <c r="BD1065" i="2"/>
  <c r="BD835" i="2"/>
  <c r="BD526" i="2"/>
  <c r="BB540" i="2"/>
  <c r="BB1007" i="2"/>
  <c r="BB638" i="2"/>
  <c r="BA751" i="2"/>
  <c r="AZ540" i="2"/>
  <c r="BF540" i="2"/>
  <c r="BA731" i="2"/>
  <c r="AW630" i="2"/>
  <c r="AW352" i="2"/>
  <c r="AW538" i="2"/>
  <c r="BC1065" i="2"/>
  <c r="BC225" i="2"/>
  <c r="BC617" i="2"/>
  <c r="BC589" i="2"/>
  <c r="BD566" i="2"/>
  <c r="BG498" i="2"/>
  <c r="BC853" i="2"/>
  <c r="BC871" i="2"/>
  <c r="BD777" i="2"/>
  <c r="BC1012" i="2"/>
  <c r="BE1194" i="2"/>
  <c r="BE630" i="2"/>
  <c r="BE352" i="2"/>
  <c r="BC826" i="2"/>
  <c r="BC640" i="2"/>
  <c r="BC436" i="2"/>
  <c r="BD1007" i="2"/>
  <c r="BB630" i="2"/>
  <c r="BB760" i="2"/>
  <c r="BB408" i="2"/>
  <c r="BH566" i="2"/>
  <c r="BB981" i="2"/>
  <c r="BB982" i="2"/>
  <c r="BA1086" i="2"/>
  <c r="BC408" i="2"/>
  <c r="BB566" i="2"/>
  <c r="BF152" i="2"/>
  <c r="BA712" i="2"/>
  <c r="BD780" i="2"/>
  <c r="BC1143" i="2"/>
  <c r="AW498" i="2"/>
  <c r="BC780" i="2"/>
  <c r="BB538" i="2"/>
  <c r="BE726" i="2"/>
  <c r="BE760" i="2"/>
  <c r="BA498" i="2"/>
  <c r="BA540" i="2"/>
  <c r="AZ225" i="2"/>
  <c r="BC847" i="2"/>
  <c r="BC526" i="2"/>
  <c r="BC630" i="2"/>
  <c r="BB225" i="2"/>
  <c r="AZ498" i="2"/>
  <c r="BD1073" i="2"/>
  <c r="BD1131" i="2"/>
  <c r="BD574" i="2"/>
  <c r="BD875" i="2"/>
  <c r="BD384" i="2"/>
  <c r="BC869" i="2"/>
  <c r="BC773" i="2"/>
  <c r="BC1153" i="2"/>
  <c r="BD1153" i="2"/>
  <c r="BB970" i="2"/>
  <c r="BB1074" i="2"/>
  <c r="BB360" i="2"/>
  <c r="BB1059" i="2"/>
  <c r="BE610" i="2"/>
  <c r="BB890" i="2"/>
  <c r="BA1153" i="2"/>
  <c r="BH440" i="2"/>
  <c r="AX360" i="2"/>
  <c r="BH697" i="2"/>
  <c r="BB773" i="2"/>
  <c r="BD57" i="2"/>
  <c r="BD865" i="2"/>
  <c r="BC748" i="2"/>
  <c r="BC610" i="2"/>
  <c r="BC875" i="2"/>
  <c r="BC1208" i="2"/>
  <c r="BC1131" i="2"/>
  <c r="BC1180" i="2"/>
  <c r="BC906" i="2"/>
  <c r="BD468" i="2"/>
  <c r="BD969" i="2"/>
  <c r="BB29" i="2"/>
  <c r="BB906" i="2"/>
  <c r="BB748" i="2"/>
  <c r="BE1074" i="2"/>
  <c r="BE1075" i="2"/>
  <c r="AW610" i="2"/>
  <c r="BH571" i="2"/>
  <c r="BF360" i="2"/>
  <c r="BB1151" i="2"/>
  <c r="AZ609" i="2"/>
  <c r="BB1094" i="2"/>
  <c r="BC320" i="2"/>
  <c r="BF479" i="2"/>
  <c r="AW662" i="2"/>
  <c r="AW1131" i="2"/>
  <c r="BD1075" i="2"/>
  <c r="BD970" i="2"/>
  <c r="BD699" i="2"/>
  <c r="BC7" i="2"/>
  <c r="BC744" i="2"/>
  <c r="BC487" i="2"/>
  <c r="BC972" i="2"/>
  <c r="BC856" i="2"/>
  <c r="BC1198" i="2"/>
  <c r="BC865" i="2"/>
  <c r="BC1151" i="2"/>
  <c r="BB1131" i="2"/>
  <c r="BB927" i="2"/>
  <c r="BB384" i="2"/>
  <c r="BE1041" i="2"/>
  <c r="AW860" i="2"/>
  <c r="BB1029" i="2"/>
  <c r="BB1088" i="2"/>
  <c r="BB1119" i="2"/>
  <c r="BE962" i="2"/>
  <c r="AW360" i="2"/>
  <c r="BA865" i="2"/>
  <c r="BA960" i="2"/>
  <c r="BA216" i="2"/>
  <c r="BH554" i="2"/>
  <c r="BG365" i="2"/>
  <c r="BG554" i="2"/>
  <c r="BD554" i="2"/>
  <c r="BB1111" i="2"/>
  <c r="BA239" i="2"/>
  <c r="BD1106" i="2"/>
  <c r="BD869" i="2"/>
  <c r="BC376" i="2"/>
  <c r="BC1119" i="2"/>
  <c r="BC571" i="2"/>
  <c r="BC1074" i="2"/>
  <c r="BD1074" i="2"/>
  <c r="BB960" i="2"/>
  <c r="BB972" i="2"/>
  <c r="AW869" i="2"/>
  <c r="BB1188" i="2"/>
  <c r="BB879" i="2"/>
  <c r="BA1073" i="2"/>
  <c r="BA856" i="2"/>
  <c r="BA970" i="2"/>
  <c r="BA424" i="2"/>
  <c r="AZ856" i="2"/>
  <c r="BA376" i="2"/>
  <c r="BH92" i="2"/>
  <c r="AZ424" i="2"/>
  <c r="AY84" i="2"/>
  <c r="BE541" i="2"/>
  <c r="AW1041" i="2"/>
  <c r="BD424" i="2"/>
  <c r="BD360" i="2"/>
  <c r="BD899" i="2"/>
  <c r="BD820" i="2"/>
  <c r="BC821" i="2"/>
  <c r="BC1041" i="2"/>
  <c r="BC860" i="2"/>
  <c r="BD879" i="2"/>
  <c r="BB744" i="2"/>
  <c r="BB869" i="2"/>
  <c r="BE860" i="2"/>
  <c r="AW899" i="2"/>
  <c r="BB1080" i="2"/>
  <c r="BB7" i="2"/>
  <c r="BB468" i="2"/>
  <c r="BE865" i="2"/>
  <c r="BE360" i="2"/>
  <c r="BA440" i="2"/>
  <c r="AZ272" i="2"/>
  <c r="AZ960" i="2"/>
  <c r="BD860" i="2"/>
  <c r="AW1073" i="2"/>
  <c r="AW970" i="2"/>
  <c r="BH541" i="2"/>
  <c r="BD692" i="2"/>
  <c r="BC1063" i="2"/>
  <c r="BC360" i="2"/>
  <c r="BC927" i="2"/>
  <c r="BC574" i="2"/>
  <c r="BD487" i="2"/>
  <c r="BD1147" i="2"/>
  <c r="BB899" i="2"/>
  <c r="BB1073" i="2"/>
  <c r="BE869" i="2"/>
  <c r="BB554" i="2"/>
  <c r="BB184" i="2"/>
  <c r="BB541" i="2"/>
  <c r="BB272" i="2"/>
  <c r="AW879" i="2"/>
  <c r="BA906" i="2"/>
  <c r="BH376" i="2"/>
  <c r="BG571" i="2"/>
  <c r="BE1073" i="2"/>
  <c r="BE856" i="2"/>
  <c r="BC699" i="2"/>
  <c r="BC424" i="2"/>
  <c r="BC154" i="2"/>
  <c r="BC752" i="2"/>
  <c r="BB574" i="2"/>
  <c r="BE906" i="2"/>
  <c r="BB440" i="2"/>
  <c r="BB811" i="2"/>
  <c r="AW962" i="2"/>
  <c r="BA574" i="2"/>
  <c r="BA154" i="2"/>
  <c r="BA515" i="2"/>
  <c r="AZ360" i="2"/>
  <c r="AY487" i="2"/>
  <c r="BB964" i="2"/>
  <c r="BB819" i="2"/>
  <c r="BB1102" i="2"/>
  <c r="BB904" i="2"/>
  <c r="BC1176" i="2"/>
  <c r="BC1069" i="2"/>
  <c r="BC915" i="2"/>
  <c r="BB1005" i="2"/>
  <c r="BD1093" i="2"/>
  <c r="BD951" i="2"/>
  <c r="BC1019" i="2"/>
  <c r="BA486" i="2"/>
  <c r="BH371" i="2"/>
  <c r="BH454" i="2"/>
  <c r="BG478" i="2"/>
  <c r="AZ734" i="2"/>
  <c r="BA414" i="2"/>
  <c r="BA191" i="2"/>
  <c r="AZ383" i="2"/>
  <c r="BF355" i="2"/>
  <c r="BH181" i="2"/>
  <c r="AZ327" i="2"/>
  <c r="AY299" i="2"/>
  <c r="BF229" i="2"/>
  <c r="AW856" i="2"/>
  <c r="AW541" i="2"/>
  <c r="BC554" i="2"/>
  <c r="BC899" i="2"/>
  <c r="BC384" i="2"/>
  <c r="BC970" i="2"/>
  <c r="BD1063" i="2"/>
  <c r="BD1059" i="2"/>
  <c r="BD1080" i="2"/>
  <c r="BB1075" i="2"/>
  <c r="BA360" i="2"/>
  <c r="BA571" i="2"/>
  <c r="AZ440" i="2"/>
  <c r="BH84" i="2"/>
  <c r="AY272" i="2"/>
  <c r="BF960" i="2"/>
  <c r="BD856" i="2"/>
  <c r="BD960" i="2"/>
  <c r="BC440" i="2"/>
  <c r="BC1188" i="2"/>
  <c r="BC1078" i="2"/>
  <c r="BC541" i="2"/>
  <c r="BD1029" i="2"/>
  <c r="BD571" i="2"/>
  <c r="BB1078" i="2"/>
  <c r="BB962" i="2"/>
  <c r="AW960" i="2"/>
  <c r="BA811" i="2"/>
  <c r="AY360" i="2"/>
  <c r="AY554" i="2"/>
  <c r="AZ1185" i="2"/>
  <c r="BA65" i="2"/>
  <c r="BF215" i="2"/>
  <c r="BE244" i="2"/>
  <c r="BD662" i="2"/>
  <c r="BE574" i="2"/>
  <c r="BD962" i="2"/>
  <c r="BC890" i="2"/>
  <c r="BC216" i="2"/>
  <c r="BC811" i="2"/>
  <c r="BC1029" i="2"/>
  <c r="BC797" i="2"/>
  <c r="BB571" i="2"/>
  <c r="BH960" i="2"/>
  <c r="AW499" i="2"/>
  <c r="BD499" i="2"/>
  <c r="BC499" i="2"/>
  <c r="BD1078" i="2"/>
  <c r="BB820" i="2"/>
  <c r="BC375" i="2"/>
  <c r="BE287" i="2"/>
  <c r="BC455" i="2"/>
  <c r="BD48" i="2"/>
  <c r="BH423" i="2"/>
  <c r="BB477" i="2"/>
  <c r="BE363" i="2"/>
  <c r="BD445" i="2"/>
  <c r="BD148" i="2"/>
  <c r="BD245" i="2"/>
  <c r="BC205" i="2"/>
  <c r="BC313" i="2"/>
  <c r="BB881" i="2"/>
  <c r="BB873" i="2"/>
  <c r="BA392" i="2"/>
  <c r="BB966" i="2"/>
  <c r="BD197" i="2"/>
  <c r="BC469" i="2"/>
  <c r="AW954" i="2"/>
  <c r="BB1030" i="2"/>
  <c r="BB943" i="2"/>
  <c r="BA659" i="2"/>
  <c r="BC534" i="2"/>
  <c r="BD590" i="2"/>
  <c r="BB1147" i="2"/>
  <c r="BE958" i="2"/>
  <c r="BD1181" i="2"/>
  <c r="BD867" i="2"/>
  <c r="BD761" i="2"/>
  <c r="BC1015" i="2"/>
  <c r="BB764" i="2"/>
  <c r="BA1023" i="2"/>
  <c r="BB806" i="2"/>
  <c r="BA1027" i="2"/>
  <c r="BF1085" i="2"/>
  <c r="AZ800" i="2"/>
  <c r="BB975" i="2"/>
  <c r="AW1112" i="2"/>
  <c r="BE821" i="2"/>
  <c r="BB882" i="2"/>
  <c r="BB1133" i="2"/>
  <c r="BA899" i="2"/>
  <c r="BA1115" i="2"/>
  <c r="BB1037" i="2"/>
  <c r="BB997" i="2"/>
  <c r="BB769" i="2"/>
  <c r="BB720" i="2"/>
  <c r="BC1191" i="2"/>
  <c r="BB1114" i="2"/>
  <c r="BB1056" i="2"/>
  <c r="BD940" i="2"/>
  <c r="BC1190" i="2"/>
  <c r="BC995" i="2"/>
  <c r="BD844" i="2"/>
  <c r="BC914" i="2"/>
  <c r="BD1164" i="2"/>
  <c r="BD848" i="2"/>
  <c r="BC1058" i="2"/>
  <c r="BC1103" i="2"/>
  <c r="BB515" i="2"/>
  <c r="BF751" i="2"/>
  <c r="AX343" i="2"/>
  <c r="BH286" i="2"/>
  <c r="BH450" i="2"/>
  <c r="BA710" i="2"/>
  <c r="BG386" i="2"/>
  <c r="BG123" i="2"/>
  <c r="BG170" i="2"/>
  <c r="BE1131" i="2"/>
  <c r="AZ376" i="2"/>
  <c r="BB610" i="2"/>
  <c r="AX520" i="2"/>
  <c r="BB810" i="2"/>
  <c r="BA788" i="2"/>
  <c r="BA1210" i="2"/>
  <c r="BA813" i="2"/>
  <c r="AY366" i="2"/>
  <c r="BB846" i="2"/>
  <c r="BE1096" i="2"/>
  <c r="BB1125" i="2"/>
  <c r="BA969" i="2"/>
  <c r="BB653" i="2"/>
  <c r="BA653" i="2"/>
  <c r="AW972" i="2"/>
  <c r="BE972" i="2"/>
  <c r="AW692" i="2"/>
  <c r="BB692" i="2"/>
  <c r="BE692" i="2"/>
  <c r="BH692" i="2"/>
  <c r="BA692" i="2"/>
  <c r="BA755" i="2"/>
  <c r="AZ755" i="2"/>
  <c r="BA1180" i="2"/>
  <c r="AW1180" i="2"/>
  <c r="BE1180" i="2"/>
  <c r="BH966" i="2"/>
  <c r="BA1140" i="2"/>
  <c r="BB1140" i="2"/>
  <c r="BH984" i="2"/>
  <c r="BA984" i="2"/>
  <c r="BB984" i="2"/>
  <c r="BA1064" i="2"/>
  <c r="BB1064" i="2"/>
  <c r="AZ1026" i="2"/>
  <c r="BH1026" i="2"/>
  <c r="BA993" i="2"/>
  <c r="BB993" i="2"/>
  <c r="AW683" i="2"/>
  <c r="BB312" i="2"/>
  <c r="BC814" i="2"/>
  <c r="BB588" i="2"/>
  <c r="BB620" i="2"/>
  <c r="BB564" i="2"/>
  <c r="BH564" i="2"/>
  <c r="BA564" i="2"/>
  <c r="BH671" i="2"/>
  <c r="BE671" i="2"/>
  <c r="AW671" i="2"/>
  <c r="BA425" i="2"/>
  <c r="BB425" i="2"/>
  <c r="AV661" i="2"/>
  <c r="BH661" i="2"/>
  <c r="BA661" i="2"/>
  <c r="BA476" i="2"/>
  <c r="BB476" i="2"/>
  <c r="AY476" i="2"/>
  <c r="BH476" i="2"/>
  <c r="BB415" i="2"/>
  <c r="BA415" i="2"/>
  <c r="AZ415" i="2"/>
  <c r="AW643" i="2"/>
  <c r="BA643" i="2"/>
  <c r="BH643" i="2"/>
  <c r="BH983" i="2"/>
  <c r="BB983" i="2"/>
  <c r="AY308" i="2"/>
  <c r="BA308" i="2"/>
  <c r="AZ308" i="2"/>
  <c r="BH308" i="2"/>
  <c r="BB778" i="2"/>
  <c r="AW778" i="2"/>
  <c r="AZ778" i="2"/>
  <c r="BE778" i="2"/>
  <c r="AZ583" i="2"/>
  <c r="BB583" i="2"/>
  <c r="BE858" i="2"/>
  <c r="BH858" i="2"/>
  <c r="BE744" i="2"/>
  <c r="BA744" i="2"/>
  <c r="AW744" i="2"/>
  <c r="AY273" i="2"/>
  <c r="BG273" i="2"/>
  <c r="AZ273" i="2"/>
  <c r="BB1180" i="2"/>
  <c r="AY826" i="2"/>
  <c r="BB826" i="2"/>
  <c r="AY799" i="2"/>
  <c r="BA799" i="2"/>
  <c r="AW799" i="2"/>
  <c r="BE799" i="2"/>
  <c r="BB1045" i="2"/>
  <c r="BA1045" i="2"/>
  <c r="BA967" i="2"/>
  <c r="BB967" i="2"/>
  <c r="BH967" i="2"/>
  <c r="BG797" i="2"/>
  <c r="BA797" i="2"/>
  <c r="BB797" i="2"/>
  <c r="AZ797" i="2"/>
  <c r="BH797" i="2"/>
  <c r="BB1161" i="2"/>
  <c r="BA1161" i="2"/>
  <c r="BA1007" i="2"/>
  <c r="BH1007" i="2"/>
  <c r="BB1041" i="2"/>
  <c r="BA1041" i="2"/>
  <c r="BA872" i="2"/>
  <c r="BA817" i="2"/>
  <c r="BB652" i="2"/>
  <c r="AY917" i="2"/>
  <c r="AZ917" i="2"/>
  <c r="BH917" i="2"/>
  <c r="BA917" i="2"/>
  <c r="BB1098" i="2"/>
  <c r="BA1151" i="2"/>
  <c r="AZ692" i="2"/>
  <c r="AX366" i="2"/>
  <c r="BE1112" i="2"/>
  <c r="BA861" i="2"/>
  <c r="BA882" i="2"/>
  <c r="AZ476" i="2"/>
  <c r="BA1030" i="2"/>
  <c r="BH415" i="2"/>
  <c r="AZ891" i="2"/>
  <c r="AU701" i="2"/>
  <c r="AV701" i="2"/>
  <c r="BA701" i="2"/>
  <c r="BA458" i="2"/>
  <c r="BB458" i="2"/>
  <c r="AV302" i="2"/>
  <c r="AZ302" i="2"/>
  <c r="BB302" i="2"/>
  <c r="BA302" i="2"/>
  <c r="BH755" i="2"/>
  <c r="BA753" i="2"/>
  <c r="BB753" i="2"/>
  <c r="AZ1063" i="2"/>
  <c r="BB1063" i="2"/>
  <c r="AY782" i="2"/>
  <c r="BB782" i="2"/>
  <c r="BH946" i="2"/>
  <c r="BB946" i="2"/>
  <c r="AZ754" i="2"/>
  <c r="AW754" i="2"/>
  <c r="BB754" i="2"/>
  <c r="AW985" i="2"/>
  <c r="BA985" i="2"/>
  <c r="BB985" i="2"/>
  <c r="BE974" i="2"/>
  <c r="BE992" i="2"/>
  <c r="BB992" i="2"/>
  <c r="BB978" i="2"/>
  <c r="BA978" i="2"/>
  <c r="BE978" i="2"/>
  <c r="AZ1023" i="2"/>
  <c r="AW999" i="2"/>
  <c r="BA999" i="2"/>
  <c r="BB999" i="2"/>
  <c r="BH877" i="2"/>
  <c r="BA1003" i="2"/>
  <c r="BB1003" i="2"/>
  <c r="BE1135" i="2"/>
  <c r="BA1135" i="2"/>
  <c r="BB1135" i="2"/>
  <c r="AU759" i="2"/>
  <c r="AW759" i="2"/>
  <c r="BB759" i="2"/>
  <c r="AW345" i="2"/>
  <c r="AY345" i="2"/>
  <c r="AX345" i="2"/>
  <c r="BE345" i="2"/>
  <c r="BG345" i="2"/>
  <c r="BA345" i="2"/>
  <c r="BH345" i="2"/>
  <c r="BB345" i="2"/>
  <c r="AZ213" i="2"/>
  <c r="BH213" i="2"/>
  <c r="BA213" i="2"/>
  <c r="BB112" i="2"/>
  <c r="BB755" i="2"/>
  <c r="BB908" i="2"/>
  <c r="BA908" i="2"/>
  <c r="AX168" i="2"/>
  <c r="BG168" i="2"/>
  <c r="BF168" i="2"/>
  <c r="BB626" i="2"/>
  <c r="AZ626" i="2"/>
  <c r="BB483" i="2"/>
  <c r="BA483" i="2"/>
  <c r="AZ613" i="2"/>
  <c r="BH613" i="2"/>
  <c r="BA613" i="2"/>
  <c r="BB613" i="2"/>
  <c r="BA432" i="2"/>
  <c r="BB432" i="2"/>
  <c r="AX562" i="2"/>
  <c r="BA562" i="2"/>
  <c r="BF562" i="2"/>
  <c r="AW562" i="2"/>
  <c r="AZ562" i="2"/>
  <c r="BB562" i="2"/>
  <c r="AU1184" i="2"/>
  <c r="AZ1184" i="2"/>
  <c r="AZ520" i="2"/>
  <c r="BG520" i="2"/>
  <c r="AW520" i="2"/>
  <c r="BF520" i="2"/>
  <c r="AY520" i="2"/>
  <c r="BA520" i="2"/>
  <c r="BE891" i="2"/>
  <c r="BB891" i="2"/>
  <c r="AW891" i="2"/>
  <c r="BA332" i="2"/>
  <c r="BB332" i="2"/>
  <c r="BH332" i="2"/>
  <c r="BA465" i="2"/>
  <c r="BH465" i="2"/>
  <c r="AZ465" i="2"/>
  <c r="BA95" i="2"/>
  <c r="AY95" i="2"/>
  <c r="BG95" i="2"/>
  <c r="BF95" i="2"/>
  <c r="BA293" i="2"/>
  <c r="BB293" i="2"/>
  <c r="AY178" i="2"/>
  <c r="BB178" i="2"/>
  <c r="AU833" i="2"/>
  <c r="BB833" i="2"/>
  <c r="BH217" i="2"/>
  <c r="BE217" i="2"/>
  <c r="BG217" i="2"/>
  <c r="BA217" i="2"/>
  <c r="BF138" i="2"/>
  <c r="AX138" i="2"/>
  <c r="BA138" i="2"/>
  <c r="BG138" i="2"/>
  <c r="AZ487" i="2"/>
  <c r="BA487" i="2"/>
  <c r="BH487" i="2"/>
  <c r="BF866" i="2"/>
  <c r="BE866" i="2"/>
  <c r="BH866" i="2"/>
  <c r="BF617" i="2"/>
  <c r="AY617" i="2"/>
  <c r="AZ617" i="2"/>
  <c r="BA617" i="2"/>
  <c r="BB617" i="2"/>
  <c r="BG617" i="2"/>
  <c r="BE323" i="2"/>
  <c r="AV323" i="2"/>
  <c r="BA323" i="2"/>
  <c r="AW323" i="2"/>
  <c r="BG578" i="2"/>
  <c r="BH578" i="2"/>
  <c r="AY578" i="2"/>
  <c r="AX578" i="2"/>
  <c r="BE578" i="2"/>
  <c r="AZ578" i="2"/>
  <c r="BG399" i="2"/>
  <c r="BF399" i="2"/>
  <c r="AY399" i="2"/>
  <c r="AZ399" i="2"/>
  <c r="AX399" i="2"/>
  <c r="BH399" i="2"/>
  <c r="BD755" i="2"/>
  <c r="BB649" i="2"/>
  <c r="BH649" i="2"/>
  <c r="BA1033" i="2"/>
  <c r="BB1033" i="2"/>
  <c r="AZ480" i="2"/>
  <c r="AW480" i="2"/>
  <c r="BE480" i="2"/>
  <c r="BH480" i="2"/>
  <c r="BA480" i="2"/>
  <c r="BG480" i="2"/>
  <c r="AY369" i="2"/>
  <c r="BB369" i="2"/>
  <c r="BB422" i="2"/>
  <c r="BA422" i="2"/>
  <c r="AV366" i="2"/>
  <c r="BG366" i="2"/>
  <c r="BB366" i="2"/>
  <c r="BF366" i="2"/>
  <c r="BH366" i="2"/>
  <c r="AZ366" i="2"/>
  <c r="BB8" i="2"/>
  <c r="BD653" i="2"/>
  <c r="BB568" i="2"/>
  <c r="BA568" i="2"/>
  <c r="AX531" i="2"/>
  <c r="BB531" i="2"/>
  <c r="AZ531" i="2"/>
  <c r="AW531" i="2"/>
  <c r="BA695" i="2"/>
  <c r="BB695" i="2"/>
  <c r="BB40" i="2"/>
  <c r="AU702" i="2"/>
  <c r="BA702" i="2"/>
  <c r="BE702" i="2"/>
  <c r="AW702" i="2"/>
  <c r="BB702" i="2"/>
  <c r="BA663" i="2"/>
  <c r="BB663" i="2"/>
  <c r="AV879" i="2"/>
  <c r="BA879" i="2"/>
  <c r="BA472" i="2"/>
  <c r="BH472" i="2"/>
  <c r="BB472" i="2"/>
  <c r="BD410" i="2"/>
  <c r="BH410" i="2"/>
  <c r="BB410" i="2"/>
  <c r="BA410" i="2"/>
  <c r="AZ410" i="2"/>
  <c r="BB500" i="2"/>
  <c r="BH500" i="2"/>
  <c r="AY786" i="2"/>
  <c r="BH786" i="2"/>
  <c r="BA786" i="2"/>
  <c r="AZ786" i="2"/>
  <c r="BA662" i="2"/>
  <c r="AZ662" i="2"/>
  <c r="BB662" i="2"/>
  <c r="BA628" i="2"/>
  <c r="BH628" i="2"/>
  <c r="BB628" i="2"/>
  <c r="AW949" i="2"/>
  <c r="BA949" i="2"/>
  <c r="AZ949" i="2"/>
  <c r="BB949" i="2"/>
  <c r="AW793" i="2"/>
  <c r="BA793" i="2"/>
  <c r="BB478" i="2"/>
  <c r="BB751" i="2"/>
  <c r="BB383" i="2"/>
  <c r="AW734" i="2"/>
  <c r="BA327" i="2"/>
  <c r="BA454" i="2"/>
  <c r="BH49" i="2"/>
  <c r="BH478" i="2"/>
  <c r="AZ118" i="2"/>
  <c r="BE371" i="2"/>
  <c r="BG343" i="2"/>
  <c r="AY421" i="2"/>
  <c r="AY355" i="2"/>
  <c r="AX170" i="2"/>
  <c r="BF118" i="2"/>
  <c r="AX751" i="2"/>
  <c r="BG935" i="2"/>
  <c r="BH677" i="2"/>
  <c r="BB380" i="2"/>
  <c r="AV371" i="2"/>
  <c r="AY701" i="2"/>
  <c r="AV466" i="2"/>
  <c r="BA356" i="2"/>
  <c r="BB486" i="2"/>
  <c r="BA202" i="2"/>
  <c r="BH229" i="2"/>
  <c r="BA450" i="2"/>
  <c r="BA286" i="2"/>
  <c r="BH383" i="2"/>
  <c r="BH355" i="2"/>
  <c r="AZ343" i="2"/>
  <c r="AZ478" i="2"/>
  <c r="AZ371" i="2"/>
  <c r="AZ355" i="2"/>
  <c r="AU371" i="2"/>
  <c r="BG751" i="2"/>
  <c r="AY343" i="2"/>
  <c r="AY466" i="2"/>
  <c r="BF123" i="2"/>
  <c r="BA1060" i="2"/>
  <c r="BA916" i="2"/>
  <c r="BA734" i="2"/>
  <c r="BH386" i="2"/>
  <c r="BH176" i="2"/>
  <c r="AZ751" i="2"/>
  <c r="AZ386" i="2"/>
  <c r="BE478" i="2"/>
  <c r="AY371" i="2"/>
  <c r="BG401" i="2"/>
  <c r="BG176" i="2"/>
  <c r="AY751" i="2"/>
  <c r="BF343" i="2"/>
  <c r="BD673" i="2"/>
  <c r="BA616" i="2"/>
  <c r="AZ1088" i="2"/>
  <c r="BA748" i="2"/>
  <c r="BF969" i="2"/>
  <c r="AU669" i="2"/>
  <c r="AX478" i="2"/>
  <c r="AW371" i="2"/>
  <c r="BF289" i="2"/>
  <c r="AY450" i="2"/>
  <c r="BD641" i="2"/>
  <c r="AY584" i="2"/>
  <c r="AZ681" i="2"/>
  <c r="AZ249" i="2"/>
  <c r="BB522" i="2"/>
  <c r="BH191" i="2"/>
  <c r="BH118" i="2"/>
  <c r="AZ105" i="2"/>
  <c r="BB1159" i="2"/>
  <c r="AX371" i="2"/>
  <c r="BG118" i="2"/>
  <c r="BG215" i="2"/>
  <c r="BF202" i="2"/>
  <c r="BF176" i="2"/>
  <c r="BD170" i="2"/>
  <c r="BB577" i="2"/>
  <c r="BA1125" i="2"/>
  <c r="BG949" i="2"/>
  <c r="BE457" i="2"/>
  <c r="BA421" i="2"/>
  <c r="AW478" i="2"/>
  <c r="BF734" i="2"/>
  <c r="AX421" i="2"/>
  <c r="BA972" i="2"/>
  <c r="BH1025" i="2"/>
  <c r="BE486" i="2"/>
  <c r="BA933" i="2"/>
  <c r="AZ49" i="2"/>
  <c r="BA522" i="2"/>
  <c r="BH170" i="2"/>
  <c r="BH123" i="2"/>
  <c r="BF170" i="2"/>
  <c r="BH810" i="2"/>
  <c r="BE617" i="2"/>
  <c r="BC894" i="2"/>
  <c r="BD789" i="2"/>
  <c r="AZ1051" i="2"/>
  <c r="BB794" i="2"/>
  <c r="BA822" i="2"/>
  <c r="BB1016" i="2"/>
  <c r="BD924" i="2"/>
  <c r="BC632" i="2"/>
  <c r="BD803" i="2"/>
  <c r="BC895" i="2"/>
  <c r="BC784" i="2"/>
  <c r="BA1052" i="2"/>
  <c r="BB708" i="2"/>
  <c r="BB703" i="2"/>
  <c r="BC533" i="2"/>
  <c r="BC709" i="2"/>
  <c r="BB119" i="2"/>
  <c r="AX654" i="2"/>
  <c r="BD646" i="2"/>
  <c r="BC470" i="2"/>
  <c r="BA243" i="2"/>
  <c r="BC198" i="2"/>
  <c r="BC396" i="2"/>
  <c r="BD679" i="2"/>
  <c r="BB335" i="2"/>
  <c r="BA304" i="2"/>
  <c r="BB278" i="2"/>
  <c r="BG89" i="2"/>
  <c r="BD208" i="2"/>
  <c r="BD543" i="2"/>
  <c r="BB196" i="2"/>
  <c r="BE210" i="2"/>
  <c r="BC201" i="2"/>
  <c r="BH194" i="2"/>
  <c r="BE23" i="2"/>
  <c r="BD140" i="2"/>
  <c r="BB779" i="2"/>
  <c r="BD388" i="2"/>
  <c r="BA586" i="2"/>
  <c r="BB44" i="2"/>
  <c r="BC284" i="2"/>
  <c r="AW394" i="2"/>
  <c r="AY728" i="2"/>
  <c r="BA950" i="2"/>
  <c r="AZ936" i="2"/>
  <c r="BC708" i="2"/>
  <c r="BD469" i="2"/>
  <c r="BD237" i="2"/>
  <c r="BC1186" i="2"/>
  <c r="BE394" i="2"/>
  <c r="AZ680" i="2"/>
  <c r="AW391" i="2"/>
  <c r="BD320" i="2"/>
  <c r="BC703" i="2"/>
  <c r="BC809" i="2"/>
  <c r="AW629" i="2"/>
  <c r="BE668" i="2"/>
  <c r="BH598" i="2"/>
  <c r="BB867" i="2"/>
  <c r="BC1175" i="2"/>
  <c r="BC393" i="2"/>
  <c r="BD809" i="2"/>
  <c r="BB391" i="2"/>
  <c r="BB822" i="2"/>
  <c r="AY632" i="2"/>
  <c r="BD779" i="2"/>
  <c r="AW632" i="2"/>
  <c r="AW1149" i="2"/>
  <c r="BA477" i="2"/>
  <c r="BE696" i="2"/>
  <c r="BD741" i="2"/>
  <c r="BD439" i="2"/>
  <c r="BD375" i="2"/>
  <c r="BB1194" i="2"/>
  <c r="BB696" i="2"/>
  <c r="BE867" i="2"/>
  <c r="BE997" i="2"/>
  <c r="BB1118" i="2"/>
  <c r="BB980" i="2"/>
  <c r="BC237" i="2"/>
  <c r="BH800" i="2"/>
  <c r="BC848" i="2"/>
  <c r="BC819" i="2"/>
  <c r="BC901" i="2"/>
  <c r="BB741" i="2"/>
  <c r="BB475" i="2"/>
  <c r="AW1143" i="2"/>
  <c r="AZ712" i="2"/>
  <c r="AW1099" i="2"/>
  <c r="BD423" i="2"/>
  <c r="BD904" i="2"/>
  <c r="BD391" i="2"/>
  <c r="BC854" i="2"/>
  <c r="BC844" i="2"/>
  <c r="BC951" i="2"/>
  <c r="BC516" i="2"/>
  <c r="BC940" i="2"/>
  <c r="BC588" i="2"/>
  <c r="BD150" i="2"/>
  <c r="BD794" i="2"/>
  <c r="BD1019" i="2"/>
  <c r="BD703" i="2"/>
  <c r="BD475" i="2"/>
  <c r="BD518" i="2"/>
  <c r="BB469" i="2"/>
  <c r="BB445" i="2"/>
  <c r="BB394" i="2"/>
  <c r="BE629" i="2"/>
  <c r="BB455" i="2"/>
  <c r="BB518" i="2"/>
  <c r="BB304" i="2"/>
  <c r="BB543" i="2"/>
  <c r="BB632" i="2"/>
  <c r="BE1149" i="2"/>
  <c r="AW945" i="2"/>
  <c r="AW1052" i="2"/>
  <c r="BA140" i="2"/>
  <c r="BA423" i="2"/>
  <c r="BA516" i="2"/>
  <c r="BA1051" i="2"/>
  <c r="BH1051" i="2"/>
  <c r="BG1181" i="2"/>
  <c r="BD243" i="2"/>
  <c r="BD683" i="2"/>
  <c r="BD964" i="2"/>
  <c r="BD1056" i="2"/>
  <c r="BD1103" i="2"/>
  <c r="BD914" i="2"/>
  <c r="BC197" i="2"/>
  <c r="BC196" i="2"/>
  <c r="BC479" i="2"/>
  <c r="BC668" i="2"/>
  <c r="BC696" i="2"/>
  <c r="BC394" i="2"/>
  <c r="BC23" i="2"/>
  <c r="BC119" i="2"/>
  <c r="BC779" i="2"/>
  <c r="BC1056" i="2"/>
  <c r="BD708" i="2"/>
  <c r="BD901" i="2"/>
  <c r="BD895" i="2"/>
  <c r="BD284" i="2"/>
  <c r="BD52" i="2"/>
  <c r="BD358" i="2"/>
  <c r="BD146" i="2"/>
  <c r="BB679" i="2"/>
  <c r="BB895" i="2"/>
  <c r="BB629" i="2"/>
  <c r="BE964" i="2"/>
  <c r="BE393" i="2"/>
  <c r="AW1051" i="2"/>
  <c r="AW741" i="2"/>
  <c r="BB194" i="2"/>
  <c r="BB358" i="2"/>
  <c r="BB208" i="2"/>
  <c r="BB269" i="2"/>
  <c r="BE1052" i="2"/>
  <c r="AW895" i="2"/>
  <c r="BA901" i="2"/>
  <c r="BA144" i="2"/>
  <c r="BH764" i="2"/>
  <c r="BG479" i="2"/>
  <c r="BE423" i="2"/>
  <c r="BE391" i="2"/>
  <c r="AW513" i="2"/>
  <c r="AW287" i="2"/>
  <c r="BD598" i="2"/>
  <c r="BD991" i="2"/>
  <c r="BD1102" i="2"/>
  <c r="BD945" i="2"/>
  <c r="BD1141" i="2"/>
  <c r="BC477" i="2"/>
  <c r="BC777" i="2"/>
  <c r="BC325" i="2"/>
  <c r="BC867" i="2"/>
  <c r="BC1001" i="2"/>
  <c r="BC785" i="2"/>
  <c r="BC918" i="2"/>
  <c r="BC1149" i="2"/>
  <c r="BC794" i="2"/>
  <c r="BC945" i="2"/>
  <c r="BC391" i="2"/>
  <c r="BC1194" i="2"/>
  <c r="BC679" i="2"/>
  <c r="BD1012" i="2"/>
  <c r="BD335" i="2"/>
  <c r="BD198" i="2"/>
  <c r="BD611" i="2"/>
  <c r="BB423" i="2"/>
  <c r="BB951" i="2"/>
  <c r="BB668" i="2"/>
  <c r="BE297" i="2"/>
  <c r="BE475" i="2"/>
  <c r="BE679" i="2"/>
  <c r="AW363" i="2"/>
  <c r="AW598" i="2"/>
  <c r="BB197" i="2"/>
  <c r="BB513" i="2"/>
  <c r="BB320" i="2"/>
  <c r="BE895" i="2"/>
  <c r="BA475" i="2"/>
  <c r="BA632" i="2"/>
  <c r="BA543" i="2"/>
  <c r="AZ479" i="2"/>
  <c r="BH1052" i="2"/>
  <c r="BH854" i="2"/>
  <c r="AZ632" i="2"/>
  <c r="BG1052" i="2"/>
  <c r="BE513" i="2"/>
  <c r="BD23" i="2"/>
  <c r="BD393" i="2"/>
  <c r="BD1199" i="2"/>
  <c r="BD501" i="2"/>
  <c r="BD958" i="2"/>
  <c r="BC659" i="2"/>
  <c r="BC764" i="2"/>
  <c r="BC964" i="2"/>
  <c r="BC330" i="2"/>
  <c r="BC957" i="2"/>
  <c r="BC445" i="2"/>
  <c r="BC423" i="2"/>
  <c r="BC629" i="2"/>
  <c r="BD1015" i="2"/>
  <c r="BD764" i="2"/>
  <c r="BB1052" i="2"/>
  <c r="BE785" i="2"/>
  <c r="BE683" i="2"/>
  <c r="AW297" i="2"/>
  <c r="AW679" i="2"/>
  <c r="BB506" i="2"/>
  <c r="BB1186" i="2"/>
  <c r="BB570" i="2"/>
  <c r="BB1181" i="2"/>
  <c r="BB654" i="2"/>
  <c r="BB1149" i="2"/>
  <c r="BE945" i="2"/>
  <c r="AW320" i="2"/>
  <c r="AW764" i="2"/>
  <c r="BA129" i="2"/>
  <c r="BA895" i="2"/>
  <c r="BA1181" i="2"/>
  <c r="BA506" i="2"/>
  <c r="BA588" i="2"/>
  <c r="AZ588" i="2"/>
  <c r="BH659" i="2"/>
  <c r="BH895" i="2"/>
  <c r="AZ501" i="2"/>
  <c r="AW423" i="2"/>
  <c r="AZ423" i="2"/>
  <c r="BD1052" i="2"/>
  <c r="BC912" i="2"/>
  <c r="BC543" i="2"/>
  <c r="BC335" i="2"/>
  <c r="BC1164" i="2"/>
  <c r="BC1052" i="2"/>
  <c r="BC570" i="2"/>
  <c r="BC683" i="2"/>
  <c r="BC208" i="2"/>
  <c r="BD894" i="2"/>
  <c r="BD516" i="2"/>
  <c r="BB237" i="2"/>
  <c r="BB914" i="2"/>
  <c r="BB1019" i="2"/>
  <c r="BE501" i="2"/>
  <c r="BE1102" i="2"/>
  <c r="AW475" i="2"/>
  <c r="AW501" i="2"/>
  <c r="BB36" i="2"/>
  <c r="BB198" i="2"/>
  <c r="BA320" i="2"/>
  <c r="BH683" i="2"/>
  <c r="BH144" i="2"/>
  <c r="AZ789" i="2"/>
  <c r="AZ129" i="2"/>
  <c r="BE901" i="2"/>
  <c r="AW901" i="2"/>
  <c r="BD1194" i="2"/>
  <c r="AZ243" i="2"/>
  <c r="BD632" i="2"/>
  <c r="BD1051" i="2"/>
  <c r="BC789" i="2"/>
  <c r="BC654" i="2"/>
  <c r="BC646" i="2"/>
  <c r="BC312" i="2"/>
  <c r="BC586" i="2"/>
  <c r="BC1102" i="2"/>
  <c r="BC501" i="2"/>
  <c r="BD119" i="2"/>
  <c r="BB501" i="2"/>
  <c r="BB598" i="2"/>
  <c r="BB1199" i="2"/>
  <c r="BB1051" i="2"/>
  <c r="BB243" i="2"/>
  <c r="BE764" i="2"/>
  <c r="AW1141" i="2"/>
  <c r="BE1051" i="2"/>
  <c r="BE124" i="2"/>
  <c r="BA513" i="2"/>
  <c r="AZ598" i="2"/>
  <c r="AZ278" i="2"/>
  <c r="AZ659" i="2"/>
  <c r="AZ320" i="2"/>
  <c r="BG570" i="2"/>
  <c r="AW1194" i="2"/>
  <c r="BD124" i="2"/>
  <c r="BD586" i="2"/>
  <c r="BD1099" i="2"/>
  <c r="BC278" i="2"/>
  <c r="BC129" i="2"/>
  <c r="BC1181" i="2"/>
  <c r="BC1099" i="2"/>
  <c r="BC822" i="2"/>
  <c r="BC243" i="2"/>
  <c r="BC124" i="2"/>
  <c r="BC904" i="2"/>
  <c r="BC363" i="2"/>
  <c r="BD747" i="2"/>
  <c r="BD201" i="2"/>
  <c r="BD854" i="2"/>
  <c r="BD231" i="2"/>
  <c r="BD470" i="2"/>
  <c r="BB586" i="2"/>
  <c r="BE469" i="2"/>
  <c r="BE632" i="2"/>
  <c r="AW1199" i="2"/>
  <c r="AW958" i="2"/>
  <c r="AW1102" i="2"/>
  <c r="BB915" i="2"/>
  <c r="BB363" i="2"/>
  <c r="BB659" i="2"/>
  <c r="BB479" i="2"/>
  <c r="BB747" i="2"/>
  <c r="BA501" i="2"/>
  <c r="BA764" i="2"/>
  <c r="BH588" i="2"/>
  <c r="AZ477" i="2"/>
  <c r="AX75" i="2"/>
  <c r="AX479" i="2"/>
  <c r="BD513" i="2"/>
  <c r="BD585" i="2"/>
  <c r="BC924" i="2"/>
  <c r="BC1016" i="2"/>
  <c r="BC297" i="2"/>
  <c r="BC1114" i="2"/>
  <c r="BC741" i="2"/>
  <c r="BC958" i="2"/>
  <c r="BD659" i="2"/>
  <c r="BD312" i="2"/>
  <c r="BE598" i="2"/>
  <c r="BA391" i="2"/>
  <c r="BA313" i="2"/>
  <c r="BA479" i="2"/>
  <c r="BH320" i="2"/>
  <c r="AZ1052" i="2"/>
  <c r="AY479" i="2"/>
  <c r="BB894" i="2"/>
  <c r="BB995" i="2"/>
  <c r="BB1145" i="2"/>
  <c r="BB1058" i="2"/>
  <c r="BB1103" i="2"/>
  <c r="BB844" i="2"/>
  <c r="BE822" i="2"/>
  <c r="BC304" i="2"/>
  <c r="BC598" i="2"/>
  <c r="BC1051" i="2"/>
  <c r="BD394" i="2"/>
  <c r="BD479" i="2"/>
  <c r="BB958" i="2"/>
  <c r="BB1012" i="2"/>
  <c r="BB297" i="2"/>
  <c r="BB129" i="2"/>
  <c r="BE320" i="2"/>
  <c r="AW822" i="2"/>
  <c r="BA854" i="2"/>
  <c r="AZ822" i="2"/>
  <c r="AZ854" i="2"/>
  <c r="BD822" i="2"/>
  <c r="BD629" i="2"/>
  <c r="BD668" i="2"/>
  <c r="BD363" i="2"/>
  <c r="BC1199" i="2"/>
  <c r="BC475" i="2"/>
  <c r="BC991" i="2"/>
  <c r="BD506" i="2"/>
  <c r="BB991" i="2"/>
  <c r="BE129" i="2"/>
  <c r="BB1191" i="2"/>
  <c r="BB683" i="2"/>
  <c r="BA683" i="2"/>
  <c r="BA598" i="2"/>
  <c r="BA668" i="2"/>
  <c r="BD297" i="2"/>
  <c r="BD129" i="2"/>
  <c r="BC620" i="2"/>
  <c r="BB393" i="2"/>
  <c r="BE237" i="2"/>
  <c r="BB912" i="2"/>
  <c r="BH479" i="2"/>
  <c r="BG668" i="2"/>
  <c r="AZ764" i="2"/>
  <c r="BA794" i="2"/>
  <c r="BG683" i="2"/>
  <c r="AY320" i="2"/>
  <c r="BH312" i="2"/>
  <c r="BH632" i="2"/>
  <c r="BE82" i="2"/>
  <c r="BA837" i="2"/>
  <c r="BA1146" i="2"/>
  <c r="BA1069" i="2"/>
  <c r="BH1027" i="2"/>
  <c r="BA877" i="2"/>
  <c r="BA883" i="2"/>
  <c r="BA1211" i="2"/>
  <c r="BH954" i="2"/>
  <c r="BA754" i="2"/>
  <c r="BH668" i="2"/>
  <c r="BH950" i="2"/>
  <c r="AZ312" i="2"/>
  <c r="AZ683" i="2"/>
  <c r="BG144" i="2"/>
  <c r="BG312" i="2"/>
  <c r="BF476" i="2"/>
  <c r="BD1021" i="2"/>
  <c r="BG320" i="2"/>
  <c r="BC666" i="2"/>
  <c r="BB16" i="2"/>
  <c r="BB837" i="2"/>
  <c r="BA312" i="2"/>
  <c r="BA946" i="2"/>
  <c r="BH129" i="2"/>
  <c r="BD956" i="2"/>
  <c r="AW767" i="2"/>
  <c r="BH277" i="2"/>
  <c r="BA664" i="2"/>
  <c r="BH728" i="2"/>
  <c r="AZ950" i="2"/>
  <c r="AZ668" i="2"/>
  <c r="BH1181" i="2"/>
  <c r="AZ1016" i="2"/>
  <c r="AW1081" i="2"/>
  <c r="AY598" i="2"/>
  <c r="BC482" i="2"/>
  <c r="BA230" i="2"/>
  <c r="BC256" i="2"/>
  <c r="BC567" i="2"/>
  <c r="AW579" i="2"/>
  <c r="AW746" i="2"/>
  <c r="AW651" i="2"/>
  <c r="BC591" i="2"/>
  <c r="BD674" i="2"/>
  <c r="AY427" i="2"/>
  <c r="BA532" i="2"/>
  <c r="AZ599" i="2"/>
  <c r="BA1000" i="2"/>
  <c r="BB569" i="2"/>
  <c r="BA237" i="2"/>
  <c r="AZ126" i="2"/>
  <c r="BE823" i="2"/>
  <c r="AW656" i="2"/>
  <c r="AY364" i="2"/>
  <c r="BB853" i="2"/>
  <c r="BB1148" i="2"/>
  <c r="BB1190" i="2"/>
  <c r="BA920" i="2"/>
  <c r="BA927" i="2"/>
  <c r="BB925" i="2"/>
  <c r="BB1189" i="2"/>
  <c r="AZ500" i="2"/>
  <c r="BG799" i="2"/>
  <c r="BB922" i="2"/>
  <c r="BH268" i="2"/>
  <c r="BF707" i="2"/>
  <c r="AW358" i="2"/>
  <c r="BG330" i="2"/>
  <c r="AY85" i="2"/>
  <c r="BH254" i="2"/>
  <c r="BA124" i="2"/>
  <c r="BC1009" i="2"/>
  <c r="BB1034" i="2"/>
  <c r="BH1075" i="2"/>
  <c r="AZ1041" i="2"/>
  <c r="AZ879" i="2"/>
  <c r="BB818" i="2"/>
  <c r="BE1006" i="2"/>
  <c r="BD934" i="2"/>
  <c r="BB1144" i="2"/>
  <c r="BE941" i="2"/>
  <c r="BE1138" i="2"/>
  <c r="BF711" i="2"/>
  <c r="AY1029" i="2"/>
  <c r="BH753" i="2"/>
  <c r="BH837" i="2"/>
  <c r="BH992" i="2"/>
  <c r="AZ978" i="2"/>
  <c r="AZ1003" i="2"/>
  <c r="AX683" i="2"/>
  <c r="BB375" i="2"/>
  <c r="BA518" i="2"/>
  <c r="BH231" i="2"/>
  <c r="AZ570" i="2"/>
  <c r="BH155" i="2"/>
  <c r="BB219" i="2"/>
  <c r="BB870" i="2"/>
  <c r="BC706" i="2"/>
  <c r="BB542" i="2"/>
  <c r="BC1076" i="2"/>
  <c r="AZ667" i="2"/>
  <c r="BB713" i="2"/>
  <c r="BE1055" i="2"/>
  <c r="BA782" i="2"/>
  <c r="BH978" i="2"/>
  <c r="BH789" i="2"/>
  <c r="AY1052" i="2"/>
  <c r="BC211" i="2"/>
  <c r="AZ96" i="2"/>
  <c r="BB407" i="2"/>
  <c r="BB275" i="2"/>
  <c r="BC390" i="2"/>
  <c r="BB362" i="2"/>
  <c r="BB306" i="2"/>
  <c r="BB183" i="2"/>
  <c r="AY492" i="2"/>
  <c r="AW296" i="2"/>
  <c r="BB341" i="2"/>
  <c r="BB127" i="2"/>
  <c r="BB460" i="2"/>
  <c r="BB212" i="2"/>
  <c r="BB582" i="2"/>
  <c r="BB37" i="2"/>
  <c r="BC428" i="2"/>
  <c r="BD137" i="2"/>
  <c r="BE262" i="2"/>
  <c r="BD396" i="2"/>
  <c r="BB474" i="2"/>
  <c r="BD259" i="2"/>
  <c r="BD173" i="2"/>
  <c r="BA100" i="2"/>
  <c r="BC59" i="2"/>
  <c r="BC301" i="2"/>
  <c r="BC20" i="2"/>
  <c r="BH664" i="2"/>
  <c r="BH1146" i="2"/>
  <c r="BD937" i="2"/>
  <c r="BB790" i="2"/>
  <c r="BC406" i="2"/>
  <c r="BA209" i="2"/>
  <c r="AZ782" i="2"/>
  <c r="BH1074" i="2"/>
  <c r="BB723" i="2"/>
  <c r="BE516" i="2"/>
  <c r="AW470" i="2"/>
  <c r="BE48" i="2"/>
  <c r="AZ339" i="2"/>
  <c r="BA235" i="2"/>
  <c r="BB201" i="2"/>
  <c r="AX728" i="2"/>
  <c r="BF683" i="2"/>
  <c r="AZ784" i="2"/>
  <c r="BH782" i="2"/>
  <c r="AZ1207" i="2"/>
  <c r="BB986" i="2"/>
  <c r="BA761" i="2"/>
  <c r="BB924" i="2"/>
  <c r="BG1063" i="2"/>
  <c r="BA1016" i="2"/>
  <c r="AZ1027" i="2"/>
  <c r="BF822" i="2"/>
  <c r="BH1045" i="2"/>
  <c r="AX895" i="2"/>
  <c r="AY1063" i="2"/>
  <c r="AW867" i="2"/>
  <c r="BH1063" i="2"/>
  <c r="BH794" i="2"/>
  <c r="BE741" i="2"/>
  <c r="AX822" i="2"/>
  <c r="AY895" i="2"/>
  <c r="BA1204" i="2"/>
  <c r="AW611" i="2"/>
  <c r="BA287" i="2"/>
  <c r="BG363" i="2"/>
  <c r="BA269" i="2"/>
  <c r="BD1038" i="2"/>
  <c r="BB758" i="2"/>
  <c r="BB1105" i="2"/>
  <c r="BD601" i="2"/>
  <c r="BA792" i="2"/>
  <c r="BB558" i="2"/>
  <c r="BE1028" i="2"/>
  <c r="BB850" i="2"/>
  <c r="BC750" i="2"/>
  <c r="BC595" i="2"/>
  <c r="BE685" i="2"/>
  <c r="BC521" i="2"/>
  <c r="BD524" i="2"/>
  <c r="BD481" i="2"/>
  <c r="BC206" i="2"/>
  <c r="BD507" i="2"/>
  <c r="BD367" i="2"/>
  <c r="BB397" i="2"/>
  <c r="BC420" i="2"/>
  <c r="BB511" i="2"/>
  <c r="BB114" i="2"/>
  <c r="BB203" i="2"/>
  <c r="BD544" i="2"/>
  <c r="BC337" i="2"/>
  <c r="BC317" i="2"/>
  <c r="BG826" i="2"/>
  <c r="BF949" i="2"/>
  <c r="BB1178" i="2"/>
  <c r="BB736" i="2"/>
  <c r="BD1116" i="2"/>
  <c r="AY675" i="2"/>
  <c r="AZ1057" i="2"/>
  <c r="BC892" i="2"/>
  <c r="BA821" i="2"/>
  <c r="BB971" i="2"/>
  <c r="BB280" i="2"/>
  <c r="BE745" i="2"/>
  <c r="BB502" i="2"/>
  <c r="BA72" i="2"/>
  <c r="AZ31" i="2"/>
  <c r="BA1150" i="2"/>
  <c r="BB852" i="2"/>
  <c r="BE1013" i="2"/>
  <c r="BD1020" i="2"/>
  <c r="BA729" i="2"/>
  <c r="BA802" i="2"/>
  <c r="BH822" i="2"/>
  <c r="BG717" i="2"/>
  <c r="BA939" i="2"/>
  <c r="BB840" i="2"/>
  <c r="BB1047" i="2"/>
  <c r="BB1202" i="2"/>
  <c r="BB1170" i="2"/>
  <c r="BH826" i="2"/>
  <c r="BH799" i="2"/>
  <c r="BA1120" i="2"/>
  <c r="BB721" i="2"/>
  <c r="BB777" i="2"/>
  <c r="AW1012" i="2"/>
  <c r="AY822" i="2"/>
  <c r="BH1016" i="2"/>
  <c r="BG822" i="2"/>
  <c r="BG895" i="2"/>
  <c r="AY717" i="2"/>
  <c r="AZ826" i="2"/>
  <c r="AZ799" i="2"/>
  <c r="BE651" i="2"/>
  <c r="BE212" i="2"/>
  <c r="BD624" i="2"/>
  <c r="BC209" i="2"/>
  <c r="BC532" i="2"/>
  <c r="BC1038" i="2"/>
  <c r="BC850" i="2"/>
  <c r="BC1066" i="2"/>
  <c r="BC685" i="2"/>
  <c r="BD428" i="2"/>
  <c r="BB666" i="2"/>
  <c r="BE937" i="2"/>
  <c r="BA575" i="2"/>
  <c r="BH532" i="2"/>
  <c r="AZ601" i="2"/>
  <c r="BF677" i="2"/>
  <c r="AU388" i="2"/>
  <c r="AW388" i="2"/>
  <c r="BA510" i="2"/>
  <c r="BB510" i="2"/>
  <c r="BA64" i="2"/>
  <c r="BB64" i="2"/>
  <c r="BB691" i="2"/>
  <c r="BE691" i="2"/>
  <c r="AW691" i="2"/>
  <c r="AU593" i="2"/>
  <c r="BG593" i="2"/>
  <c r="BB593" i="2"/>
  <c r="BE19" i="2"/>
  <c r="BA19" i="2"/>
  <c r="BD521" i="2"/>
  <c r="BC682" i="2"/>
  <c r="BC579" i="2"/>
  <c r="BC1105" i="2"/>
  <c r="BD60" i="2"/>
  <c r="BD253" i="2"/>
  <c r="BD510" i="2"/>
  <c r="BB224" i="2"/>
  <c r="BB296" i="2"/>
  <c r="BB595" i="2"/>
  <c r="BB579" i="2"/>
  <c r="BA775" i="2"/>
  <c r="BB775" i="2"/>
  <c r="BA1067" i="2"/>
  <c r="BE1067" i="2"/>
  <c r="BH1067" i="2"/>
  <c r="BB1076" i="2"/>
  <c r="BH1076" i="2"/>
  <c r="BA444" i="2"/>
  <c r="BB444" i="2"/>
  <c r="BC460" i="2"/>
  <c r="BC624" i="2"/>
  <c r="BD206" i="2"/>
  <c r="BD407" i="2"/>
  <c r="BD532" i="2"/>
  <c r="BB388" i="2"/>
  <c r="BB301" i="2"/>
  <c r="BB209" i="2"/>
  <c r="BE521" i="2"/>
  <c r="BE602" i="2"/>
  <c r="BA602" i="2"/>
  <c r="BH602" i="2"/>
  <c r="BB602" i="2"/>
  <c r="BB842" i="2"/>
  <c r="AZ842" i="2"/>
  <c r="BB324" i="2"/>
  <c r="AZ324" i="2"/>
  <c r="BH324" i="2"/>
  <c r="BA324" i="2"/>
  <c r="BA684" i="2"/>
  <c r="BB684" i="2"/>
  <c r="BH684" i="2"/>
  <c r="AZ1049" i="2"/>
  <c r="BA1049" i="2"/>
  <c r="BG1049" i="2"/>
  <c r="AW1049" i="2"/>
  <c r="BB1049" i="2"/>
  <c r="BH1049" i="2"/>
  <c r="BA316" i="2"/>
  <c r="AX316" i="2"/>
  <c r="AZ316" i="2"/>
  <c r="BH316" i="2"/>
  <c r="BH667" i="2"/>
  <c r="BB667" i="2"/>
  <c r="AX667" i="2"/>
  <c r="BA667" i="2"/>
  <c r="BB1128" i="2"/>
  <c r="BA1128" i="2"/>
  <c r="BH1128" i="2"/>
  <c r="AV1004" i="2"/>
  <c r="BF1004" i="2"/>
  <c r="BB1004" i="2"/>
  <c r="AX1004" i="2"/>
  <c r="AZ1004" i="2"/>
  <c r="BA1004" i="2"/>
  <c r="AY1004" i="2"/>
  <c r="AW1004" i="2"/>
  <c r="BG484" i="2"/>
  <c r="BB484" i="2"/>
  <c r="AZ484" i="2"/>
  <c r="BA484" i="2"/>
  <c r="BH484" i="2"/>
  <c r="AW484" i="2"/>
  <c r="BA528" i="2"/>
  <c r="BH528" i="2"/>
  <c r="BG528" i="2"/>
  <c r="AZ718" i="2"/>
  <c r="BB718" i="2"/>
  <c r="BA718" i="2"/>
  <c r="AV1099" i="2"/>
  <c r="BB1099" i="2"/>
  <c r="AU1099" i="2"/>
  <c r="AX639" i="2"/>
  <c r="BF639" i="2"/>
  <c r="BD639" i="2"/>
  <c r="AY639" i="2"/>
  <c r="BH639" i="2"/>
  <c r="BB639" i="2"/>
  <c r="AW639" i="2"/>
  <c r="BG639" i="2"/>
  <c r="BE639" i="2"/>
  <c r="BA639" i="2"/>
  <c r="AW687" i="2"/>
  <c r="AX687" i="2"/>
  <c r="BH687" i="2"/>
  <c r="BG687" i="2"/>
  <c r="BB687" i="2"/>
  <c r="BE687" i="2"/>
  <c r="AY687" i="2"/>
  <c r="AZ687" i="2"/>
  <c r="BF687" i="2"/>
  <c r="BA687" i="2"/>
  <c r="BH727" i="2"/>
  <c r="BA727" i="2"/>
  <c r="BE727" i="2"/>
  <c r="BB727" i="2"/>
  <c r="BG727" i="2"/>
  <c r="AZ727" i="2"/>
  <c r="BB1141" i="2"/>
  <c r="BG1141" i="2"/>
  <c r="BE1141" i="2"/>
  <c r="BH436" i="2"/>
  <c r="AX436" i="2"/>
  <c r="BA436" i="2"/>
  <c r="AZ436" i="2"/>
  <c r="BG436" i="2"/>
  <c r="BB436" i="2"/>
  <c r="AY436" i="2"/>
  <c r="BF436" i="2"/>
  <c r="BG263" i="2"/>
  <c r="AZ263" i="2"/>
  <c r="BF263" i="2"/>
  <c r="BH263" i="2"/>
  <c r="BA443" i="2"/>
  <c r="BB443" i="2"/>
  <c r="AV337" i="2"/>
  <c r="BA337" i="2"/>
  <c r="BB337" i="2"/>
  <c r="AY354" i="2"/>
  <c r="BG354" i="2"/>
  <c r="AZ354" i="2"/>
  <c r="BH354" i="2"/>
  <c r="BB354" i="2"/>
  <c r="AU347" i="2"/>
  <c r="BB347" i="2"/>
  <c r="BA347" i="2"/>
  <c r="BH347" i="2"/>
  <c r="BE121" i="2"/>
  <c r="AZ121" i="2"/>
  <c r="BF121" i="2"/>
  <c r="BG121" i="2"/>
  <c r="BA346" i="2"/>
  <c r="AX346" i="2"/>
  <c r="BH346" i="2"/>
  <c r="BF346" i="2"/>
  <c r="AZ346" i="2"/>
  <c r="AY346" i="2"/>
  <c r="AV463" i="2"/>
  <c r="AZ463" i="2"/>
  <c r="BE463" i="2"/>
  <c r="AX463" i="2"/>
  <c r="BF463" i="2"/>
  <c r="BA463" i="2"/>
  <c r="BG463" i="2"/>
  <c r="AW463" i="2"/>
  <c r="BB463" i="2"/>
  <c r="AY463" i="2"/>
  <c r="BH463" i="2"/>
  <c r="BG130" i="2"/>
  <c r="BF130" i="2"/>
  <c r="BH130" i="2"/>
  <c r="BA130" i="2"/>
  <c r="BB130" i="2"/>
  <c r="BA318" i="2"/>
  <c r="BE318" i="2"/>
  <c r="BA431" i="2"/>
  <c r="BB431" i="2"/>
  <c r="BH339" i="2"/>
  <c r="BA339" i="2"/>
  <c r="BB339" i="2"/>
  <c r="BG339" i="2"/>
  <c r="BE339" i="2"/>
  <c r="AW339" i="2"/>
  <c r="AY339" i="2"/>
  <c r="BF339" i="2"/>
  <c r="BH142" i="2"/>
  <c r="BG142" i="2"/>
  <c r="BE965" i="2"/>
  <c r="BA965" i="2"/>
  <c r="AZ180" i="2"/>
  <c r="BB180" i="2"/>
  <c r="BH180" i="2"/>
  <c r="AU370" i="2"/>
  <c r="AZ370" i="2"/>
  <c r="BG730" i="2"/>
  <c r="AY730" i="2"/>
  <c r="BH730" i="2"/>
  <c r="AZ730" i="2"/>
  <c r="BG572" i="2"/>
  <c r="BH572" i="2"/>
  <c r="BF179" i="2"/>
  <c r="AZ179" i="2"/>
  <c r="AZ342" i="2"/>
  <c r="BH342" i="2"/>
  <c r="BA342" i="2"/>
  <c r="BB342" i="2"/>
  <c r="AY342" i="2"/>
  <c r="BG342" i="2"/>
  <c r="BH221" i="2"/>
  <c r="BE221" i="2"/>
  <c r="BF221" i="2"/>
  <c r="AZ221" i="2"/>
  <c r="BG221" i="2"/>
  <c r="BA221" i="2"/>
  <c r="BH255" i="2"/>
  <c r="BA255" i="2"/>
  <c r="AZ255" i="2"/>
  <c r="BG255" i="2"/>
  <c r="BA557" i="2"/>
  <c r="BB557" i="2"/>
  <c r="AW557" i="2"/>
  <c r="BB438" i="2"/>
  <c r="BG438" i="2"/>
  <c r="AZ438" i="2"/>
  <c r="BA438" i="2"/>
  <c r="BH438" i="2"/>
  <c r="AY499" i="2"/>
  <c r="AZ499" i="2"/>
  <c r="BA499" i="2"/>
  <c r="BB499" i="2"/>
  <c r="AV314" i="2"/>
  <c r="BH314" i="2"/>
  <c r="BF314" i="2"/>
  <c r="AU314" i="2"/>
  <c r="AZ314" i="2"/>
  <c r="BB314" i="2"/>
  <c r="AX314" i="2"/>
  <c r="BE314" i="2"/>
  <c r="BG314" i="2"/>
  <c r="AY314" i="2"/>
  <c r="BA314" i="2"/>
  <c r="BA165" i="2"/>
  <c r="BG165" i="2"/>
  <c r="BH165" i="2"/>
  <c r="BA199" i="2"/>
  <c r="BB199" i="2"/>
  <c r="AV328" i="2"/>
  <c r="BH328" i="2"/>
  <c r="BA328" i="2"/>
  <c r="AY606" i="2"/>
  <c r="BA606" i="2"/>
  <c r="BF606" i="2"/>
  <c r="BG606" i="2"/>
  <c r="AZ606" i="2"/>
  <c r="AX606" i="2"/>
  <c r="BE606" i="2"/>
  <c r="BB606" i="2"/>
  <c r="AV373" i="2"/>
  <c r="AY373" i="2"/>
  <c r="BG373" i="2"/>
  <c r="BE373" i="2"/>
  <c r="AZ373" i="2"/>
  <c r="BA373" i="2"/>
  <c r="AW373" i="2"/>
  <c r="BA109" i="2"/>
  <c r="AV469" i="2"/>
  <c r="AU469" i="2"/>
  <c r="BA469" i="2"/>
  <c r="BA128" i="2"/>
  <c r="BH128" i="2"/>
  <c r="BA257" i="2"/>
  <c r="AZ257" i="2"/>
  <c r="BE53" i="2"/>
  <c r="BA53" i="2"/>
  <c r="BB437" i="2"/>
  <c r="BE437" i="2"/>
  <c r="AU514" i="2"/>
  <c r="BA514" i="2"/>
  <c r="AZ514" i="2"/>
  <c r="BF514" i="2"/>
  <c r="BB514" i="2"/>
  <c r="BG514" i="2"/>
  <c r="BB433" i="2"/>
  <c r="AZ433" i="2"/>
  <c r="AY433" i="2"/>
  <c r="AV433" i="2"/>
  <c r="BG433" i="2"/>
  <c r="AU433" i="2"/>
  <c r="BE433" i="2"/>
  <c r="AX433" i="2"/>
  <c r="BF433" i="2"/>
  <c r="BH433" i="2"/>
  <c r="BA433" i="2"/>
  <c r="BA63" i="2"/>
  <c r="BA553" i="2"/>
  <c r="AX553" i="2"/>
  <c r="BD553" i="2"/>
  <c r="BG553" i="2"/>
  <c r="AZ553" i="2"/>
  <c r="BH553" i="2"/>
  <c r="BF553" i="2"/>
  <c r="BB553" i="2"/>
  <c r="AY553" i="2"/>
  <c r="AY290" i="2"/>
  <c r="BG290" i="2"/>
  <c r="BH290" i="2"/>
  <c r="BE290" i="2"/>
  <c r="BF290" i="2"/>
  <c r="AZ290" i="2"/>
  <c r="AW290" i="2"/>
  <c r="BB290" i="2"/>
  <c r="AX76" i="2"/>
  <c r="AV398" i="2"/>
  <c r="BH398" i="2"/>
  <c r="BA398" i="2"/>
  <c r="AZ398" i="2"/>
  <c r="BB11" i="2"/>
  <c r="BA11" i="2"/>
  <c r="BH11" i="2"/>
  <c r="BA115" i="2"/>
  <c r="BH115" i="2"/>
  <c r="BG115" i="2"/>
  <c r="BD505" i="2"/>
  <c r="BA505" i="2"/>
  <c r="BF505" i="2"/>
  <c r="AY505" i="2"/>
  <c r="BG505" i="2"/>
  <c r="AZ505" i="2"/>
  <c r="BH505" i="2"/>
  <c r="BB505" i="2"/>
  <c r="BH166" i="2"/>
  <c r="AX166" i="2"/>
  <c r="BE125" i="2"/>
  <c r="BF125" i="2"/>
  <c r="AZ125" i="2"/>
  <c r="BA490" i="2"/>
  <c r="BH490" i="2"/>
  <c r="BB490" i="2"/>
  <c r="AZ51" i="2"/>
  <c r="BG51" i="2"/>
  <c r="BH51" i="2"/>
  <c r="BG204" i="2"/>
  <c r="BH204" i="2"/>
  <c r="BF204" i="2"/>
  <c r="BA204" i="2"/>
  <c r="AZ204" i="2"/>
  <c r="BB26" i="2"/>
  <c r="AV453" i="2"/>
  <c r="AW453" i="2"/>
  <c r="AZ453" i="2"/>
  <c r="BE453" i="2"/>
  <c r="AZ163" i="2"/>
  <c r="BF163" i="2"/>
  <c r="AX163" i="2"/>
  <c r="BH163" i="2"/>
  <c r="BG163" i="2"/>
  <c r="BA163" i="2"/>
  <c r="BB35" i="2"/>
  <c r="BA35" i="2"/>
  <c r="BA38" i="2"/>
  <c r="AW1038" i="2"/>
  <c r="BB1038" i="2"/>
  <c r="BA1038" i="2"/>
  <c r="AU575" i="2"/>
  <c r="BB575" i="2"/>
  <c r="AZ575" i="2"/>
  <c r="BH575" i="2"/>
  <c r="AX575" i="2"/>
  <c r="AY575" i="2"/>
  <c r="BG575" i="2"/>
  <c r="BG601" i="2"/>
  <c r="BH601" i="2"/>
  <c r="BA601" i="2"/>
  <c r="BB601" i="2"/>
  <c r="AW944" i="2"/>
  <c r="BE944" i="2"/>
  <c r="AZ1021" i="2"/>
  <c r="BB1021" i="2"/>
  <c r="AY567" i="2"/>
  <c r="BB567" i="2"/>
  <c r="BH567" i="2"/>
  <c r="AV959" i="2"/>
  <c r="BA959" i="2"/>
  <c r="BE959" i="2"/>
  <c r="AW507" i="2"/>
  <c r="BE507" i="2"/>
  <c r="BB507" i="2"/>
  <c r="BD224" i="2"/>
  <c r="BE582" i="2"/>
  <c r="BE1105" i="2"/>
  <c r="BC959" i="2"/>
  <c r="AW685" i="2"/>
  <c r="BD301" i="2"/>
  <c r="BD666" i="2"/>
  <c r="BC790" i="2"/>
  <c r="BC601" i="2"/>
  <c r="BC792" i="2"/>
  <c r="BC481" i="2"/>
  <c r="BC362" i="2"/>
  <c r="BD172" i="2"/>
  <c r="BD390" i="2"/>
  <c r="BD959" i="2"/>
  <c r="BB937" i="2"/>
  <c r="BB1067" i="2"/>
  <c r="BE850" i="2"/>
  <c r="AW959" i="2"/>
  <c r="AW1103" i="2"/>
  <c r="BA1039" i="2"/>
  <c r="BH121" i="2"/>
  <c r="AZ572" i="2"/>
  <c r="BG362" i="2"/>
  <c r="BB1168" i="2"/>
  <c r="BE806" i="2"/>
  <c r="AW806" i="2"/>
  <c r="BA806" i="2"/>
  <c r="BB910" i="2"/>
  <c r="BA910" i="2"/>
  <c r="BB1101" i="2"/>
  <c r="AZ1101" i="2"/>
  <c r="BA1101" i="2"/>
  <c r="BA820" i="2"/>
  <c r="AX820" i="2"/>
  <c r="BE820" i="2"/>
  <c r="AW820" i="2"/>
  <c r="BH855" i="2"/>
  <c r="BA855" i="2"/>
  <c r="AX855" i="2"/>
  <c r="BF855" i="2"/>
  <c r="AZ855" i="2"/>
  <c r="BE241" i="2"/>
  <c r="BA241" i="2"/>
  <c r="BF241" i="2"/>
  <c r="BH241" i="2"/>
  <c r="BD241" i="2"/>
  <c r="BG241" i="2"/>
  <c r="BB682" i="2"/>
  <c r="BA682" i="2"/>
  <c r="BD549" i="2"/>
  <c r="BC306" i="2"/>
  <c r="BC938" i="2"/>
  <c r="BE224" i="2"/>
  <c r="BE575" i="2"/>
  <c r="BD19" i="2"/>
  <c r="BD582" i="2"/>
  <c r="BD691" i="2"/>
  <c r="BC127" i="2"/>
  <c r="BC1021" i="2"/>
  <c r="BD567" i="2"/>
  <c r="BD337" i="2"/>
  <c r="BD790" i="2"/>
  <c r="BD577" i="2"/>
  <c r="BD511" i="2"/>
  <c r="BE1004" i="2"/>
  <c r="BE388" i="2"/>
  <c r="BB719" i="2"/>
  <c r="BH1004" i="2"/>
  <c r="AZ165" i="2"/>
  <c r="BF624" i="2"/>
  <c r="BG532" i="2"/>
  <c r="AX532" i="2"/>
  <c r="BF532" i="2"/>
  <c r="AZ532" i="2"/>
  <c r="BB532" i="2"/>
  <c r="BA548" i="2"/>
  <c r="BB548" i="2"/>
  <c r="AW548" i="2"/>
  <c r="BB674" i="2"/>
  <c r="BA674" i="2"/>
  <c r="AW674" i="2"/>
  <c r="BA303" i="2"/>
  <c r="BB303" i="2"/>
  <c r="AW303" i="2"/>
  <c r="BB750" i="2"/>
  <c r="BG750" i="2"/>
  <c r="BA259" i="2"/>
  <c r="BE259" i="2"/>
  <c r="BE558" i="2"/>
  <c r="BE1066" i="2"/>
  <c r="BE549" i="2"/>
  <c r="AW850" i="2"/>
  <c r="BD706" i="2"/>
  <c r="BD548" i="2"/>
  <c r="BD685" i="2"/>
  <c r="BD944" i="2"/>
  <c r="BC212" i="2"/>
  <c r="BC944" i="2"/>
  <c r="BC524" i="2"/>
  <c r="BC296" i="2"/>
  <c r="BC548" i="2"/>
  <c r="BC444" i="2"/>
  <c r="BD460" i="2"/>
  <c r="BE548" i="2"/>
  <c r="BB367" i="2"/>
  <c r="BE203" i="2"/>
  <c r="AY532" i="2"/>
  <c r="BB633" i="2"/>
  <c r="BA633" i="2"/>
  <c r="BA795" i="2"/>
  <c r="BE795" i="2"/>
  <c r="BB795" i="2"/>
  <c r="AW1198" i="2"/>
  <c r="BE1198" i="2"/>
  <c r="BB1198" i="2"/>
  <c r="BH1015" i="2"/>
  <c r="BB1015" i="2"/>
  <c r="BE765" i="2"/>
  <c r="AW765" i="2"/>
  <c r="BA1174" i="2"/>
  <c r="BB1174" i="2"/>
  <c r="BE1174" i="2"/>
  <c r="AW1174" i="2"/>
  <c r="AV666" i="2"/>
  <c r="BE666" i="2"/>
  <c r="AW666" i="2"/>
  <c r="BA651" i="2"/>
  <c r="BB651" i="2"/>
  <c r="AZ1084" i="2"/>
  <c r="BH1084" i="2"/>
  <c r="BA1084" i="2"/>
  <c r="BB1084" i="2"/>
  <c r="BG624" i="2"/>
  <c r="BH624" i="2"/>
  <c r="BA624" i="2"/>
  <c r="AY624" i="2"/>
  <c r="AZ624" i="2"/>
  <c r="AX624" i="2"/>
  <c r="BB591" i="2"/>
  <c r="BG591" i="2"/>
  <c r="BH591" i="2"/>
  <c r="AW591" i="2"/>
  <c r="BA591" i="2"/>
  <c r="AZ591" i="2"/>
  <c r="AV462" i="2"/>
  <c r="BB462" i="2"/>
  <c r="BA428" i="2"/>
  <c r="BB428" i="2"/>
  <c r="AV420" i="2"/>
  <c r="BE420" i="2"/>
  <c r="BB420" i="2"/>
  <c r="AW420" i="2"/>
  <c r="BA333" i="2"/>
  <c r="BB333" i="2"/>
  <c r="AW333" i="2"/>
  <c r="BE281" i="2"/>
  <c r="BE746" i="2"/>
  <c r="BD746" i="2"/>
  <c r="BE444" i="2"/>
  <c r="AW1066" i="2"/>
  <c r="AW549" i="2"/>
  <c r="AW575" i="2"/>
  <c r="BD1066" i="2"/>
  <c r="BD420" i="2"/>
  <c r="BC380" i="2"/>
  <c r="BC462" i="2"/>
  <c r="BC281" i="2"/>
  <c r="BC303" i="2"/>
  <c r="BC593" i="2"/>
  <c r="BC511" i="2"/>
  <c r="BC397" i="2"/>
  <c r="BC558" i="2"/>
  <c r="BC691" i="2"/>
  <c r="BC19" i="2"/>
  <c r="BD211" i="2"/>
  <c r="BB959" i="2"/>
  <c r="AW341" i="2"/>
  <c r="BB685" i="2"/>
  <c r="BA354" i="2"/>
  <c r="BH206" i="2"/>
  <c r="BB206" i="2"/>
  <c r="AW301" i="2"/>
  <c r="BE301" i="2"/>
  <c r="AW1105" i="2"/>
  <c r="BD341" i="2"/>
  <c r="BC14" i="2"/>
  <c r="BC542" i="2"/>
  <c r="BC937" i="2"/>
  <c r="BC16" i="2"/>
  <c r="BC219" i="2"/>
  <c r="BC651" i="2"/>
  <c r="BC388" i="2"/>
  <c r="BD14" i="2"/>
  <c r="BD474" i="2"/>
  <c r="BD333" i="2"/>
  <c r="BD938" i="2"/>
  <c r="BB1066" i="2"/>
  <c r="BB944" i="2"/>
  <c r="AW937" i="2"/>
  <c r="BB792" i="2"/>
  <c r="BA937" i="2"/>
  <c r="BA224" i="2"/>
  <c r="BH428" i="2"/>
  <c r="AZ959" i="2"/>
  <c r="BG9" i="2"/>
  <c r="BA9" i="2"/>
  <c r="BH9" i="2"/>
  <c r="BA846" i="2"/>
  <c r="BE846" i="2"/>
  <c r="BB940" i="2"/>
  <c r="AW940" i="2"/>
  <c r="BE940" i="2"/>
  <c r="BA774" i="2"/>
  <c r="BB774" i="2"/>
  <c r="BG756" i="2"/>
  <c r="BA756" i="2"/>
  <c r="AZ756" i="2"/>
  <c r="BH756" i="2"/>
  <c r="BB756" i="2"/>
  <c r="BE693" i="2"/>
  <c r="BA693" i="2"/>
  <c r="BB1124" i="2"/>
  <c r="BA1124" i="2"/>
  <c r="BH1124" i="2"/>
  <c r="AZ1050" i="2"/>
  <c r="BA1050" i="2"/>
  <c r="BB1050" i="2"/>
  <c r="AZ1095" i="2"/>
  <c r="BB1095" i="2"/>
  <c r="BB859" i="2"/>
  <c r="BA859" i="2"/>
  <c r="AW859" i="2"/>
  <c r="BE859" i="2"/>
  <c r="BE914" i="2"/>
  <c r="AW914" i="2"/>
  <c r="BB1197" i="2"/>
  <c r="BA1197" i="2"/>
  <c r="BB1077" i="2"/>
  <c r="BE1077" i="2"/>
  <c r="BD1122" i="2"/>
  <c r="BH1122" i="2"/>
  <c r="BB1122" i="2"/>
  <c r="BA1122" i="2"/>
  <c r="AZ1122" i="2"/>
  <c r="AY923" i="2"/>
  <c r="BB923" i="2"/>
  <c r="BB1208" i="2"/>
  <c r="BE1208" i="2"/>
  <c r="AW1208" i="2"/>
  <c r="AZ1085" i="2"/>
  <c r="AW1085" i="2"/>
  <c r="BH1085" i="2"/>
  <c r="BB1085" i="2"/>
  <c r="BA1085" i="2"/>
  <c r="BB825" i="2"/>
  <c r="BA825" i="2"/>
  <c r="BB990" i="2"/>
  <c r="BG990" i="2"/>
  <c r="BH990" i="2"/>
  <c r="BA990" i="2"/>
  <c r="AZ990" i="2"/>
  <c r="AZ1035" i="2"/>
  <c r="BH1035" i="2"/>
  <c r="BB1035" i="2"/>
  <c r="BB1112" i="2"/>
  <c r="BA1112" i="2"/>
  <c r="BE677" i="2"/>
  <c r="BD677" i="2"/>
  <c r="AX677" i="2"/>
  <c r="AY677" i="2"/>
  <c r="BG677" i="2"/>
  <c r="BA677" i="2"/>
  <c r="BB677" i="2"/>
  <c r="AZ677" i="2"/>
  <c r="BA706" i="2"/>
  <c r="BB706" i="2"/>
  <c r="AW706" i="2"/>
  <c r="AV521" i="2"/>
  <c r="BB521" i="2"/>
  <c r="AW521" i="2"/>
  <c r="BA521" i="2"/>
  <c r="BB481" i="2"/>
  <c r="AW481" i="2"/>
  <c r="BD230" i="2"/>
  <c r="AW582" i="2"/>
  <c r="AW281" i="2"/>
  <c r="BD575" i="2"/>
  <c r="BD296" i="2"/>
  <c r="BC407" i="2"/>
  <c r="BC677" i="2"/>
  <c r="BC474" i="2"/>
  <c r="BC341" i="2"/>
  <c r="BC549" i="2"/>
  <c r="BD261" i="2"/>
  <c r="BD750" i="2"/>
  <c r="BD127" i="2"/>
  <c r="BH718" i="2"/>
  <c r="BA746" i="2"/>
  <c r="BB746" i="2"/>
  <c r="BB676" i="2"/>
  <c r="BA676" i="2"/>
  <c r="BE367" i="2"/>
  <c r="BA367" i="2"/>
  <c r="BF367" i="2"/>
  <c r="AU317" i="2"/>
  <c r="BB317" i="2"/>
  <c r="BE317" i="2"/>
  <c r="AW558" i="2"/>
  <c r="BE230" i="2"/>
  <c r="BD444" i="2"/>
  <c r="BD1105" i="2"/>
  <c r="AZ230" i="2"/>
  <c r="BD792" i="2"/>
  <c r="BC676" i="2"/>
  <c r="BC203" i="2"/>
  <c r="BC575" i="2"/>
  <c r="BD397" i="2"/>
  <c r="BD262" i="2"/>
  <c r="BD16" i="2"/>
  <c r="BD593" i="2"/>
  <c r="BB624" i="2"/>
  <c r="AW317" i="2"/>
  <c r="BE484" i="2"/>
  <c r="BA558" i="2"/>
  <c r="BH388" i="2"/>
  <c r="AZ277" i="2"/>
  <c r="AZ684" i="2"/>
  <c r="BA406" i="2"/>
  <c r="BB406" i="2"/>
  <c r="BG149" i="2"/>
  <c r="BB149" i="2"/>
  <c r="BD317" i="2"/>
  <c r="BD212" i="2"/>
  <c r="BD579" i="2"/>
  <c r="BC1084" i="2"/>
  <c r="BC870" i="2"/>
  <c r="BC333" i="2"/>
  <c r="BC510" i="2"/>
  <c r="BC492" i="2"/>
  <c r="BC582" i="2"/>
  <c r="BD775" i="2"/>
  <c r="BD362" i="2"/>
  <c r="BE1038" i="2"/>
  <c r="BB175" i="2"/>
  <c r="BB14" i="2"/>
  <c r="AW792" i="2"/>
  <c r="BA1105" i="2"/>
  <c r="BA71" i="2"/>
  <c r="AY438" i="2"/>
  <c r="BF591" i="2"/>
  <c r="BA197" i="2"/>
  <c r="AX513" i="2"/>
  <c r="BG243" i="2"/>
  <c r="BG148" i="2"/>
  <c r="AX601" i="2"/>
  <c r="AY727" i="2"/>
  <c r="AX493" i="2"/>
  <c r="BH143" i="2"/>
  <c r="BB698" i="2"/>
  <c r="BB372" i="2"/>
  <c r="AW699" i="2"/>
  <c r="BA619" i="2"/>
  <c r="BB745" i="2"/>
  <c r="BA1141" i="2"/>
  <c r="BH762" i="2"/>
  <c r="BB524" i="2"/>
  <c r="BH502" i="2"/>
  <c r="AX514" i="2"/>
  <c r="AX730" i="2"/>
  <c r="BH280" i="2"/>
  <c r="AY490" i="2"/>
  <c r="BH985" i="2"/>
  <c r="BH257" i="2"/>
  <c r="AX528" i="2"/>
  <c r="BF384" i="2"/>
  <c r="BG376" i="2"/>
  <c r="BH610" i="2"/>
  <c r="AZ1100" i="2"/>
  <c r="BA1208" i="2"/>
  <c r="BA890" i="2"/>
  <c r="AZ1080" i="2"/>
  <c r="BH1131" i="2"/>
  <c r="BG453" i="2"/>
  <c r="BD1130" i="2"/>
  <c r="BB1173" i="2"/>
  <c r="BE905" i="2"/>
  <c r="BB1062" i="2"/>
  <c r="AW1107" i="2"/>
  <c r="BC994" i="2"/>
  <c r="BD1129" i="2"/>
  <c r="BC893" i="2"/>
  <c r="BC845" i="2"/>
  <c r="BF82" i="2"/>
  <c r="BA194" i="2"/>
  <c r="BC913" i="2"/>
  <c r="BB640" i="2"/>
  <c r="AY528" i="2"/>
  <c r="AY440" i="2"/>
  <c r="BB735" i="2"/>
  <c r="BF849" i="2"/>
  <c r="AZ242" i="2"/>
  <c r="BC584" i="2"/>
  <c r="BE1199" i="2"/>
  <c r="BH1179" i="2"/>
  <c r="BD440" i="2"/>
  <c r="BH927" i="2"/>
  <c r="BG499" i="2"/>
  <c r="AY376" i="2"/>
  <c r="BA787" i="2"/>
  <c r="BD1108" i="2"/>
  <c r="BC1179" i="2"/>
  <c r="BC1138" i="2"/>
  <c r="BH499" i="2"/>
  <c r="AX440" i="2"/>
  <c r="BF1186" i="2"/>
  <c r="BG384" i="2"/>
  <c r="BB603" i="2"/>
  <c r="AZ503" i="2"/>
  <c r="BF315" i="2"/>
  <c r="BD1006" i="2"/>
  <c r="AZ528" i="2"/>
  <c r="BF499" i="2"/>
  <c r="AZ270" i="2"/>
  <c r="BC852" i="2"/>
  <c r="BF528" i="2"/>
  <c r="BH644" i="2"/>
  <c r="BB828" i="2"/>
  <c r="AZ1087" i="2"/>
  <c r="BG213" i="2"/>
  <c r="BE343" i="2"/>
  <c r="BC1008" i="2"/>
  <c r="BF376" i="2"/>
  <c r="BA962" i="2"/>
  <c r="BH1151" i="2"/>
  <c r="BH1073" i="2"/>
  <c r="BH970" i="2"/>
  <c r="BH856" i="2"/>
  <c r="BH1071" i="2"/>
  <c r="BH1188" i="2"/>
  <c r="BF17" i="2"/>
  <c r="BD1107" i="2"/>
  <c r="BC605" i="2"/>
  <c r="BC1013" i="2"/>
  <c r="BA708" i="2"/>
  <c r="BA703" i="2"/>
  <c r="BB709" i="2"/>
  <c r="BA119" i="2"/>
  <c r="BA48" i="2"/>
  <c r="BA193" i="2"/>
  <c r="BA654" i="2"/>
  <c r="BH646" i="2"/>
  <c r="BH477" i="2"/>
  <c r="BA198" i="2"/>
  <c r="AX388" i="2"/>
  <c r="BB396" i="2"/>
  <c r="BH445" i="2"/>
  <c r="AY679" i="2"/>
  <c r="BH469" i="2"/>
  <c r="BG335" i="2"/>
  <c r="AZ304" i="2"/>
  <c r="AX666" i="2"/>
  <c r="BA208" i="2"/>
  <c r="BA245" i="2"/>
  <c r="AZ543" i="2"/>
  <c r="AZ586" i="2"/>
  <c r="BH205" i="2"/>
  <c r="BH196" i="2"/>
  <c r="AZ210" i="2"/>
  <c r="BG201" i="2"/>
  <c r="AZ44" i="2"/>
  <c r="BA284" i="2"/>
  <c r="BA394" i="2"/>
  <c r="BA23" i="2"/>
  <c r="BG313" i="2"/>
  <c r="BE897" i="2"/>
  <c r="BB1017" i="2"/>
  <c r="BB645" i="2"/>
  <c r="BB716" i="2"/>
  <c r="BH560" i="2"/>
  <c r="BH834" i="2"/>
  <c r="BA1075" i="2"/>
  <c r="BA1080" i="2"/>
  <c r="BA964" i="2"/>
  <c r="BH904" i="2"/>
  <c r="AZ945" i="2"/>
  <c r="BA1012" i="2"/>
  <c r="AU1066" i="2"/>
  <c r="BB1092" i="2"/>
  <c r="BA961" i="2"/>
  <c r="BB956" i="2"/>
  <c r="BB1053" i="2"/>
  <c r="BA737" i="2"/>
  <c r="BE657" i="2"/>
  <c r="BA550" i="2"/>
  <c r="BA759" i="2"/>
  <c r="BA1029" i="2"/>
  <c r="BA1088" i="2"/>
  <c r="BG710" i="2"/>
  <c r="BH969" i="2"/>
  <c r="BH879" i="2"/>
  <c r="AZ821" i="2"/>
  <c r="BG1029" i="2"/>
  <c r="BB705" i="2"/>
  <c r="BH1029" i="2"/>
  <c r="BH1088" i="2"/>
  <c r="BA641" i="2"/>
  <c r="AW1130" i="2"/>
  <c r="BF772" i="2"/>
  <c r="BB776" i="2"/>
  <c r="BB994" i="2"/>
  <c r="BB998" i="2"/>
  <c r="BD843" i="2"/>
  <c r="BB893" i="2"/>
  <c r="BD1156" i="2"/>
  <c r="BD1061" i="2"/>
  <c r="AW1106" i="2"/>
  <c r="BB845" i="2"/>
  <c r="BB1110" i="2"/>
  <c r="BB1203" i="2"/>
  <c r="AZ1131" i="2"/>
  <c r="AZ969" i="2"/>
  <c r="BG1151" i="2"/>
  <c r="BD1200" i="2"/>
  <c r="BG829" i="2"/>
  <c r="BC1166" i="2"/>
  <c r="AZ1029" i="2"/>
  <c r="AZ1125" i="2"/>
  <c r="BH1041" i="2"/>
  <c r="BB493" i="2"/>
  <c r="BB85" i="2"/>
  <c r="AW445" i="2"/>
  <c r="BA231" i="2"/>
  <c r="BA372" i="2"/>
  <c r="BA570" i="2"/>
  <c r="BA1053" i="2"/>
  <c r="BA560" i="2"/>
  <c r="BA611" i="2"/>
  <c r="BA445" i="2"/>
  <c r="BH513" i="2"/>
  <c r="BH666" i="2"/>
  <c r="AZ694" i="2"/>
  <c r="BH150" i="2"/>
  <c r="AZ201" i="2"/>
  <c r="AX489" i="2"/>
  <c r="BD82" i="2"/>
  <c r="AX89" i="2"/>
  <c r="BG516" i="2"/>
  <c r="BF155" i="2"/>
  <c r="BF666" i="2"/>
  <c r="AX393" i="2"/>
  <c r="BG209" i="2"/>
  <c r="BA482" i="2"/>
  <c r="BH230" i="2"/>
  <c r="BA219" i="2"/>
  <c r="BG567" i="2"/>
  <c r="AZ492" i="2"/>
  <c r="BH259" i="2"/>
  <c r="BC1173" i="2"/>
  <c r="BC1006" i="2"/>
  <c r="BB356" i="2"/>
  <c r="BE1173" i="2"/>
  <c r="BB699" i="2"/>
  <c r="BB489" i="2"/>
  <c r="BB516" i="2"/>
  <c r="BB634" i="2"/>
  <c r="BB89" i="2"/>
  <c r="AW586" i="2"/>
  <c r="BA388" i="2"/>
  <c r="BA363" i="2"/>
  <c r="BA517" i="2"/>
  <c r="BA29" i="2"/>
  <c r="AZ666" i="2"/>
  <c r="AZ388" i="2"/>
  <c r="AZ287" i="2"/>
  <c r="BH201" i="2"/>
  <c r="BH501" i="2"/>
  <c r="BH586" i="2"/>
  <c r="AX611" i="2"/>
  <c r="BG82" i="2"/>
  <c r="AY470" i="2"/>
  <c r="BG611" i="2"/>
  <c r="BG124" i="2"/>
  <c r="AY570" i="2"/>
  <c r="AX650" i="2"/>
  <c r="BG155" i="2"/>
  <c r="BG325" i="2"/>
  <c r="BB1172" i="2"/>
  <c r="BA1202" i="2"/>
  <c r="BC776" i="2"/>
  <c r="BC1150" i="2"/>
  <c r="BC941" i="2"/>
  <c r="BB694" i="2"/>
  <c r="BE694" i="2"/>
  <c r="BB646" i="2"/>
  <c r="BE902" i="2"/>
  <c r="BA301" i="2"/>
  <c r="BA713" i="2"/>
  <c r="BA666" i="2"/>
  <c r="BA74" i="2"/>
  <c r="BA358" i="2"/>
  <c r="BA201" i="2"/>
  <c r="AZ513" i="2"/>
  <c r="BA143" i="2"/>
  <c r="BH146" i="2"/>
  <c r="BH516" i="2"/>
  <c r="BH394" i="2"/>
  <c r="BH650" i="2"/>
  <c r="BH611" i="2"/>
  <c r="BH675" i="2"/>
  <c r="AZ155" i="2"/>
  <c r="AZ75" i="2"/>
  <c r="AZ650" i="2"/>
  <c r="AZ160" i="2"/>
  <c r="AZ516" i="2"/>
  <c r="AZ469" i="2"/>
  <c r="AZ393" i="2"/>
  <c r="BG196" i="2"/>
  <c r="BE470" i="2"/>
  <c r="BF198" i="2"/>
  <c r="BF611" i="2"/>
  <c r="BG388" i="2"/>
  <c r="AY330" i="2"/>
  <c r="AY516" i="2"/>
  <c r="AY388" i="2"/>
  <c r="BF335" i="2"/>
  <c r="BF201" i="2"/>
  <c r="AX372" i="2"/>
  <c r="BD155" i="2"/>
  <c r="AZ689" i="2"/>
  <c r="AW737" i="2"/>
  <c r="BA493" i="2"/>
  <c r="BA634" i="2"/>
  <c r="BA767" i="2"/>
  <c r="BA330" i="2"/>
  <c r="BH124" i="2"/>
  <c r="BA645" i="2"/>
  <c r="BH518" i="2"/>
  <c r="BH393" i="2"/>
  <c r="AZ708" i="2"/>
  <c r="AZ231" i="2"/>
  <c r="AZ1032" i="2"/>
  <c r="BE611" i="2"/>
  <c r="BG493" i="2"/>
  <c r="BF194" i="2"/>
  <c r="BF237" i="2"/>
  <c r="BF388" i="2"/>
  <c r="AX516" i="2"/>
  <c r="BF85" i="2"/>
  <c r="BG146" i="2"/>
  <c r="BG654" i="2"/>
  <c r="BG85" i="2"/>
  <c r="AZ834" i="2"/>
  <c r="BB752" i="2"/>
  <c r="BB714" i="2"/>
  <c r="BC905" i="2"/>
  <c r="BD845" i="2"/>
  <c r="BD1092" i="2"/>
  <c r="BE634" i="2"/>
  <c r="BB849" i="2"/>
  <c r="BE57" i="2"/>
  <c r="BA599" i="2"/>
  <c r="BA675" i="2"/>
  <c r="BA145" i="2"/>
  <c r="BA489" i="2"/>
  <c r="BH391" i="2"/>
  <c r="AZ675" i="2"/>
  <c r="BH654" i="2"/>
  <c r="BH330" i="2"/>
  <c r="BH372" i="2"/>
  <c r="BH304" i="2"/>
  <c r="BH57" i="2"/>
  <c r="AZ654" i="2"/>
  <c r="AZ849" i="2"/>
  <c r="AZ209" i="2"/>
  <c r="AZ372" i="2"/>
  <c r="AY513" i="2"/>
  <c r="AY501" i="2"/>
  <c r="BG372" i="2"/>
  <c r="BG586" i="2"/>
  <c r="AY1032" i="2"/>
  <c r="AX146" i="2"/>
  <c r="BF654" i="2"/>
  <c r="BF372" i="2"/>
  <c r="BF233" i="2"/>
  <c r="AY654" i="2"/>
  <c r="AZ1011" i="2"/>
  <c r="BB864" i="2"/>
  <c r="BB287" i="2"/>
  <c r="BA679" i="2"/>
  <c r="BA646" i="2"/>
  <c r="BA699" i="2"/>
  <c r="BA196" i="2"/>
  <c r="BA75" i="2"/>
  <c r="BH493" i="2"/>
  <c r="AZ124" i="2"/>
  <c r="BH325" i="2"/>
  <c r="BH269" i="2"/>
  <c r="BH708" i="2"/>
  <c r="BH703" i="2"/>
  <c r="BH148" i="2"/>
  <c r="BH160" i="2"/>
  <c r="AZ645" i="2"/>
  <c r="AZ330" i="2"/>
  <c r="BG501" i="2"/>
  <c r="BG489" i="2"/>
  <c r="BF501" i="2"/>
  <c r="AY489" i="2"/>
  <c r="BG679" i="2"/>
  <c r="BG666" i="2"/>
  <c r="AY372" i="2"/>
  <c r="BF146" i="2"/>
  <c r="BF516" i="2"/>
  <c r="BF493" i="2"/>
  <c r="BF393" i="2"/>
  <c r="AV516" i="2"/>
  <c r="BD905" i="2"/>
  <c r="BD640" i="2"/>
  <c r="BD847" i="2"/>
  <c r="BB619" i="2"/>
  <c r="BB1179" i="2"/>
  <c r="BB470" i="2"/>
  <c r="BE231" i="2"/>
  <c r="AW516" i="2"/>
  <c r="BH243" i="2"/>
  <c r="AZ74" i="2"/>
  <c r="BH82" i="2"/>
  <c r="BH209" i="2"/>
  <c r="BH570" i="2"/>
  <c r="BH197" i="2"/>
  <c r="BH679" i="2"/>
  <c r="BH89" i="2"/>
  <c r="AZ325" i="2"/>
  <c r="BD196" i="2"/>
  <c r="AX501" i="2"/>
  <c r="AY611" i="2"/>
  <c r="BG233" i="2"/>
  <c r="BG231" i="2"/>
  <c r="AY335" i="2"/>
  <c r="BF650" i="2"/>
  <c r="BF243" i="2"/>
  <c r="AX477" i="2"/>
  <c r="AX679" i="2"/>
  <c r="BG143" i="2"/>
  <c r="BD209" i="2"/>
  <c r="BG708" i="2"/>
  <c r="AV301" i="2"/>
  <c r="BC1130" i="2"/>
  <c r="BC932" i="2"/>
  <c r="BB941" i="2"/>
  <c r="BB111" i="2"/>
  <c r="BB611" i="2"/>
  <c r="BE585" i="2"/>
  <c r="BA1032" i="2"/>
  <c r="BA375" i="2"/>
  <c r="BA36" i="2"/>
  <c r="BA111" i="2"/>
  <c r="BA470" i="2"/>
  <c r="BH174" i="2"/>
  <c r="AZ493" i="2"/>
  <c r="BA155" i="2"/>
  <c r="BH85" i="2"/>
  <c r="BH375" i="2"/>
  <c r="AZ489" i="2"/>
  <c r="AZ611" i="2"/>
  <c r="AZ233" i="2"/>
  <c r="AZ679" i="2"/>
  <c r="BF89" i="2"/>
  <c r="BG174" i="2"/>
  <c r="AY666" i="2"/>
  <c r="BF570" i="2"/>
  <c r="BF209" i="2"/>
  <c r="BD1150" i="2"/>
  <c r="BD1138" i="2"/>
  <c r="BB1032" i="2"/>
  <c r="BB834" i="2"/>
  <c r="BB961" i="2"/>
  <c r="BB650" i="2"/>
  <c r="BB325" i="2"/>
  <c r="BA393" i="2"/>
  <c r="BA325" i="2"/>
  <c r="BH237" i="2"/>
  <c r="BH585" i="2"/>
  <c r="AZ847" i="2"/>
  <c r="AZ335" i="2"/>
  <c r="AZ196" i="2"/>
  <c r="AZ703" i="2"/>
  <c r="BF174" i="2"/>
  <c r="BG254" i="2"/>
  <c r="BG237" i="2"/>
  <c r="AX570" i="2"/>
  <c r="BA902" i="2"/>
  <c r="AV678" i="2"/>
  <c r="BA335" i="2"/>
  <c r="BH849" i="2"/>
  <c r="BH767" i="2"/>
  <c r="AZ254" i="2"/>
  <c r="AX174" i="2"/>
  <c r="BG650" i="2"/>
  <c r="BG393" i="2"/>
  <c r="AY493" i="2"/>
  <c r="BF254" i="2"/>
  <c r="BF679" i="2"/>
  <c r="BF148" i="2"/>
  <c r="AZ1043" i="2"/>
  <c r="AU501" i="2"/>
  <c r="BE148" i="2"/>
  <c r="BC1107" i="2"/>
  <c r="BC641" i="2"/>
  <c r="BD1110" i="2"/>
  <c r="BB787" i="2"/>
  <c r="BA126" i="2"/>
  <c r="AZ391" i="2"/>
  <c r="BA605" i="2"/>
  <c r="BH335" i="2"/>
  <c r="AY393" i="2"/>
  <c r="BH16" i="2"/>
  <c r="BE809" i="2"/>
  <c r="BH1069" i="2"/>
  <c r="AZ1194" i="2"/>
  <c r="AY1099" i="2"/>
  <c r="AU391" i="2"/>
  <c r="BE211" i="2"/>
  <c r="BA407" i="2"/>
  <c r="BH275" i="2"/>
  <c r="BE390" i="2"/>
  <c r="AY362" i="2"/>
  <c r="BA850" i="2"/>
  <c r="BA296" i="2"/>
  <c r="BA341" i="2"/>
  <c r="BA750" i="2"/>
  <c r="BA460" i="2"/>
  <c r="BA595" i="2"/>
  <c r="BH212" i="2"/>
  <c r="BA582" i="2"/>
  <c r="BA685" i="2"/>
  <c r="AZ428" i="2"/>
  <c r="BA691" i="2"/>
  <c r="BA396" i="2"/>
  <c r="BA474" i="2"/>
  <c r="BA524" i="2"/>
  <c r="BA481" i="2"/>
  <c r="BA206" i="2"/>
  <c r="BH507" i="2"/>
  <c r="AW367" i="2"/>
  <c r="BA397" i="2"/>
  <c r="BA618" i="2"/>
  <c r="BA511" i="2"/>
  <c r="BE253" i="2"/>
  <c r="BG173" i="2"/>
  <c r="BA402" i="2"/>
  <c r="AY301" i="2"/>
  <c r="BA203" i="2"/>
  <c r="BG544" i="2"/>
  <c r="AZ337" i="2"/>
  <c r="AZ942" i="2"/>
  <c r="BA835" i="2"/>
  <c r="BB871" i="2"/>
  <c r="BA929" i="2"/>
  <c r="BH1036" i="2"/>
  <c r="BA1137" i="2"/>
  <c r="AX658" i="2"/>
  <c r="BB880" i="2"/>
  <c r="BG380" i="2"/>
  <c r="BB533" i="2"/>
  <c r="AZ1082" i="2"/>
  <c r="BB1136" i="2"/>
  <c r="BB605" i="2"/>
  <c r="BH830" i="2"/>
  <c r="BA889" i="2"/>
  <c r="AW798" i="2"/>
  <c r="AX335" i="2"/>
  <c r="BH943" i="2"/>
  <c r="BE993" i="2"/>
  <c r="AU585" i="2"/>
  <c r="BD654" i="2"/>
  <c r="AU325" i="2"/>
  <c r="AZ1210" i="2"/>
  <c r="AY708" i="2"/>
  <c r="BG258" i="2"/>
  <c r="BG446" i="2"/>
  <c r="BB1108" i="2"/>
  <c r="BA947" i="2"/>
  <c r="BE1002" i="2"/>
  <c r="BB843" i="2"/>
  <c r="AW1156" i="2"/>
  <c r="BB1061" i="2"/>
  <c r="BB907" i="2"/>
  <c r="BB898" i="2"/>
  <c r="BA1165" i="2"/>
  <c r="AX1203" i="2"/>
  <c r="BB193" i="2"/>
  <c r="BG1022" i="2"/>
  <c r="AY1026" i="2"/>
  <c r="BG840" i="2"/>
  <c r="AX1049" i="2"/>
  <c r="BE209" i="2"/>
  <c r="AZ1077" i="2"/>
  <c r="BB947" i="2"/>
  <c r="BB641" i="2"/>
  <c r="BB448" i="2"/>
  <c r="BB913" i="2"/>
  <c r="BB1165" i="2"/>
  <c r="BE759" i="2"/>
  <c r="BA581" i="2"/>
  <c r="BA843" i="2"/>
  <c r="BA1138" i="2"/>
  <c r="BA603" i="2"/>
  <c r="BA714" i="2"/>
  <c r="BH301" i="2"/>
  <c r="BH19" i="2"/>
  <c r="BH281" i="2"/>
  <c r="BA922" i="2"/>
  <c r="BA907" i="2"/>
  <c r="BA658" i="2"/>
  <c r="BA697" i="2"/>
  <c r="AZ932" i="2"/>
  <c r="BH1021" i="2"/>
  <c r="AZ1065" i="2"/>
  <c r="AZ380" i="2"/>
  <c r="AZ367" i="2"/>
  <c r="AZ1110" i="2"/>
  <c r="AZ259" i="2"/>
  <c r="AZ212" i="2"/>
  <c r="BH242" i="2"/>
  <c r="AY303" i="2"/>
  <c r="AX544" i="2"/>
  <c r="BG367" i="2"/>
  <c r="AY581" i="2"/>
  <c r="BF428" i="2"/>
  <c r="AX259" i="2"/>
  <c r="AX448" i="2"/>
  <c r="AY658" i="2"/>
  <c r="BD462" i="2"/>
  <c r="BB1156" i="2"/>
  <c r="AW1006" i="2"/>
  <c r="AW384" i="2"/>
  <c r="AW905" i="2"/>
  <c r="BB929" i="2"/>
  <c r="BB1160" i="2"/>
  <c r="AW1013" i="2"/>
  <c r="BA317" i="2"/>
  <c r="BA73" i="2"/>
  <c r="BA448" i="2"/>
  <c r="BA1160" i="2"/>
  <c r="BA507" i="2"/>
  <c r="BA1061" i="2"/>
  <c r="BA1008" i="2"/>
  <c r="BH482" i="2"/>
  <c r="BH1065" i="2"/>
  <c r="BH681" i="2"/>
  <c r="BH934" i="2"/>
  <c r="BH595" i="2"/>
  <c r="BH367" i="2"/>
  <c r="BH262" i="2"/>
  <c r="AZ593" i="2"/>
  <c r="AZ907" i="2"/>
  <c r="AZ275" i="2"/>
  <c r="BD1160" i="2"/>
  <c r="BF253" i="2"/>
  <c r="BE249" i="2"/>
  <c r="AU938" i="2"/>
  <c r="AX367" i="2"/>
  <c r="BG697" i="2"/>
  <c r="BG492" i="2"/>
  <c r="BG681" i="2"/>
  <c r="BG448" i="2"/>
  <c r="BG19" i="2"/>
  <c r="AY681" i="2"/>
  <c r="BH1002" i="2"/>
  <c r="BB939" i="2"/>
  <c r="AW567" i="2"/>
  <c r="AW631" i="2"/>
  <c r="BB934" i="2"/>
  <c r="BA798" i="2"/>
  <c r="BA567" i="2"/>
  <c r="BA390" i="2"/>
  <c r="BA137" i="2"/>
  <c r="BH384" i="2"/>
  <c r="BH1137" i="2"/>
  <c r="AZ384" i="2"/>
  <c r="BA932" i="2"/>
  <c r="BH929" i="2"/>
  <c r="BH658" i="2"/>
  <c r="BH1061" i="2"/>
  <c r="BH492" i="2"/>
  <c r="BH581" i="2"/>
  <c r="AZ1036" i="2"/>
  <c r="AZ253" i="2"/>
  <c r="BG303" i="2"/>
  <c r="AX407" i="2"/>
  <c r="BG482" i="2"/>
  <c r="BG428" i="2"/>
  <c r="BG581" i="2"/>
  <c r="BG212" i="2"/>
  <c r="AX253" i="2"/>
  <c r="AX384" i="2"/>
  <c r="AX593" i="2"/>
  <c r="BH563" i="2"/>
  <c r="BD947" i="2"/>
  <c r="BD584" i="2"/>
  <c r="BB1138" i="2"/>
  <c r="BB1106" i="2"/>
  <c r="BB835" i="2"/>
  <c r="BE1108" i="2"/>
  <c r="BE780" i="2"/>
  <c r="BB1150" i="2"/>
  <c r="BB390" i="2"/>
  <c r="BB932" i="2"/>
  <c r="BA384" i="2"/>
  <c r="BA127" i="2"/>
  <c r="BA1021" i="2"/>
  <c r="AZ301" i="2"/>
  <c r="BA681" i="2"/>
  <c r="BH380" i="2"/>
  <c r="BH407" i="2"/>
  <c r="AZ1008" i="2"/>
  <c r="AZ64" i="2"/>
  <c r="AZ1203" i="2"/>
  <c r="AZ1160" i="2"/>
  <c r="AZ929" i="2"/>
  <c r="BF303" i="2"/>
  <c r="BF275" i="2"/>
  <c r="AY384" i="2"/>
  <c r="AY448" i="2"/>
  <c r="BF127" i="2"/>
  <c r="BF567" i="2"/>
  <c r="BF1036" i="2"/>
  <c r="BG420" i="2"/>
  <c r="AZ206" i="2"/>
  <c r="BD605" i="2"/>
  <c r="BD1144" i="2"/>
  <c r="BB1107" i="2"/>
  <c r="AW780" i="2"/>
  <c r="BB847" i="2"/>
  <c r="BB482" i="2"/>
  <c r="BE947" i="2"/>
  <c r="BA752" i="2"/>
  <c r="BA1082" i="2"/>
  <c r="BA20" i="2"/>
  <c r="BA830" i="2"/>
  <c r="BA492" i="2"/>
  <c r="BH253" i="2"/>
  <c r="BH835" i="2"/>
  <c r="BH850" i="2"/>
  <c r="AZ482" i="2"/>
  <c r="AZ605" i="2"/>
  <c r="AZ303" i="2"/>
  <c r="AZ407" i="2"/>
  <c r="BH907" i="2"/>
  <c r="AX303" i="2"/>
  <c r="BE275" i="2"/>
  <c r="AW407" i="2"/>
  <c r="BG364" i="2"/>
  <c r="BF19" i="2"/>
  <c r="AX1160" i="2"/>
  <c r="AY380" i="2"/>
  <c r="AZ920" i="2"/>
  <c r="AV317" i="2"/>
  <c r="AV593" i="2"/>
  <c r="BD1179" i="2"/>
  <c r="BB772" i="2"/>
  <c r="BE581" i="2"/>
  <c r="AW1160" i="2"/>
  <c r="BB689" i="2"/>
  <c r="BB1013" i="2"/>
  <c r="BB658" i="2"/>
  <c r="AW1108" i="2"/>
  <c r="BA264" i="2"/>
  <c r="BA27" i="2"/>
  <c r="BA420" i="2"/>
  <c r="BA1110" i="2"/>
  <c r="BH448" i="2"/>
  <c r="BA380" i="2"/>
  <c r="BA1036" i="2"/>
  <c r="BH137" i="2"/>
  <c r="BH303" i="2"/>
  <c r="BH1110" i="2"/>
  <c r="BH1203" i="2"/>
  <c r="AZ362" i="2"/>
  <c r="AZ448" i="2"/>
  <c r="AZ1187" i="2"/>
  <c r="AW364" i="2"/>
  <c r="BE303" i="2"/>
  <c r="AY275" i="2"/>
  <c r="BG1021" i="2"/>
  <c r="AY593" i="2"/>
  <c r="BF593" i="2"/>
  <c r="BD1201" i="2"/>
  <c r="BD1209" i="2"/>
  <c r="AU521" i="2"/>
  <c r="AU420" i="2"/>
  <c r="BE22" i="2"/>
  <c r="BD913" i="2"/>
  <c r="BE641" i="2"/>
  <c r="BB697" i="2"/>
  <c r="BB681" i="2"/>
  <c r="BE762" i="2"/>
  <c r="BA905" i="2"/>
  <c r="BA1006" i="2"/>
  <c r="BA34" i="2"/>
  <c r="BA593" i="2"/>
  <c r="BA847" i="2"/>
  <c r="BH149" i="2"/>
  <c r="BH1008" i="2"/>
  <c r="BF364" i="2"/>
  <c r="BG253" i="2"/>
  <c r="BG275" i="2"/>
  <c r="BG689" i="2"/>
  <c r="BF658" i="2"/>
  <c r="BF1160" i="2"/>
  <c r="BF149" i="2"/>
  <c r="AX264" i="2"/>
  <c r="BD149" i="2"/>
  <c r="BD776" i="2"/>
  <c r="BD1008" i="2"/>
  <c r="BB905" i="2"/>
  <c r="BE752" i="2"/>
  <c r="BB1036" i="2"/>
  <c r="BB1082" i="2"/>
  <c r="BB1130" i="2"/>
  <c r="BE407" i="2"/>
  <c r="AW1203" i="2"/>
  <c r="AW835" i="2"/>
  <c r="BA1108" i="2"/>
  <c r="BA411" i="2"/>
  <c r="BA37" i="2"/>
  <c r="BA689" i="2"/>
  <c r="BA362" i="2"/>
  <c r="BA776" i="2"/>
  <c r="BA934" i="2"/>
  <c r="BA364" i="2"/>
  <c r="BH582" i="2"/>
  <c r="BA1136" i="2"/>
  <c r="BH264" i="2"/>
  <c r="BH362" i="2"/>
  <c r="BH420" i="2"/>
  <c r="BH1160" i="2"/>
  <c r="BH641" i="2"/>
  <c r="AZ264" i="2"/>
  <c r="AZ127" i="2"/>
  <c r="AX364" i="2"/>
  <c r="BG127" i="2"/>
  <c r="BG264" i="2"/>
  <c r="BG1160" i="2"/>
  <c r="AX462" i="2"/>
  <c r="BF264" i="2"/>
  <c r="AX567" i="2"/>
  <c r="BH319" i="2"/>
  <c r="AZ199" i="2"/>
  <c r="BB780" i="2"/>
  <c r="AW752" i="2"/>
  <c r="BE1203" i="2"/>
  <c r="AW636" i="2"/>
  <c r="BA212" i="2"/>
  <c r="BA147" i="2"/>
  <c r="BA462" i="2"/>
  <c r="BH127" i="2"/>
  <c r="AZ922" i="2"/>
  <c r="AZ462" i="2"/>
  <c r="AZ567" i="2"/>
  <c r="BE364" i="2"/>
  <c r="AY428" i="2"/>
  <c r="BF380" i="2"/>
  <c r="BD380" i="2"/>
  <c r="BD658" i="2"/>
  <c r="BA519" i="2"/>
  <c r="BE1130" i="2"/>
  <c r="AW448" i="2"/>
  <c r="BB584" i="2"/>
  <c r="BB762" i="2"/>
  <c r="BB1065" i="2"/>
  <c r="BE1106" i="2"/>
  <c r="AW641" i="2"/>
  <c r="BA242" i="2"/>
  <c r="BA1203" i="2"/>
  <c r="AZ581" i="2"/>
  <c r="BH462" i="2"/>
  <c r="BH364" i="2"/>
  <c r="AZ658" i="2"/>
  <c r="AZ420" i="2"/>
  <c r="AZ364" i="2"/>
  <c r="AY367" i="2"/>
  <c r="BG259" i="2"/>
  <c r="AY482" i="2"/>
  <c r="BC1183" i="2"/>
  <c r="BB952" i="2"/>
  <c r="BC788" i="2"/>
  <c r="BD898" i="2"/>
  <c r="BG1040" i="2"/>
  <c r="BB1006" i="2"/>
  <c r="BB784" i="2"/>
  <c r="BE502" i="2"/>
  <c r="BA502" i="2"/>
  <c r="BH593" i="2"/>
  <c r="BH689" i="2"/>
  <c r="BG938" i="2"/>
  <c r="AU959" i="2"/>
  <c r="AY1134" i="2"/>
  <c r="BD919" i="2"/>
  <c r="BC732" i="2"/>
  <c r="BH655" i="2"/>
  <c r="AX878" i="2"/>
  <c r="BB888" i="2"/>
  <c r="BC881" i="2"/>
  <c r="AZ332" i="2"/>
  <c r="BE462" i="2"/>
  <c r="BA1081" i="2"/>
  <c r="BG867" i="2"/>
  <c r="BH721" i="2"/>
  <c r="BH1189" i="2"/>
  <c r="BA1017" i="2"/>
  <c r="BH515" i="2"/>
  <c r="BH414" i="2"/>
  <c r="BC781" i="2"/>
  <c r="BH1011" i="2"/>
  <c r="AZ883" i="2"/>
  <c r="AZ1135" i="2"/>
  <c r="AY1154" i="2"/>
  <c r="BB968" i="2"/>
  <c r="BA344" i="2"/>
  <c r="AZ522" i="2"/>
  <c r="AX165" i="2"/>
  <c r="BG166" i="2"/>
  <c r="BH1133" i="2"/>
  <c r="AZ1037" i="2"/>
  <c r="BH579" i="2"/>
  <c r="BE293" i="2"/>
  <c r="BA1018" i="2"/>
  <c r="AZ1047" i="2"/>
  <c r="BH1115" i="2"/>
  <c r="BF316" i="2"/>
  <c r="BE505" i="2"/>
  <c r="BA909" i="2"/>
  <c r="BH672" i="2"/>
  <c r="BH1144" i="2"/>
  <c r="AZ1173" i="2"/>
  <c r="BA941" i="2"/>
  <c r="BA790" i="2"/>
  <c r="BH211" i="2"/>
  <c r="BG230" i="2"/>
  <c r="BH390" i="2"/>
  <c r="BH93" i="2"/>
  <c r="AZ582" i="2"/>
  <c r="AZ114" i="2"/>
  <c r="BH147" i="2"/>
  <c r="AX301" i="2"/>
  <c r="BD1100" i="2"/>
  <c r="BD672" i="2"/>
  <c r="BB909" i="2"/>
  <c r="BB637" i="2"/>
  <c r="BA732" i="2"/>
  <c r="BH616" i="2"/>
  <c r="AZ1134" i="2"/>
  <c r="BG580" i="2"/>
  <c r="AY637" i="2"/>
  <c r="BC1134" i="2"/>
  <c r="BC637" i="2"/>
  <c r="BB732" i="2"/>
  <c r="BH580" i="2"/>
  <c r="AZ637" i="2"/>
  <c r="BG1147" i="2"/>
  <c r="BG768" i="2"/>
  <c r="BC673" i="2"/>
  <c r="AW1134" i="2"/>
  <c r="BB580" i="2"/>
  <c r="BB672" i="2"/>
  <c r="AZ652" i="2"/>
  <c r="AZ663" i="2"/>
  <c r="BH374" i="2"/>
  <c r="AX140" i="2"/>
  <c r="BA673" i="2"/>
  <c r="BC672" i="2"/>
  <c r="BD637" i="2"/>
  <c r="BA1134" i="2"/>
  <c r="BA580" i="2"/>
  <c r="AZ580" i="2"/>
  <c r="AZ574" i="2"/>
  <c r="AX164" i="2"/>
  <c r="BD580" i="2"/>
  <c r="BD732" i="2"/>
  <c r="BD1187" i="2"/>
  <c r="BB1134" i="2"/>
  <c r="BB1100" i="2"/>
  <c r="BB616" i="2"/>
  <c r="BA637" i="2"/>
  <c r="BH637" i="2"/>
  <c r="AZ672" i="2"/>
  <c r="AY963" i="2"/>
  <c r="BE1034" i="2"/>
  <c r="AW892" i="2"/>
  <c r="BD1134" i="2"/>
  <c r="BC1100" i="2"/>
  <c r="BC616" i="2"/>
  <c r="BB1187" i="2"/>
  <c r="AZ616" i="2"/>
  <c r="AZ909" i="2"/>
  <c r="AZ673" i="2"/>
  <c r="BE892" i="2"/>
  <c r="BD909" i="2"/>
  <c r="BD616" i="2"/>
  <c r="BB673" i="2"/>
  <c r="AW673" i="2"/>
  <c r="BH1134" i="2"/>
  <c r="AW308" i="2"/>
  <c r="BE1134" i="2"/>
  <c r="BA672" i="2"/>
  <c r="BF1134" i="2"/>
  <c r="BH815" i="2"/>
  <c r="BH244" i="2"/>
  <c r="BC1187" i="2"/>
  <c r="BB1152" i="2"/>
  <c r="BH860" i="2"/>
  <c r="BA1119" i="2"/>
  <c r="BA1078" i="2"/>
  <c r="AZ651" i="2"/>
  <c r="AZ1197" i="2"/>
  <c r="AZ1139" i="2"/>
  <c r="BD903" i="2"/>
  <c r="AZ832" i="2"/>
  <c r="AZ1072" i="2"/>
  <c r="BA1158" i="2"/>
  <c r="AZ1071" i="2"/>
  <c r="AZ1031" i="2"/>
  <c r="BH986" i="2"/>
  <c r="BA915" i="2"/>
  <c r="AX637" i="2"/>
  <c r="AX708" i="2"/>
  <c r="AZ1188" i="2"/>
  <c r="AV1184" i="2"/>
  <c r="BH842" i="2"/>
  <c r="AZ983" i="2"/>
  <c r="AZ288" i="2"/>
  <c r="BA871" i="2"/>
  <c r="BF826" i="2"/>
  <c r="BG821" i="2"/>
  <c r="BG985" i="2"/>
  <c r="BF632" i="2"/>
  <c r="BH911" i="2"/>
  <c r="BA801" i="2"/>
  <c r="BB887" i="2"/>
  <c r="BB918" i="2"/>
  <c r="BA796" i="2"/>
  <c r="BB848" i="2"/>
  <c r="BG900" i="2"/>
  <c r="AW657" i="2"/>
  <c r="AZ185" i="2"/>
  <c r="BG1210" i="2"/>
  <c r="BB976" i="2"/>
  <c r="BE1132" i="2"/>
  <c r="BC1093" i="2"/>
  <c r="AZ1010" i="2"/>
  <c r="BD1142" i="2"/>
  <c r="BA1019" i="2"/>
  <c r="BA1042" i="2"/>
  <c r="BH1174" i="2"/>
  <c r="AZ1114" i="2"/>
  <c r="AZ1145" i="2"/>
  <c r="BH1062" i="2"/>
  <c r="BH1107" i="2"/>
  <c r="BA951" i="2"/>
  <c r="AZ824" i="2"/>
  <c r="BB1164" i="2"/>
  <c r="AZ987" i="2"/>
  <c r="BB1020" i="2"/>
  <c r="BB979" i="2"/>
  <c r="AZ736" i="2"/>
  <c r="AZ1116" i="2"/>
  <c r="BE908" i="2"/>
  <c r="BA760" i="2"/>
  <c r="BA1048" i="2"/>
  <c r="BB862" i="2"/>
  <c r="BA841" i="2"/>
  <c r="BH857" i="2"/>
  <c r="BA1147" i="2"/>
  <c r="BH1197" i="2"/>
  <c r="BH1147" i="2"/>
  <c r="AZ1018" i="2"/>
  <c r="AY1043" i="2"/>
  <c r="AY991" i="2"/>
  <c r="BA991" i="2"/>
  <c r="BH1172" i="2"/>
  <c r="BH1099" i="2"/>
  <c r="BG1164" i="2"/>
  <c r="BD1207" i="2"/>
  <c r="BA987" i="2"/>
  <c r="BH1162" i="2"/>
  <c r="AZ1162" i="2"/>
  <c r="BA1162" i="2"/>
  <c r="BH741" i="2"/>
  <c r="AZ741" i="2"/>
  <c r="BG1018" i="2"/>
  <c r="BB1018" i="2"/>
  <c r="BH1018" i="2"/>
  <c r="BB957" i="2"/>
  <c r="BA957" i="2"/>
  <c r="BF669" i="2"/>
  <c r="BH669" i="2"/>
  <c r="BA669" i="2"/>
  <c r="BG747" i="2"/>
  <c r="BH747" i="2"/>
  <c r="AZ747" i="2"/>
  <c r="AZ896" i="2"/>
  <c r="BH896" i="2"/>
  <c r="BA896" i="2"/>
  <c r="BH1001" i="2"/>
  <c r="BA1001" i="2"/>
  <c r="AZ1001" i="2"/>
  <c r="BH776" i="2"/>
  <c r="AZ776" i="2"/>
  <c r="BG576" i="2"/>
  <c r="BH576" i="2"/>
  <c r="BA576" i="2"/>
  <c r="BH660" i="2"/>
  <c r="BA660" i="2"/>
  <c r="AZ660" i="2"/>
  <c r="BE660" i="2"/>
  <c r="BA1102" i="2"/>
  <c r="BF1102" i="2"/>
  <c r="BA629" i="2"/>
  <c r="BG629" i="2"/>
  <c r="BH629" i="2"/>
  <c r="BA768" i="2"/>
  <c r="BB768" i="2"/>
  <c r="BH768" i="2"/>
  <c r="AZ768" i="2"/>
  <c r="BA1176" i="2"/>
  <c r="BH1176" i="2"/>
  <c r="AZ1176" i="2"/>
  <c r="BB1176" i="2"/>
  <c r="BH1126" i="2"/>
  <c r="AZ1126" i="2"/>
  <c r="BB1126" i="2"/>
  <c r="BA1126" i="2"/>
  <c r="AX1043" i="2"/>
  <c r="BB1043" i="2"/>
  <c r="BH1043" i="2"/>
  <c r="BA1043" i="2"/>
  <c r="AW1039" i="2"/>
  <c r="BH1039" i="2"/>
  <c r="AZ1039" i="2"/>
  <c r="AX1141" i="2"/>
  <c r="AZ1141" i="2"/>
  <c r="BH1141" i="2"/>
  <c r="AY1141" i="2"/>
  <c r="BA1103" i="2"/>
  <c r="BE1103" i="2"/>
  <c r="BH1103" i="2"/>
  <c r="BA1205" i="2"/>
  <c r="AZ1205" i="2"/>
  <c r="BH1205" i="2"/>
  <c r="AZ1012" i="2"/>
  <c r="BH1012" i="2"/>
  <c r="BE1012" i="2"/>
  <c r="BH1047" i="2"/>
  <c r="BA1047" i="2"/>
  <c r="BA921" i="2"/>
  <c r="BB921" i="2"/>
  <c r="BH921" i="2"/>
  <c r="AZ921" i="2"/>
  <c r="AZ1074" i="2"/>
  <c r="BA1074" i="2"/>
  <c r="BG1074" i="2"/>
  <c r="AW991" i="2"/>
  <c r="BH991" i="2"/>
  <c r="AZ991" i="2"/>
  <c r="BE991" i="2"/>
  <c r="AZ1107" i="2"/>
  <c r="BE1107" i="2"/>
  <c r="BA1107" i="2"/>
  <c r="BG965" i="2"/>
  <c r="BB965" i="2"/>
  <c r="AY965" i="2"/>
  <c r="AZ965" i="2"/>
  <c r="BH965" i="2"/>
  <c r="BA868" i="2"/>
  <c r="AW868" i="2"/>
  <c r="AZ868" i="2"/>
  <c r="BH868" i="2"/>
  <c r="BE868" i="2"/>
  <c r="AY868" i="2"/>
  <c r="BG868" i="2"/>
  <c r="BB785" i="2"/>
  <c r="AW785" i="2"/>
  <c r="BA785" i="2"/>
  <c r="BH1168" i="2"/>
  <c r="BA1168" i="2"/>
  <c r="BE938" i="2"/>
  <c r="BF938" i="2"/>
  <c r="AW938" i="2"/>
  <c r="AY938" i="2"/>
  <c r="AZ938" i="2"/>
  <c r="BA938" i="2"/>
  <c r="AX938" i="2"/>
  <c r="BB938" i="2"/>
  <c r="BH938" i="2"/>
  <c r="BH1194" i="2"/>
  <c r="BA1194" i="2"/>
  <c r="AY1194" i="2"/>
  <c r="BG1194" i="2"/>
  <c r="BA1206" i="2"/>
  <c r="BH1206" i="2"/>
  <c r="AZ1206" i="2"/>
  <c r="AZ919" i="2"/>
  <c r="BH919" i="2"/>
  <c r="BA919" i="2"/>
  <c r="BB919" i="2"/>
  <c r="AZ1104" i="2"/>
  <c r="BB1104" i="2"/>
  <c r="BG1182" i="2"/>
  <c r="BH1182" i="2"/>
  <c r="AZ1182" i="2"/>
  <c r="BA1182" i="2"/>
  <c r="AY1182" i="2"/>
  <c r="AZ1099" i="2"/>
  <c r="BG1099" i="2"/>
  <c r="BA1099" i="2"/>
  <c r="BA1015" i="2"/>
  <c r="AZ1015" i="2"/>
  <c r="AZ783" i="2"/>
  <c r="BB783" i="2"/>
  <c r="BA783" i="2"/>
  <c r="BH783" i="2"/>
  <c r="BH987" i="2"/>
  <c r="BB987" i="2"/>
  <c r="BF987" i="2"/>
  <c r="BA900" i="2"/>
  <c r="BB900" i="2"/>
  <c r="BH900" i="2"/>
  <c r="AZ900" i="2"/>
  <c r="BH1129" i="2"/>
  <c r="AZ1129" i="2"/>
  <c r="BB1129" i="2"/>
  <c r="BA1058" i="2"/>
  <c r="AZ1058" i="2"/>
  <c r="BH1058" i="2"/>
  <c r="BH975" i="2"/>
  <c r="AZ975" i="2"/>
  <c r="BA975" i="2"/>
  <c r="BB1091" i="2"/>
  <c r="BH1091" i="2"/>
  <c r="BA1091" i="2"/>
  <c r="AY893" i="2"/>
  <c r="BH893" i="2"/>
  <c r="AZ893" i="2"/>
  <c r="BA893" i="2"/>
  <c r="BA1192" i="2"/>
  <c r="BB1192" i="2"/>
  <c r="BH1192" i="2"/>
  <c r="BG1192" i="2"/>
  <c r="AZ1192" i="2"/>
  <c r="BA1177" i="2"/>
  <c r="BH1177" i="2"/>
  <c r="AZ656" i="2"/>
  <c r="BA656" i="2"/>
  <c r="BH870" i="2"/>
  <c r="BA870" i="2"/>
  <c r="AZ870" i="2"/>
  <c r="BB763" i="2"/>
  <c r="BH763" i="2"/>
  <c r="BA763" i="2"/>
  <c r="BH1178" i="2"/>
  <c r="AZ1178" i="2"/>
  <c r="BA1178" i="2"/>
  <c r="AX1184" i="2"/>
  <c r="BA1184" i="2"/>
  <c r="BB1184" i="2"/>
  <c r="BG1184" i="2"/>
  <c r="BF1184" i="2"/>
  <c r="AY1184" i="2"/>
  <c r="BH1184" i="2"/>
  <c r="BE827" i="2"/>
  <c r="BA827" i="2"/>
  <c r="AW827" i="2"/>
  <c r="BA736" i="2"/>
  <c r="BH736" i="2"/>
  <c r="AX740" i="2"/>
  <c r="AY740" i="2"/>
  <c r="BH740" i="2"/>
  <c r="BA740" i="2"/>
  <c r="BG740" i="2"/>
  <c r="AZ740" i="2"/>
  <c r="BH1116" i="2"/>
  <c r="BB1116" i="2"/>
  <c r="BA1116" i="2"/>
  <c r="BG1116" i="2"/>
  <c r="BA875" i="2"/>
  <c r="BE875" i="2"/>
  <c r="BB875" i="2"/>
  <c r="AX750" i="2"/>
  <c r="BH750" i="2"/>
  <c r="BF750" i="2"/>
  <c r="AY750" i="2"/>
  <c r="AZ750" i="2"/>
  <c r="AY634" i="2"/>
  <c r="BH634" i="2"/>
  <c r="BG634" i="2"/>
  <c r="AZ416" i="2"/>
  <c r="BH416" i="2"/>
  <c r="BF416" i="2"/>
  <c r="BE416" i="2"/>
  <c r="AW1096" i="2"/>
  <c r="BB1096" i="2"/>
  <c r="AZ1096" i="2"/>
  <c r="BA1096" i="2"/>
  <c r="AY546" i="2"/>
  <c r="BA546" i="2"/>
  <c r="BE546" i="2"/>
  <c r="AX356" i="2"/>
  <c r="BH356" i="2"/>
  <c r="AZ356" i="2"/>
  <c r="AY412" i="2"/>
  <c r="AZ412" i="2"/>
  <c r="BA412" i="2"/>
  <c r="BH352" i="2"/>
  <c r="BB352" i="2"/>
  <c r="BA352" i="2"/>
  <c r="BD626" i="2"/>
  <c r="BA626" i="2"/>
  <c r="BH626" i="2"/>
  <c r="BB1009" i="2"/>
  <c r="BH1009" i="2"/>
  <c r="BA1009" i="2"/>
  <c r="AZ1009" i="2"/>
  <c r="BH538" i="2"/>
  <c r="BA538" i="2"/>
  <c r="BA348" i="2"/>
  <c r="BH348" i="2"/>
  <c r="AZ348" i="2"/>
  <c r="BB348" i="2"/>
  <c r="AY177" i="2"/>
  <c r="BG177" i="2"/>
  <c r="BH177" i="2"/>
  <c r="BH1121" i="2"/>
  <c r="BG1121" i="2"/>
  <c r="BA1121" i="2"/>
  <c r="BB1121" i="2"/>
  <c r="BH716" i="2"/>
  <c r="BA716" i="2"/>
  <c r="AZ716" i="2"/>
  <c r="BA725" i="2"/>
  <c r="AZ725" i="2"/>
  <c r="BB725" i="2"/>
  <c r="BB565" i="2"/>
  <c r="BH565" i="2"/>
  <c r="AZ565" i="2"/>
  <c r="AZ698" i="2"/>
  <c r="BA698" i="2"/>
  <c r="BG698" i="2"/>
  <c r="BH698" i="2"/>
  <c r="BE698" i="2"/>
  <c r="AW638" i="2"/>
  <c r="BA638" i="2"/>
  <c r="BC1207" i="2"/>
  <c r="BB669" i="2"/>
  <c r="BA741" i="2"/>
  <c r="BA747" i="2"/>
  <c r="BA1129" i="2"/>
  <c r="AX870" i="2"/>
  <c r="BG824" i="2"/>
  <c r="AZ997" i="2"/>
  <c r="AZ729" i="2"/>
  <c r="AZ1168" i="2"/>
  <c r="BH817" i="2"/>
  <c r="AZ966" i="2"/>
  <c r="BA989" i="2"/>
  <c r="BH1097" i="2"/>
  <c r="BG1098" i="2"/>
  <c r="BH999" i="2"/>
  <c r="AY901" i="2"/>
  <c r="BH825" i="2"/>
  <c r="AZ967" i="2"/>
  <c r="BA873" i="2"/>
  <c r="AZ705" i="2"/>
  <c r="BH656" i="2"/>
  <c r="BH623" i="2"/>
  <c r="AZ785" i="2"/>
  <c r="BH662" i="2"/>
  <c r="BH793" i="2"/>
  <c r="BH673" i="2"/>
  <c r="AZ996" i="2"/>
  <c r="AZ566" i="2"/>
  <c r="AZ24" i="2"/>
  <c r="AZ197" i="2"/>
  <c r="BH847" i="2"/>
  <c r="AZ338" i="2"/>
  <c r="AZ445" i="2"/>
  <c r="BG220" i="2"/>
  <c r="BG157" i="2"/>
  <c r="BC885" i="2"/>
  <c r="BC1159" i="2"/>
  <c r="AZ801" i="2"/>
  <c r="BH862" i="2"/>
  <c r="BA897" i="2"/>
  <c r="BA808" i="2"/>
  <c r="BC1079" i="2"/>
  <c r="BC963" i="2"/>
  <c r="AZ857" i="2"/>
  <c r="BH1022" i="2"/>
  <c r="BE1195" i="2"/>
  <c r="BH796" i="2"/>
  <c r="AZ1196" i="2"/>
  <c r="BB886" i="2"/>
  <c r="BC1154" i="2"/>
  <c r="BH746" i="2"/>
  <c r="BA735" i="2"/>
  <c r="BA542" i="2"/>
  <c r="BH1089" i="2"/>
  <c r="AY1056" i="2"/>
  <c r="BA1114" i="2"/>
  <c r="BA1062" i="2"/>
  <c r="BG979" i="2"/>
  <c r="AZ914" i="2"/>
  <c r="BB841" i="2"/>
  <c r="AZ1164" i="2"/>
  <c r="BH1020" i="2"/>
  <c r="AZ760" i="2"/>
  <c r="AZ951" i="2"/>
  <c r="AX736" i="2"/>
  <c r="BH908" i="2"/>
  <c r="BF919" i="2"/>
  <c r="AZ1048" i="2"/>
  <c r="BH827" i="2"/>
  <c r="BG1177" i="2"/>
  <c r="BG742" i="2"/>
  <c r="BH742" i="2"/>
  <c r="AZ742" i="2"/>
  <c r="BD886" i="2"/>
  <c r="BD832" i="2"/>
  <c r="BD731" i="2"/>
  <c r="BC1196" i="2"/>
  <c r="BC1200" i="2"/>
  <c r="BC1211" i="2"/>
  <c r="BC1040" i="2"/>
  <c r="BC1152" i="2"/>
  <c r="BC745" i="2"/>
  <c r="BD1000" i="2"/>
  <c r="BD968" i="2"/>
  <c r="BD609" i="2"/>
  <c r="BD742" i="2"/>
  <c r="BD1183" i="2"/>
  <c r="BD1196" i="2"/>
  <c r="BD864" i="2"/>
  <c r="BB878" i="2"/>
  <c r="BE953" i="2"/>
  <c r="AW902" i="2"/>
  <c r="BB885" i="2"/>
  <c r="BB731" i="2"/>
  <c r="BE903" i="2"/>
  <c r="BE832" i="2"/>
  <c r="AW939" i="2"/>
  <c r="BA1002" i="2"/>
  <c r="BA954" i="2"/>
  <c r="BA885" i="2"/>
  <c r="BH902" i="2"/>
  <c r="AZ1132" i="2"/>
  <c r="AZ968" i="2"/>
  <c r="AZ1166" i="2"/>
  <c r="BG796" i="2"/>
  <c r="BH872" i="2"/>
  <c r="AZ872" i="2"/>
  <c r="BH653" i="2"/>
  <c r="AZ653" i="2"/>
  <c r="AZ1136" i="2"/>
  <c r="AY1136" i="2"/>
  <c r="AZ802" i="2"/>
  <c r="BG802" i="2"/>
  <c r="AX1180" i="2"/>
  <c r="BH1180" i="2"/>
  <c r="BG1180" i="2"/>
  <c r="AY1180" i="2"/>
  <c r="AZ1180" i="2"/>
  <c r="BF1180" i="2"/>
  <c r="BH820" i="2"/>
  <c r="BF820" i="2"/>
  <c r="BG820" i="2"/>
  <c r="AY568" i="2"/>
  <c r="BH568" i="2"/>
  <c r="BG695" i="2"/>
  <c r="BH695" i="2"/>
  <c r="AZ695" i="2"/>
  <c r="AZ620" i="2"/>
  <c r="BH620" i="2"/>
  <c r="AZ806" i="2"/>
  <c r="BH806" i="2"/>
  <c r="BH1096" i="2"/>
  <c r="AX1096" i="2"/>
  <c r="BF80" i="2"/>
  <c r="BH80" i="2"/>
  <c r="AY778" i="2"/>
  <c r="BH778" i="2"/>
  <c r="BG778" i="2"/>
  <c r="AZ602" i="2"/>
  <c r="BG602" i="2"/>
  <c r="BF496" i="2"/>
  <c r="BH496" i="2"/>
  <c r="BG583" i="2"/>
  <c r="BH583" i="2"/>
  <c r="BE547" i="2"/>
  <c r="AZ547" i="2"/>
  <c r="BH547" i="2"/>
  <c r="AZ443" i="2"/>
  <c r="BH443" i="2"/>
  <c r="AZ72" i="2"/>
  <c r="BG1070" i="2"/>
  <c r="AY1070" i="2"/>
  <c r="AZ1070" i="2"/>
  <c r="BH1070" i="2"/>
  <c r="AV858" i="2"/>
  <c r="BG858" i="2"/>
  <c r="AY858" i="2"/>
  <c r="AZ858" i="2"/>
  <c r="BG248" i="2"/>
  <c r="BH248" i="2"/>
  <c r="BF239" i="2"/>
  <c r="BH239" i="2"/>
  <c r="BH811" i="2"/>
  <c r="AZ811" i="2"/>
  <c r="BH458" i="2"/>
  <c r="AZ458" i="2"/>
  <c r="BG458" i="2"/>
  <c r="AY458" i="2"/>
  <c r="AX57" i="2"/>
  <c r="BF521" i="2"/>
  <c r="AY521" i="2"/>
  <c r="BH521" i="2"/>
  <c r="AZ521" i="2"/>
  <c r="BG297" i="2"/>
  <c r="AY297" i="2"/>
  <c r="AZ297" i="2"/>
  <c r="BH297" i="2"/>
  <c r="BG186" i="2"/>
  <c r="BH186" i="2"/>
  <c r="AZ375" i="2"/>
  <c r="AY375" i="2"/>
  <c r="AU425" i="2"/>
  <c r="BG425" i="2"/>
  <c r="BF425" i="2"/>
  <c r="BE425" i="2"/>
  <c r="AY425" i="2"/>
  <c r="AW425" i="2"/>
  <c r="BH425" i="2"/>
  <c r="AZ425" i="2"/>
  <c r="AV425" i="2"/>
  <c r="AW284" i="2"/>
  <c r="BG284" i="2"/>
  <c r="AZ284" i="2"/>
  <c r="AY284" i="2"/>
  <c r="AZ322" i="2"/>
  <c r="BH322" i="2"/>
  <c r="AY274" i="2"/>
  <c r="AZ274" i="2"/>
  <c r="BH122" i="2"/>
  <c r="BG122" i="2"/>
  <c r="AY378" i="2"/>
  <c r="AZ378" i="2"/>
  <c r="AX378" i="2"/>
  <c r="BG378" i="2"/>
  <c r="BG358" i="2"/>
  <c r="BE358" i="2"/>
  <c r="BH358" i="2"/>
  <c r="AX358" i="2"/>
  <c r="BF358" i="2"/>
  <c r="AU358" i="2"/>
  <c r="AU405" i="2"/>
  <c r="BE405" i="2"/>
  <c r="BF405" i="2"/>
  <c r="AX405" i="2"/>
  <c r="AZ405" i="2"/>
  <c r="BG405" i="2"/>
  <c r="AW405" i="2"/>
  <c r="AV405" i="2"/>
  <c r="BF159" i="2"/>
  <c r="BG159" i="2"/>
  <c r="AY518" i="2"/>
  <c r="BG518" i="2"/>
  <c r="AW518" i="2"/>
  <c r="AZ518" i="2"/>
  <c r="AY556" i="2"/>
  <c r="BH556" i="2"/>
  <c r="BE236" i="2"/>
  <c r="AZ236" i="2"/>
  <c r="BG236" i="2"/>
  <c r="AZ523" i="2"/>
  <c r="AY523" i="2"/>
  <c r="BH424" i="2"/>
  <c r="AY424" i="2"/>
  <c r="AZ113" i="2"/>
  <c r="AZ294" i="2"/>
  <c r="AX294" i="2"/>
  <c r="BF294" i="2"/>
  <c r="BH294" i="2"/>
  <c r="AW294" i="2"/>
  <c r="AY294" i="2"/>
  <c r="AY599" i="2"/>
  <c r="BH599" i="2"/>
  <c r="BG599" i="2"/>
  <c r="BG119" i="2"/>
  <c r="AZ119" i="2"/>
  <c r="BF119" i="2"/>
  <c r="BH119" i="2"/>
  <c r="BH48" i="2"/>
  <c r="AZ48" i="2"/>
  <c r="BH234" i="2"/>
  <c r="AZ234" i="2"/>
  <c r="AZ394" i="2"/>
  <c r="BF394" i="2"/>
  <c r="BG394" i="2"/>
  <c r="AZ29" i="2"/>
  <c r="BH418" i="2"/>
  <c r="BF418" i="2"/>
  <c r="BG418" i="2"/>
  <c r="AZ418" i="2"/>
  <c r="AX423" i="2"/>
  <c r="BF423" i="2"/>
  <c r="BF646" i="2"/>
  <c r="AZ646" i="2"/>
  <c r="BG646" i="2"/>
  <c r="AY646" i="2"/>
  <c r="AV513" i="2"/>
  <c r="BF513" i="2"/>
  <c r="BG513" i="2"/>
  <c r="AX486" i="2"/>
  <c r="BF486" i="2"/>
  <c r="AY486" i="2"/>
  <c r="BG229" i="2"/>
  <c r="AX229" i="2"/>
  <c r="AV565" i="2"/>
  <c r="BG565" i="2"/>
  <c r="AX470" i="2"/>
  <c r="AZ470" i="2"/>
  <c r="BF470" i="2"/>
  <c r="BG470" i="2"/>
  <c r="BH470" i="2"/>
  <c r="AU318" i="2"/>
  <c r="AX318" i="2"/>
  <c r="BH318" i="2"/>
  <c r="AY318" i="2"/>
  <c r="BG318" i="2"/>
  <c r="BF318" i="2"/>
  <c r="AZ198" i="2"/>
  <c r="BH198" i="2"/>
  <c r="BG198" i="2"/>
  <c r="AY359" i="2"/>
  <c r="BF359" i="2"/>
  <c r="AX359" i="2"/>
  <c r="AV363" i="2"/>
  <c r="AY363" i="2"/>
  <c r="BF363" i="2"/>
  <c r="AZ363" i="2"/>
  <c r="BH363" i="2"/>
  <c r="BE55" i="2"/>
  <c r="AX55" i="2"/>
  <c r="BF55" i="2"/>
  <c r="BG55" i="2"/>
  <c r="BH55" i="2"/>
  <c r="BH336" i="2"/>
  <c r="AZ336" i="2"/>
  <c r="BF389" i="2"/>
  <c r="BG389" i="2"/>
  <c r="BG422" i="2"/>
  <c r="AZ422" i="2"/>
  <c r="AX469" i="2"/>
  <c r="BG469" i="2"/>
  <c r="BF469" i="2"/>
  <c r="AY469" i="2"/>
  <c r="AY474" i="2"/>
  <c r="BG474" i="2"/>
  <c r="AZ474" i="2"/>
  <c r="AX474" i="2"/>
  <c r="BF474" i="2"/>
  <c r="BH474" i="2"/>
  <c r="AU780" i="2"/>
  <c r="BH780" i="2"/>
  <c r="BG780" i="2"/>
  <c r="AZ780" i="2"/>
  <c r="AV691" i="2"/>
  <c r="AX691" i="2"/>
  <c r="AZ691" i="2"/>
  <c r="BH691" i="2"/>
  <c r="BF691" i="2"/>
  <c r="AY691" i="2"/>
  <c r="BG691" i="2"/>
  <c r="BH278" i="2"/>
  <c r="BF278" i="2"/>
  <c r="BG278" i="2"/>
  <c r="AX178" i="2"/>
  <c r="BF178" i="2"/>
  <c r="BH178" i="2"/>
  <c r="AZ178" i="2"/>
  <c r="BG178" i="2"/>
  <c r="AZ62" i="2"/>
  <c r="BG269" i="2"/>
  <c r="BG260" i="2"/>
  <c r="BF124" i="2"/>
  <c r="BF208" i="2"/>
  <c r="BG208" i="2"/>
  <c r="AZ245" i="2"/>
  <c r="BG245" i="2"/>
  <c r="BH245" i="2"/>
  <c r="BF52" i="2"/>
  <c r="BH52" i="2"/>
  <c r="AZ52" i="2"/>
  <c r="AX543" i="2"/>
  <c r="AY543" i="2"/>
  <c r="BG543" i="2"/>
  <c r="BH543" i="2"/>
  <c r="BF543" i="2"/>
  <c r="AX136" i="2"/>
  <c r="BF136" i="2"/>
  <c r="BH136" i="2"/>
  <c r="BG136" i="2"/>
  <c r="BE158" i="2"/>
  <c r="BD158" i="2"/>
  <c r="BG226" i="2"/>
  <c r="AX226" i="2"/>
  <c r="AZ226" i="2"/>
  <c r="BG349" i="2"/>
  <c r="BH349" i="2"/>
  <c r="AX349" i="2"/>
  <c r="AY349" i="2"/>
  <c r="BF349" i="2"/>
  <c r="AV385" i="2"/>
  <c r="AX385" i="2"/>
  <c r="BF385" i="2"/>
  <c r="BH385" i="2"/>
  <c r="BG385" i="2"/>
  <c r="AY385" i="2"/>
  <c r="AZ194" i="2"/>
  <c r="BF189" i="2"/>
  <c r="BE189" i="2"/>
  <c r="BH189" i="2"/>
  <c r="BG53" i="2"/>
  <c r="BH53" i="2"/>
  <c r="BG139" i="2"/>
  <c r="AX139" i="2"/>
  <c r="BF139" i="2"/>
  <c r="BF140" i="2"/>
  <c r="BG140" i="2"/>
  <c r="BH140" i="2"/>
  <c r="BG128" i="2"/>
  <c r="AZ128" i="2"/>
  <c r="AY1005" i="2"/>
  <c r="AZ1005" i="2"/>
  <c r="AX1005" i="2"/>
  <c r="BF1005" i="2"/>
  <c r="BG1170" i="2"/>
  <c r="AZ1170" i="2"/>
  <c r="BH1170" i="2"/>
  <c r="AZ771" i="2"/>
  <c r="BH771" i="2"/>
  <c r="BG1000" i="2"/>
  <c r="BH1000" i="2"/>
  <c r="AY1000" i="2"/>
  <c r="AZ884" i="2"/>
  <c r="BG884" i="2"/>
  <c r="AY884" i="2"/>
  <c r="BH1117" i="2"/>
  <c r="AZ1117" i="2"/>
  <c r="BG1034" i="2"/>
  <c r="AZ1034" i="2"/>
  <c r="BB1046" i="2"/>
  <c r="BH1046" i="2"/>
  <c r="BG1046" i="2"/>
  <c r="AZ1046" i="2"/>
  <c r="AY1068" i="2"/>
  <c r="AZ1068" i="2"/>
  <c r="BH1068" i="2"/>
  <c r="BG1068" i="2"/>
  <c r="BH963" i="2"/>
  <c r="BG963" i="2"/>
  <c r="AZ1022" i="2"/>
  <c r="AX838" i="2"/>
  <c r="AY838" i="2"/>
  <c r="AZ838" i="2"/>
  <c r="BG838" i="2"/>
  <c r="BH881" i="2"/>
  <c r="AZ881" i="2"/>
  <c r="BF733" i="2"/>
  <c r="AZ733" i="2"/>
  <c r="BG733" i="2"/>
  <c r="AY733" i="2"/>
  <c r="BH733" i="2"/>
  <c r="BH1154" i="2"/>
  <c r="AZ1154" i="2"/>
  <c r="BE1201" i="2"/>
  <c r="BE1040" i="2"/>
  <c r="AW1040" i="2"/>
  <c r="AW749" i="2"/>
  <c r="BD1040" i="2"/>
  <c r="BD1139" i="2"/>
  <c r="BD1170" i="2"/>
  <c r="BC1142" i="2"/>
  <c r="BC952" i="2"/>
  <c r="BC1201" i="2"/>
  <c r="BC1072" i="2"/>
  <c r="BC1210" i="2"/>
  <c r="BD680" i="2"/>
  <c r="BD1071" i="2"/>
  <c r="BD884" i="2"/>
  <c r="BD1152" i="2"/>
  <c r="BB1072" i="2"/>
  <c r="BB796" i="2"/>
  <c r="BE1005" i="2"/>
  <c r="BB1087" i="2"/>
  <c r="BB749" i="2"/>
  <c r="BB781" i="2"/>
  <c r="BB1183" i="2"/>
  <c r="BE1046" i="2"/>
  <c r="BE1010" i="2"/>
  <c r="AW832" i="2"/>
  <c r="AW886" i="2"/>
  <c r="BA1195" i="2"/>
  <c r="BA936" i="2"/>
  <c r="BA749" i="2"/>
  <c r="BA1068" i="2"/>
  <c r="BA886" i="2"/>
  <c r="BA771" i="2"/>
  <c r="BA952" i="2"/>
  <c r="BH292" i="2"/>
  <c r="AZ1195" i="2"/>
  <c r="BA652" i="2"/>
  <c r="BA842" i="2"/>
  <c r="BA968" i="2"/>
  <c r="BA620" i="2"/>
  <c r="AZ643" i="2"/>
  <c r="BH1136" i="2"/>
  <c r="BH126" i="2"/>
  <c r="BH274" i="2"/>
  <c r="BH903" i="2"/>
  <c r="BH884" i="2"/>
  <c r="BH808" i="2"/>
  <c r="BH1005" i="2"/>
  <c r="BH749" i="2"/>
  <c r="AX236" i="2"/>
  <c r="AV358" i="2"/>
  <c r="BG973" i="2"/>
  <c r="BH973" i="2"/>
  <c r="BH1166" i="2"/>
  <c r="AY1166" i="2"/>
  <c r="BD665" i="2"/>
  <c r="BC1071" i="2"/>
  <c r="BC968" i="2"/>
  <c r="BC1158" i="2"/>
  <c r="BC1170" i="2"/>
  <c r="BC1195" i="2"/>
  <c r="BC1209" i="2"/>
  <c r="BC953" i="2"/>
  <c r="BC886" i="2"/>
  <c r="BC897" i="2"/>
  <c r="BD1010" i="2"/>
  <c r="BD885" i="2"/>
  <c r="BD1068" i="2"/>
  <c r="BB1010" i="2"/>
  <c r="BB1132" i="2"/>
  <c r="BB1139" i="2"/>
  <c r="BE1166" i="2"/>
  <c r="BE939" i="2"/>
  <c r="BE1072" i="2"/>
  <c r="BE733" i="2"/>
  <c r="AW828" i="2"/>
  <c r="BB973" i="2"/>
  <c r="BB644" i="2"/>
  <c r="BB1142" i="2"/>
  <c r="BB1093" i="2"/>
  <c r="BB609" i="2"/>
  <c r="BB897" i="2"/>
  <c r="BB1040" i="2"/>
  <c r="BB742" i="2"/>
  <c r="BE771" i="2"/>
  <c r="BE828" i="2"/>
  <c r="BA953" i="2"/>
  <c r="BA1201" i="2"/>
  <c r="BA742" i="2"/>
  <c r="BA1057" i="2"/>
  <c r="BA745" i="2"/>
  <c r="BA903" i="2"/>
  <c r="BH812" i="2"/>
  <c r="AZ796" i="2"/>
  <c r="BA1097" i="2"/>
  <c r="BH801" i="2"/>
  <c r="BH663" i="2"/>
  <c r="BH1040" i="2"/>
  <c r="AZ564" i="2"/>
  <c r="AZ902" i="2"/>
  <c r="AY903" i="2"/>
  <c r="BG322" i="2"/>
  <c r="BG294" i="2"/>
  <c r="BG521" i="2"/>
  <c r="BD1002" i="2"/>
  <c r="BD1195" i="2"/>
  <c r="BD1005" i="2"/>
  <c r="BD812" i="2"/>
  <c r="BD808" i="2"/>
  <c r="BC862" i="2"/>
  <c r="BC1010" i="2"/>
  <c r="BC1002" i="2"/>
  <c r="BC1000" i="2"/>
  <c r="BC902" i="2"/>
  <c r="BC973" i="2"/>
  <c r="BC1139" i="2"/>
  <c r="BC1064" i="2"/>
  <c r="BC864" i="2"/>
  <c r="BC1132" i="2"/>
  <c r="BC644" i="2"/>
  <c r="BC771" i="2"/>
  <c r="BD1210" i="2"/>
  <c r="BD733" i="2"/>
  <c r="BD1154" i="2"/>
  <c r="BD1057" i="2"/>
  <c r="BD781" i="2"/>
  <c r="BD1064" i="2"/>
  <c r="BB771" i="2"/>
  <c r="BE731" i="2"/>
  <c r="AW808" i="2"/>
  <c r="AW897" i="2"/>
  <c r="BB903" i="2"/>
  <c r="BB788" i="2"/>
  <c r="BB1196" i="2"/>
  <c r="BE878" i="2"/>
  <c r="BE884" i="2"/>
  <c r="BE886" i="2"/>
  <c r="AW878" i="2"/>
  <c r="AW1000" i="2"/>
  <c r="AW745" i="2"/>
  <c r="BA1170" i="2"/>
  <c r="BA884" i="2"/>
  <c r="BA997" i="2"/>
  <c r="BA1139" i="2"/>
  <c r="BH936" i="2"/>
  <c r="AZ749" i="2"/>
  <c r="AZ825" i="2"/>
  <c r="AZ812" i="2"/>
  <c r="BA857" i="2"/>
  <c r="BA881" i="2"/>
  <c r="BA862" i="2"/>
  <c r="BA1154" i="2"/>
  <c r="BA705" i="2"/>
  <c r="BA888" i="2"/>
  <c r="AZ655" i="2"/>
  <c r="BH873" i="2"/>
  <c r="BH968" i="2"/>
  <c r="BH609" i="2"/>
  <c r="BH1210" i="2"/>
  <c r="BH838" i="2"/>
  <c r="BH878" i="2"/>
  <c r="BH832" i="2"/>
  <c r="BH785" i="2"/>
  <c r="AZ358" i="2"/>
  <c r="BG1005" i="2"/>
  <c r="BG199" i="2"/>
  <c r="AX363" i="2"/>
  <c r="BH1200" i="2"/>
  <c r="AZ1200" i="2"/>
  <c r="BH1209" i="2"/>
  <c r="AZ1209" i="2"/>
  <c r="BH1139" i="2"/>
  <c r="BG1139" i="2"/>
  <c r="AZ1064" i="2"/>
  <c r="BH1064" i="2"/>
  <c r="BG1064" i="2"/>
  <c r="BE812" i="2"/>
  <c r="AW1201" i="2"/>
  <c r="BD936" i="2"/>
  <c r="BD1132" i="2"/>
  <c r="BD897" i="2"/>
  <c r="BC1117" i="2"/>
  <c r="BC1068" i="2"/>
  <c r="BC883" i="2"/>
  <c r="BC1057" i="2"/>
  <c r="BC838" i="2"/>
  <c r="BC976" i="2"/>
  <c r="BC832" i="2"/>
  <c r="BC796" i="2"/>
  <c r="BC733" i="2"/>
  <c r="BC939" i="2"/>
  <c r="BC808" i="2"/>
  <c r="BC1034" i="2"/>
  <c r="BD973" i="2"/>
  <c r="BD644" i="2"/>
  <c r="BD878" i="2"/>
  <c r="BD1046" i="2"/>
  <c r="BB812" i="2"/>
  <c r="BB936" i="2"/>
  <c r="BB808" i="2"/>
  <c r="BB733" i="2"/>
  <c r="AW1002" i="2"/>
  <c r="AW936" i="2"/>
  <c r="BB963" i="2"/>
  <c r="BB801" i="2"/>
  <c r="BB857" i="2"/>
  <c r="BB1211" i="2"/>
  <c r="BB1071" i="2"/>
  <c r="BE808" i="2"/>
  <c r="AW903" i="2"/>
  <c r="AW1005" i="2"/>
  <c r="BA812" i="2"/>
  <c r="BA1046" i="2"/>
  <c r="BA832" i="2"/>
  <c r="BA1200" i="2"/>
  <c r="BA963" i="2"/>
  <c r="BA1117" i="2"/>
  <c r="BH1098" i="2"/>
  <c r="AZ1040" i="2"/>
  <c r="AZ953" i="2"/>
  <c r="BA1196" i="2"/>
  <c r="BH1196" i="2"/>
  <c r="BH997" i="2"/>
  <c r="AW458" i="2"/>
  <c r="BG1096" i="2"/>
  <c r="AY405" i="2"/>
  <c r="AZ1211" i="2"/>
  <c r="BH1211" i="2"/>
  <c r="AX1083" i="2"/>
  <c r="BG1083" i="2"/>
  <c r="AZ1083" i="2"/>
  <c r="BH1083" i="2"/>
  <c r="AY1083" i="2"/>
  <c r="BD749" i="2"/>
  <c r="BE796" i="2"/>
  <c r="AW1195" i="2"/>
  <c r="BD976" i="2"/>
  <c r="BC857" i="2"/>
  <c r="BC884" i="2"/>
  <c r="BC1046" i="2"/>
  <c r="BC1005" i="2"/>
  <c r="BC665" i="2"/>
  <c r="BC1022" i="2"/>
  <c r="BC903" i="2"/>
  <c r="BC936" i="2"/>
  <c r="BC731" i="2"/>
  <c r="BC888" i="2"/>
  <c r="BD1117" i="2"/>
  <c r="BD902" i="2"/>
  <c r="BD1087" i="2"/>
  <c r="BD1166" i="2"/>
  <c r="BD883" i="2"/>
  <c r="BD829" i="2"/>
  <c r="BD1072" i="2"/>
  <c r="BB665" i="2"/>
  <c r="BB902" i="2"/>
  <c r="BB953" i="2"/>
  <c r="AW665" i="2"/>
  <c r="AW733" i="2"/>
  <c r="BB829" i="2"/>
  <c r="BB1154" i="2"/>
  <c r="BB1022" i="2"/>
  <c r="BB1200" i="2"/>
  <c r="BB1057" i="2"/>
  <c r="BB883" i="2"/>
  <c r="AW1072" i="2"/>
  <c r="BB1068" i="2"/>
  <c r="BA1034" i="2"/>
  <c r="BA1071" i="2"/>
  <c r="BA644" i="2"/>
  <c r="BA1072" i="2"/>
  <c r="BH1034" i="2"/>
  <c r="AZ671" i="2"/>
  <c r="AZ808" i="2"/>
  <c r="AZ886" i="2"/>
  <c r="AZ661" i="2"/>
  <c r="AZ1002" i="2"/>
  <c r="BA966" i="2"/>
  <c r="BA623" i="2"/>
  <c r="BA983" i="2"/>
  <c r="BH705" i="2"/>
  <c r="BH614" i="2"/>
  <c r="BH901" i="2"/>
  <c r="AZ963" i="2"/>
  <c r="BH284" i="2"/>
  <c r="AZ1159" i="2"/>
  <c r="BD405" i="2"/>
  <c r="AZ952" i="2"/>
  <c r="BH952" i="2"/>
  <c r="AY952" i="2"/>
  <c r="AZ745" i="2"/>
  <c r="BH745" i="2"/>
  <c r="AY745" i="2"/>
  <c r="BG745" i="2"/>
  <c r="BE749" i="2"/>
  <c r="AW796" i="2"/>
  <c r="AW812" i="2"/>
  <c r="AW1034" i="2"/>
  <c r="BD1034" i="2"/>
  <c r="BD954" i="2"/>
  <c r="BD953" i="2"/>
  <c r="BD745" i="2"/>
  <c r="BD771" i="2"/>
  <c r="BC1087" i="2"/>
  <c r="BC742" i="2"/>
  <c r="BC609" i="2"/>
  <c r="BC749" i="2"/>
  <c r="BD952" i="2"/>
  <c r="BD1083" i="2"/>
  <c r="BD838" i="2"/>
  <c r="BB1209" i="2"/>
  <c r="BB1002" i="2"/>
  <c r="AW953" i="2"/>
  <c r="BB1158" i="2"/>
  <c r="BB1000" i="2"/>
  <c r="BB1210" i="2"/>
  <c r="BB1117" i="2"/>
  <c r="BB680" i="2"/>
  <c r="BB832" i="2"/>
  <c r="AW1170" i="2"/>
  <c r="BA1005" i="2"/>
  <c r="BA609" i="2"/>
  <c r="BA733" i="2"/>
  <c r="BA973" i="2"/>
  <c r="BA1209" i="2"/>
  <c r="AZ901" i="2"/>
  <c r="AZ820" i="2"/>
  <c r="AZ623" i="2"/>
  <c r="AZ280" i="2"/>
  <c r="BH883" i="2"/>
  <c r="BH652" i="2"/>
  <c r="BH996" i="2"/>
  <c r="BH802" i="2"/>
  <c r="AZ490" i="2"/>
  <c r="AZ973" i="2"/>
  <c r="AZ954" i="2"/>
  <c r="AZ1000" i="2"/>
  <c r="AZ568" i="2"/>
  <c r="BD236" i="2"/>
  <c r="AY820" i="2"/>
  <c r="BG1132" i="2"/>
  <c r="BH976" i="2"/>
  <c r="BH930" i="2"/>
  <c r="AZ980" i="2"/>
  <c r="AZ848" i="2"/>
  <c r="AZ589" i="2"/>
  <c r="BH713" i="2"/>
  <c r="BF956" i="2"/>
  <c r="BH172" i="2"/>
  <c r="AZ187" i="2"/>
  <c r="BH251" i="2"/>
  <c r="BH475" i="2"/>
  <c r="BB1079" i="2"/>
  <c r="BB1201" i="2"/>
  <c r="BA1010" i="2"/>
  <c r="AZ1142" i="2"/>
  <c r="BH608" i="2"/>
  <c r="AX692" i="2"/>
  <c r="AZ873" i="2"/>
  <c r="AZ836" i="2"/>
  <c r="BC1163" i="2"/>
  <c r="BH765" i="2"/>
  <c r="BA1113" i="2"/>
  <c r="AZ763" i="2"/>
  <c r="BH714" i="2"/>
  <c r="BA1059" i="2"/>
  <c r="BA723" i="2"/>
  <c r="BH1006" i="2"/>
  <c r="BA1044" i="2"/>
  <c r="BH947" i="2"/>
  <c r="AZ1183" i="2"/>
  <c r="BH1130" i="2"/>
  <c r="AZ843" i="2"/>
  <c r="BH1100" i="2"/>
  <c r="BA981" i="2"/>
  <c r="BA1106" i="2"/>
  <c r="BH845" i="2"/>
  <c r="AZ898" i="2"/>
  <c r="AZ925" i="2"/>
  <c r="BH829" i="2"/>
  <c r="BA982" i="2"/>
  <c r="BA994" i="2"/>
  <c r="BA958" i="2"/>
  <c r="BA1056" i="2"/>
  <c r="BA1020" i="2"/>
  <c r="AZ979" i="2"/>
  <c r="AZ927" i="2"/>
  <c r="BA1133" i="2"/>
  <c r="BA1025" i="2"/>
  <c r="BA1035" i="2"/>
  <c r="BA784" i="2"/>
  <c r="BA1189" i="2"/>
  <c r="BA845" i="2"/>
  <c r="AZ1025" i="2"/>
  <c r="BH1183" i="2"/>
  <c r="BH1114" i="2"/>
  <c r="AZ1017" i="2"/>
  <c r="AZ1189" i="2"/>
  <c r="AZ994" i="2"/>
  <c r="AZ1020" i="2"/>
  <c r="AZ905" i="2"/>
  <c r="BG1179" i="2"/>
  <c r="BF199" i="2"/>
  <c r="AW935" i="2"/>
  <c r="BA979" i="2"/>
  <c r="BA1130" i="2"/>
  <c r="BA1183" i="2"/>
  <c r="BA867" i="2"/>
  <c r="BH1201" i="2"/>
  <c r="AZ772" i="2"/>
  <c r="BA584" i="2"/>
  <c r="BH1017" i="2"/>
  <c r="BH784" i="2"/>
  <c r="BH994" i="2"/>
  <c r="BH843" i="2"/>
  <c r="BH920" i="2"/>
  <c r="BH1050" i="2"/>
  <c r="BH772" i="2"/>
  <c r="BH1204" i="2"/>
  <c r="BH905" i="2"/>
  <c r="AZ1144" i="2"/>
  <c r="AZ1204" i="2"/>
  <c r="AZ1167" i="2"/>
  <c r="AY1142" i="2"/>
  <c r="AZ1118" i="2"/>
  <c r="AZ940" i="2"/>
  <c r="AZ777" i="2"/>
  <c r="AZ864" i="2"/>
  <c r="BH1156" i="2"/>
  <c r="BA995" i="2"/>
  <c r="AY1087" i="2"/>
  <c r="BH828" i="2"/>
  <c r="BH657" i="2"/>
  <c r="BD8" i="2"/>
  <c r="AW1173" i="2"/>
  <c r="AW947" i="2"/>
  <c r="BA640" i="2"/>
  <c r="BA874" i="2"/>
  <c r="BA772" i="2"/>
  <c r="AZ943" i="2"/>
  <c r="BA1037" i="2"/>
  <c r="AZ1062" i="2"/>
  <c r="AZ1133" i="2"/>
  <c r="BH841" i="2"/>
  <c r="BH913" i="2"/>
  <c r="BH1142" i="2"/>
  <c r="BH925" i="2"/>
  <c r="AZ874" i="2"/>
  <c r="AZ1081" i="2"/>
  <c r="AZ1044" i="2"/>
  <c r="BE1179" i="2"/>
  <c r="BB789" i="2"/>
  <c r="AW1164" i="2"/>
  <c r="AW1077" i="2"/>
  <c r="BA913" i="2"/>
  <c r="BA1164" i="2"/>
  <c r="BA1179" i="2"/>
  <c r="BA1079" i="2"/>
  <c r="BA1144" i="2"/>
  <c r="AZ721" i="2"/>
  <c r="BA789" i="2"/>
  <c r="BH640" i="2"/>
  <c r="BH981" i="2"/>
  <c r="BH1044" i="2"/>
  <c r="BH1164" i="2"/>
  <c r="BH1010" i="2"/>
  <c r="BH979" i="2"/>
  <c r="BH914" i="2"/>
  <c r="AZ923" i="2"/>
  <c r="AZ693" i="2"/>
  <c r="AW1142" i="2"/>
  <c r="AW1056" i="2"/>
  <c r="BA721" i="2"/>
  <c r="BA1173" i="2"/>
  <c r="BA914" i="2"/>
  <c r="BA1100" i="2"/>
  <c r="BA1142" i="2"/>
  <c r="AZ935" i="2"/>
  <c r="BA925" i="2"/>
  <c r="BA815" i="2"/>
  <c r="BH867" i="2"/>
  <c r="BH1081" i="2"/>
  <c r="BH1056" i="2"/>
  <c r="AZ845" i="2"/>
  <c r="AZ981" i="2"/>
  <c r="AZ867" i="2"/>
  <c r="AY935" i="2"/>
  <c r="BA935" i="2"/>
  <c r="BA829" i="2"/>
  <c r="BA898" i="2"/>
  <c r="BH898" i="2"/>
  <c r="BH693" i="2"/>
  <c r="BH1079" i="2"/>
  <c r="AZ829" i="2"/>
  <c r="AZ640" i="2"/>
  <c r="AZ958" i="2"/>
  <c r="BE1056" i="2"/>
  <c r="AW1044" i="2"/>
  <c r="BA1077" i="2"/>
  <c r="BA943" i="2"/>
  <c r="BA923" i="2"/>
  <c r="AZ1056" i="2"/>
  <c r="BA1095" i="2"/>
  <c r="BH584" i="2"/>
  <c r="BH923" i="2"/>
  <c r="AZ1086" i="2"/>
  <c r="AZ937" i="2"/>
  <c r="BH510" i="2"/>
  <c r="BG291" i="2"/>
  <c r="AZ135" i="2"/>
  <c r="AZ181" i="2"/>
  <c r="BH333" i="2"/>
  <c r="BA918" i="2"/>
  <c r="BA887" i="2"/>
  <c r="BH795" i="2"/>
  <c r="AZ444" i="2"/>
  <c r="AW471" i="2"/>
  <c r="AZ700" i="2"/>
  <c r="BA1024" i="2"/>
  <c r="BA1171" i="2"/>
  <c r="AZ894" i="2"/>
  <c r="BA1092" i="2"/>
  <c r="BA680" i="2"/>
  <c r="BH1038" i="2"/>
  <c r="AZ906" i="2"/>
  <c r="BH880" i="2"/>
  <c r="AZ869" i="2"/>
  <c r="BH406" i="2"/>
  <c r="BF889" i="2"/>
  <c r="BH798" i="2"/>
  <c r="BH910" i="2"/>
  <c r="BH1033" i="2"/>
  <c r="AY665" i="2"/>
  <c r="AZ850" i="2"/>
  <c r="AZ296" i="2"/>
  <c r="BH409" i="2"/>
  <c r="BH287" i="2"/>
  <c r="AZ538" i="2"/>
  <c r="BH685" i="2"/>
  <c r="AZ350" i="2"/>
  <c r="BF262" i="2"/>
  <c r="BH271" i="2"/>
  <c r="AZ561" i="2"/>
  <c r="AZ507" i="2"/>
  <c r="BH517" i="2"/>
  <c r="AY397" i="2"/>
  <c r="AZ527" i="2"/>
  <c r="AZ511" i="2"/>
  <c r="AZ154" i="2"/>
  <c r="AZ235" i="2"/>
  <c r="AZ283" i="2"/>
  <c r="AX628" i="2"/>
  <c r="BH267" i="2"/>
  <c r="BH203" i="2"/>
  <c r="BH141" i="2"/>
  <c r="BG162" i="2"/>
  <c r="BH81" i="2"/>
  <c r="BH337" i="2"/>
  <c r="AY281" i="2"/>
  <c r="BB1024" i="2"/>
  <c r="AW1132" i="2"/>
  <c r="BA1031" i="2"/>
  <c r="BA579" i="2"/>
  <c r="BA1087" i="2"/>
  <c r="BA976" i="2"/>
  <c r="BA1118" i="2"/>
  <c r="BA777" i="2"/>
  <c r="BH1118" i="2"/>
  <c r="AZ828" i="2"/>
  <c r="BH1123" i="2"/>
  <c r="AZ1123" i="2"/>
  <c r="BH1127" i="2"/>
  <c r="BA1127" i="2"/>
  <c r="AZ804" i="2"/>
  <c r="BA804" i="2"/>
  <c r="BH804" i="2"/>
  <c r="AZ577" i="2"/>
  <c r="BH577" i="2"/>
  <c r="BF1060" i="2"/>
  <c r="BH1060" i="2"/>
  <c r="BH853" i="2"/>
  <c r="AZ853" i="2"/>
  <c r="BH612" i="2"/>
  <c r="AZ612" i="2"/>
  <c r="BH696" i="2"/>
  <c r="BA696" i="2"/>
  <c r="BE633" i="2"/>
  <c r="AX633" i="2"/>
  <c r="BG633" i="2"/>
  <c r="BF633" i="2"/>
  <c r="AZ633" i="2"/>
  <c r="BH633" i="2"/>
  <c r="AY633" i="2"/>
  <c r="BE976" i="2"/>
  <c r="AZ976" i="2"/>
  <c r="AX976" i="2"/>
  <c r="BF976" i="2"/>
  <c r="BG976" i="2"/>
  <c r="AY976" i="2"/>
  <c r="BH931" i="2"/>
  <c r="AZ931" i="2"/>
  <c r="BA931" i="2"/>
  <c r="AY833" i="2"/>
  <c r="BD833" i="2"/>
  <c r="AZ833" i="2"/>
  <c r="BE833" i="2"/>
  <c r="BH833" i="2"/>
  <c r="BF833" i="2"/>
  <c r="BG833" i="2"/>
  <c r="AZ998" i="2"/>
  <c r="BA998" i="2"/>
  <c r="AX944" i="2"/>
  <c r="AY944" i="2"/>
  <c r="AZ944" i="2"/>
  <c r="BG944" i="2"/>
  <c r="AY860" i="2"/>
  <c r="BG860" i="2"/>
  <c r="AZ860" i="2"/>
  <c r="BG1145" i="2"/>
  <c r="BH1145" i="2"/>
  <c r="AY1145" i="2"/>
  <c r="BH1198" i="2"/>
  <c r="AY1198" i="2"/>
  <c r="AY1115" i="2"/>
  <c r="AZ1115" i="2"/>
  <c r="AY844" i="2"/>
  <c r="BH844" i="2"/>
  <c r="BG844" i="2"/>
  <c r="BA781" i="2"/>
  <c r="BH781" i="2"/>
  <c r="AZ781" i="2"/>
  <c r="AZ1190" i="2"/>
  <c r="BH1190" i="2"/>
  <c r="AY1119" i="2"/>
  <c r="BG1119" i="2"/>
  <c r="AY1093" i="2"/>
  <c r="BG1093" i="2"/>
  <c r="BH1093" i="2"/>
  <c r="AZ1093" i="2"/>
  <c r="AY720" i="2"/>
  <c r="BG720" i="2"/>
  <c r="AZ720" i="2"/>
  <c r="BH720" i="2"/>
  <c r="AZ1055" i="2"/>
  <c r="BH1055" i="2"/>
  <c r="BG1055" i="2"/>
  <c r="BH926" i="2"/>
  <c r="AZ926" i="2"/>
  <c r="BH1149" i="2"/>
  <c r="AZ1149" i="2"/>
  <c r="BA1149" i="2"/>
  <c r="AY1066" i="2"/>
  <c r="BF1066" i="2"/>
  <c r="AZ1066" i="2"/>
  <c r="BG1066" i="2"/>
  <c r="AY1111" i="2"/>
  <c r="AZ1111" i="2"/>
  <c r="AX779" i="2"/>
  <c r="AY779" i="2"/>
  <c r="BG1152" i="2"/>
  <c r="AZ1152" i="2"/>
  <c r="BH1152" i="2"/>
  <c r="BH1013" i="2"/>
  <c r="BG1013" i="2"/>
  <c r="BA1013" i="2"/>
  <c r="AY1013" i="2"/>
  <c r="BH894" i="2"/>
  <c r="BA894" i="2"/>
  <c r="BF971" i="2"/>
  <c r="BH971" i="2"/>
  <c r="AY971" i="2"/>
  <c r="BF924" i="2"/>
  <c r="AZ924" i="2"/>
  <c r="BH924" i="2"/>
  <c r="BA924" i="2"/>
  <c r="BA1186" i="2"/>
  <c r="BH1186" i="2"/>
  <c r="AZ1103" i="2"/>
  <c r="AY1103" i="2"/>
  <c r="BG1103" i="2"/>
  <c r="BH876" i="2"/>
  <c r="AZ876" i="2"/>
  <c r="BG752" i="2"/>
  <c r="BH752" i="2"/>
  <c r="BH694" i="2"/>
  <c r="BG694" i="2"/>
  <c r="BH852" i="2"/>
  <c r="AZ852" i="2"/>
  <c r="BH939" i="2"/>
  <c r="AZ939" i="2"/>
  <c r="AY939" i="2"/>
  <c r="BG939" i="2"/>
  <c r="BA766" i="2"/>
  <c r="AZ766" i="2"/>
  <c r="BH766" i="2"/>
  <c r="AZ773" i="2"/>
  <c r="BH773" i="2"/>
  <c r="BE596" i="2"/>
  <c r="BH596" i="2"/>
  <c r="BG636" i="2"/>
  <c r="AY636" i="2"/>
  <c r="AZ636" i="2"/>
  <c r="AZ558" i="2"/>
  <c r="BF558" i="2"/>
  <c r="BG232" i="2"/>
  <c r="BH232" i="2"/>
  <c r="AX549" i="2"/>
  <c r="BH549" i="2"/>
  <c r="AY550" i="2"/>
  <c r="AZ550" i="2"/>
  <c r="AZ224" i="2"/>
  <c r="BH224" i="2"/>
  <c r="BH758" i="2"/>
  <c r="BA758" i="2"/>
  <c r="BH569" i="2"/>
  <c r="AZ569" i="2"/>
  <c r="BF533" i="2"/>
  <c r="BA533" i="2"/>
  <c r="AZ207" i="2"/>
  <c r="BH207" i="2"/>
  <c r="BA207" i="2"/>
  <c r="AZ1105" i="2"/>
  <c r="BH1105" i="2"/>
  <c r="AZ468" i="2"/>
  <c r="BH468" i="2"/>
  <c r="BA468" i="2"/>
  <c r="BA16" i="2"/>
  <c r="BG603" i="2"/>
  <c r="BH603" i="2"/>
  <c r="BA552" i="2"/>
  <c r="BG184" i="2"/>
  <c r="BH184" i="2"/>
  <c r="AZ184" i="2"/>
  <c r="BH86" i="2"/>
  <c r="BA98" i="2"/>
  <c r="BH535" i="2"/>
  <c r="BA535" i="2"/>
  <c r="BG437" i="2"/>
  <c r="BH437" i="2"/>
  <c r="BH442" i="2"/>
  <c r="AZ442" i="2"/>
  <c r="BA442" i="2"/>
  <c r="BE247" i="2"/>
  <c r="BH247" i="2"/>
  <c r="BH219" i="2"/>
  <c r="AZ557" i="2"/>
  <c r="BH557" i="2"/>
  <c r="BH200" i="2"/>
  <c r="BA200" i="2"/>
  <c r="BA306" i="2"/>
  <c r="BH306" i="2"/>
  <c r="BG347" i="2"/>
  <c r="BF347" i="2"/>
  <c r="AV351" i="2"/>
  <c r="BA351" i="2"/>
  <c r="BA455" i="2"/>
  <c r="BH455" i="2"/>
  <c r="AZ102" i="2"/>
  <c r="AZ460" i="2"/>
  <c r="BG460" i="2"/>
  <c r="BH460" i="2"/>
  <c r="AZ595" i="2"/>
  <c r="AY595" i="2"/>
  <c r="AZ65" i="2"/>
  <c r="AZ295" i="2"/>
  <c r="BF295" i="2"/>
  <c r="BH719" i="2"/>
  <c r="BA719" i="2"/>
  <c r="BF137" i="2"/>
  <c r="AV726" i="2"/>
  <c r="AY726" i="2"/>
  <c r="AZ726" i="2"/>
  <c r="BH370" i="2"/>
  <c r="BA370" i="2"/>
  <c r="BG370" i="2"/>
  <c r="BH481" i="2"/>
  <c r="BG481" i="2"/>
  <c r="AW696" i="2"/>
  <c r="AW864" i="2"/>
  <c r="BA1132" i="2"/>
  <c r="BA1066" i="2"/>
  <c r="BA828" i="2"/>
  <c r="BA940" i="2"/>
  <c r="BA596" i="2"/>
  <c r="BA840" i="2"/>
  <c r="BA1152" i="2"/>
  <c r="BA833" i="2"/>
  <c r="BA1145" i="2"/>
  <c r="BA765" i="2"/>
  <c r="AZ596" i="2"/>
  <c r="BA773" i="2"/>
  <c r="BH1024" i="2"/>
  <c r="BH1119" i="2"/>
  <c r="BH1087" i="2"/>
  <c r="BH809" i="2"/>
  <c r="AZ1156" i="2"/>
  <c r="BF779" i="2"/>
  <c r="BB648" i="2"/>
  <c r="BB1069" i="2"/>
  <c r="BA860" i="2"/>
  <c r="BA694" i="2"/>
  <c r="BA926" i="2"/>
  <c r="BA1089" i="2"/>
  <c r="BA610" i="2"/>
  <c r="BA1156" i="2"/>
  <c r="BA549" i="2"/>
  <c r="BA980" i="2"/>
  <c r="BA986" i="2"/>
  <c r="BA971" i="2"/>
  <c r="BA569" i="2"/>
  <c r="BA1093" i="2"/>
  <c r="BA848" i="2"/>
  <c r="AZ533" i="2"/>
  <c r="AZ1024" i="2"/>
  <c r="BH918" i="2"/>
  <c r="BH777" i="2"/>
  <c r="BH1125" i="2"/>
  <c r="BH980" i="2"/>
  <c r="BH779" i="2"/>
  <c r="BH1111" i="2"/>
  <c r="BH944" i="2"/>
  <c r="BH444" i="2"/>
  <c r="BH296" i="2"/>
  <c r="AZ779" i="2"/>
  <c r="AZ455" i="2"/>
  <c r="AZ904" i="2"/>
  <c r="BG971" i="2"/>
  <c r="AW633" i="2"/>
  <c r="BB1123" i="2"/>
  <c r="BA577" i="2"/>
  <c r="BA762" i="2"/>
  <c r="BA876" i="2"/>
  <c r="BA720" i="2"/>
  <c r="BA945" i="2"/>
  <c r="BA944" i="2"/>
  <c r="BH906" i="2"/>
  <c r="BA648" i="2"/>
  <c r="BA853" i="2"/>
  <c r="BA1123" i="2"/>
  <c r="BA880" i="2"/>
  <c r="BH998" i="2"/>
  <c r="BH864" i="2"/>
  <c r="AW833" i="2"/>
  <c r="BB1089" i="2"/>
  <c r="BA1055" i="2"/>
  <c r="BA779" i="2"/>
  <c r="BA956" i="2"/>
  <c r="BA844" i="2"/>
  <c r="AZ549" i="2"/>
  <c r="BA589" i="2"/>
  <c r="BA852" i="2"/>
  <c r="BH533" i="2"/>
  <c r="BH787" i="2"/>
  <c r="BH956" i="2"/>
  <c r="BH589" i="2"/>
  <c r="AZ351" i="2"/>
  <c r="AZ844" i="2"/>
  <c r="BA1198" i="2"/>
  <c r="BA1111" i="2"/>
  <c r="BA809" i="2"/>
  <c r="BA904" i="2"/>
  <c r="BH550" i="2"/>
  <c r="BH1066" i="2"/>
  <c r="AZ1127" i="2"/>
  <c r="BH8" i="2"/>
  <c r="BH912" i="2"/>
  <c r="BH848" i="2"/>
  <c r="BH945" i="2"/>
  <c r="BH1132" i="2"/>
  <c r="AZ1186" i="2"/>
  <c r="AZ840" i="2"/>
  <c r="AZ1119" i="2"/>
  <c r="BB1060" i="2"/>
  <c r="AW904" i="2"/>
  <c r="BB1127" i="2"/>
  <c r="BA864" i="2"/>
  <c r="BA704" i="2"/>
  <c r="BA636" i="2"/>
  <c r="AZ795" i="2"/>
  <c r="AZ232" i="2"/>
  <c r="BA1190" i="2"/>
  <c r="BH840" i="2"/>
  <c r="BH552" i="2"/>
  <c r="AZ995" i="2"/>
  <c r="AZ1013" i="2"/>
  <c r="AZ971" i="2"/>
  <c r="BH995" i="2"/>
  <c r="AX833" i="2"/>
  <c r="BG1087" i="2"/>
  <c r="BA114" i="2"/>
  <c r="BA107" i="2"/>
  <c r="BH235" i="2"/>
  <c r="BH283" i="2"/>
  <c r="AY186" i="2"/>
  <c r="BG1203" i="2"/>
  <c r="AY978" i="2"/>
  <c r="AZ258" i="2"/>
  <c r="BA281" i="2"/>
  <c r="AZ244" i="2"/>
  <c r="BH162" i="2"/>
  <c r="AZ107" i="2"/>
  <c r="BF721" i="2"/>
  <c r="AZ859" i="2"/>
  <c r="BF1092" i="2"/>
  <c r="AZ1165" i="2"/>
  <c r="AZ1193" i="2"/>
  <c r="BH988" i="2"/>
  <c r="BH1191" i="2"/>
  <c r="BG628" i="2"/>
  <c r="BH887" i="2"/>
  <c r="AY918" i="2"/>
  <c r="AZ628" i="2"/>
  <c r="BF628" i="2"/>
  <c r="BH1171" i="2"/>
  <c r="BG746" i="2"/>
  <c r="AZ837" i="2"/>
  <c r="AY656" i="2"/>
  <c r="AX566" i="2"/>
  <c r="BF24" i="2"/>
  <c r="BG274" i="2"/>
  <c r="BE294" i="2"/>
  <c r="BG48" i="2"/>
  <c r="AX646" i="2"/>
  <c r="AW474" i="2"/>
  <c r="BG763" i="2"/>
  <c r="BH574" i="2"/>
  <c r="BG714" i="2"/>
  <c r="BG651" i="2"/>
  <c r="AZ758" i="2"/>
  <c r="AZ706" i="2"/>
  <c r="AZ542" i="2"/>
  <c r="BG619" i="2"/>
  <c r="AZ347" i="2"/>
  <c r="BG135" i="2"/>
  <c r="BH962" i="2"/>
  <c r="BG556" i="2"/>
  <c r="AZ787" i="2"/>
  <c r="BH937" i="2"/>
  <c r="AZ644" i="2"/>
  <c r="AZ880" i="2"/>
  <c r="BH869" i="2"/>
  <c r="BG1105" i="2"/>
  <c r="AZ676" i="2"/>
  <c r="BG510" i="2"/>
  <c r="AZ810" i="2"/>
  <c r="AZ77" i="2"/>
  <c r="AY460" i="2"/>
  <c r="BG595" i="2"/>
  <c r="AY538" i="2"/>
  <c r="BG137" i="2"/>
  <c r="AZ271" i="2"/>
  <c r="AX561" i="2"/>
  <c r="AZ481" i="2"/>
  <c r="BG527" i="2"/>
  <c r="AZ69" i="2"/>
  <c r="AZ73" i="2"/>
  <c r="BH185" i="2"/>
  <c r="BH265" i="2"/>
  <c r="AX903" i="2"/>
  <c r="BG765" i="2"/>
  <c r="AZ752" i="2"/>
  <c r="AZ1098" i="2"/>
  <c r="BG1071" i="2"/>
  <c r="BG956" i="2"/>
  <c r="AY1079" i="2"/>
  <c r="BH940" i="2"/>
  <c r="BG1114" i="2"/>
  <c r="BG1108" i="2"/>
  <c r="BG947" i="2"/>
  <c r="BG1183" i="2"/>
  <c r="BG1020" i="2"/>
  <c r="BG1142" i="2"/>
  <c r="BG1100" i="2"/>
  <c r="BG981" i="2"/>
  <c r="BG1118" i="2"/>
  <c r="AY840" i="2"/>
  <c r="BG945" i="2"/>
  <c r="BH1031" i="2"/>
  <c r="AZ986" i="2"/>
  <c r="BH915" i="2"/>
  <c r="BH957" i="2"/>
  <c r="AZ878" i="2"/>
  <c r="AZ1030" i="2"/>
  <c r="AZ753" i="2"/>
  <c r="AZ1174" i="2"/>
  <c r="BH729" i="2"/>
  <c r="BH1077" i="2"/>
  <c r="BH941" i="2"/>
  <c r="AZ1097" i="2"/>
  <c r="BG1041" i="2"/>
  <c r="BG660" i="2"/>
  <c r="AZ1198" i="2"/>
  <c r="AW762" i="2"/>
  <c r="BG762" i="2"/>
  <c r="AZ762" i="2"/>
  <c r="AZ579" i="2"/>
  <c r="BG579" i="2"/>
  <c r="BG657" i="2"/>
  <c r="AZ657" i="2"/>
  <c r="AU558" i="2"/>
  <c r="AY558" i="2"/>
  <c r="AX558" i="2"/>
  <c r="BH558" i="2"/>
  <c r="BG558" i="2"/>
  <c r="AZ1153" i="2"/>
  <c r="BH1153" i="2"/>
  <c r="BF224" i="2"/>
  <c r="BG224" i="2"/>
  <c r="AV541" i="2"/>
  <c r="BF541" i="2"/>
  <c r="BG541" i="2"/>
  <c r="AV1137" i="2"/>
  <c r="AZ1137" i="2"/>
  <c r="BE216" i="2"/>
  <c r="BG216" i="2"/>
  <c r="AZ216" i="2"/>
  <c r="BF411" i="2"/>
  <c r="AZ411" i="2"/>
  <c r="BG411" i="2"/>
  <c r="BE16" i="2"/>
  <c r="BG16" i="2"/>
  <c r="BF759" i="2"/>
  <c r="AZ759" i="2"/>
  <c r="BH759" i="2"/>
  <c r="AY682" i="2"/>
  <c r="BH682" i="2"/>
  <c r="BG682" i="2"/>
  <c r="AZ1059" i="2"/>
  <c r="BH1059" i="2"/>
  <c r="BE464" i="2"/>
  <c r="BH464" i="2"/>
  <c r="BG464" i="2"/>
  <c r="AZ464" i="2"/>
  <c r="AX548" i="2"/>
  <c r="BH548" i="2"/>
  <c r="AZ548" i="2"/>
  <c r="BG515" i="2"/>
  <c r="AY515" i="2"/>
  <c r="AZ515" i="2"/>
  <c r="BF406" i="2"/>
  <c r="AY406" i="2"/>
  <c r="BG406" i="2"/>
  <c r="AZ406" i="2"/>
  <c r="AY7" i="2"/>
  <c r="BG7" i="2"/>
  <c r="BG889" i="2"/>
  <c r="BH889" i="2"/>
  <c r="BG552" i="2"/>
  <c r="AZ552" i="2"/>
  <c r="BG674" i="2"/>
  <c r="BH674" i="2"/>
  <c r="BE798" i="2"/>
  <c r="AZ798" i="2"/>
  <c r="AX798" i="2"/>
  <c r="AY798" i="2"/>
  <c r="AY502" i="2"/>
  <c r="AZ502" i="2"/>
  <c r="BG502" i="2"/>
  <c r="BG175" i="2"/>
  <c r="BH175" i="2"/>
  <c r="AV910" i="2"/>
  <c r="BG910" i="2"/>
  <c r="AY910" i="2"/>
  <c r="AZ910" i="2"/>
  <c r="BF910" i="2"/>
  <c r="AV1033" i="2"/>
  <c r="AZ1033" i="2"/>
  <c r="BG444" i="2"/>
  <c r="AY444" i="2"/>
  <c r="BF211" i="2"/>
  <c r="BG211" i="2"/>
  <c r="AX369" i="2"/>
  <c r="BF369" i="2"/>
  <c r="BH369" i="2"/>
  <c r="AZ369" i="2"/>
  <c r="AY86" i="2"/>
  <c r="BG86" i="2"/>
  <c r="AU414" i="2"/>
  <c r="BF414" i="2"/>
  <c r="AX414" i="2"/>
  <c r="AY414" i="2"/>
  <c r="AZ414" i="2"/>
  <c r="BG414" i="2"/>
  <c r="AY172" i="2"/>
  <c r="BF172" i="2"/>
  <c r="BG172" i="2"/>
  <c r="AX172" i="2"/>
  <c r="BE8" i="2"/>
  <c r="BG8" i="2"/>
  <c r="BD293" i="2"/>
  <c r="BH293" i="2"/>
  <c r="AZ293" i="2"/>
  <c r="BG293" i="2"/>
  <c r="AW293" i="2"/>
  <c r="BF293" i="2"/>
  <c r="BF535" i="2"/>
  <c r="BG535" i="2"/>
  <c r="AY535" i="2"/>
  <c r="AX535" i="2"/>
  <c r="AZ535" i="2"/>
  <c r="BG256" i="2"/>
  <c r="BH256" i="2"/>
  <c r="BG164" i="2"/>
  <c r="AZ164" i="2"/>
  <c r="BH164" i="2"/>
  <c r="BF317" i="2"/>
  <c r="BG317" i="2"/>
  <c r="BE276" i="2"/>
  <c r="BG276" i="2"/>
  <c r="AY276" i="2"/>
  <c r="BF276" i="2"/>
  <c r="AZ276" i="2"/>
  <c r="AY413" i="2"/>
  <c r="BG413" i="2"/>
  <c r="AX413" i="2"/>
  <c r="BF413" i="2"/>
  <c r="AV390" i="2"/>
  <c r="BF390" i="2"/>
  <c r="BG390" i="2"/>
  <c r="AX390" i="2"/>
  <c r="AW390" i="2"/>
  <c r="AZ390" i="2"/>
  <c r="AY437" i="2"/>
  <c r="AZ437" i="2"/>
  <c r="AX437" i="2"/>
  <c r="AW437" i="2"/>
  <c r="AX70" i="2"/>
  <c r="AZ70" i="2"/>
  <c r="BF247" i="2"/>
  <c r="BG247" i="2"/>
  <c r="BF219" i="2"/>
  <c r="AZ219" i="2"/>
  <c r="AZ506" i="2"/>
  <c r="BH506" i="2"/>
  <c r="BG506" i="2"/>
  <c r="BF261" i="2"/>
  <c r="BG261" i="2"/>
  <c r="AX261" i="2"/>
  <c r="AX270" i="2"/>
  <c r="AY270" i="2"/>
  <c r="BG270" i="2"/>
  <c r="BH270" i="2"/>
  <c r="AU557" i="2"/>
  <c r="AX557" i="2"/>
  <c r="AY557" i="2"/>
  <c r="BG557" i="2"/>
  <c r="AU665" i="2"/>
  <c r="BH665" i="2"/>
  <c r="BG665" i="2"/>
  <c r="AZ665" i="2"/>
  <c r="AV850" i="2"/>
  <c r="BF850" i="2"/>
  <c r="BG850" i="2"/>
  <c r="AX326" i="2"/>
  <c r="BF326" i="2"/>
  <c r="BE326" i="2"/>
  <c r="AZ326" i="2"/>
  <c r="BH326" i="2"/>
  <c r="AY326" i="2"/>
  <c r="BG326" i="2"/>
  <c r="BD306" i="2"/>
  <c r="AZ306" i="2"/>
  <c r="AU912" i="2"/>
  <c r="AZ912" i="2"/>
  <c r="BF183" i="2"/>
  <c r="BG183" i="2"/>
  <c r="BH183" i="2"/>
  <c r="AX183" i="2"/>
  <c r="BG23" i="2"/>
  <c r="BF23" i="2"/>
  <c r="BH23" i="2"/>
  <c r="AU296" i="2"/>
  <c r="BF296" i="2"/>
  <c r="AX296" i="2"/>
  <c r="AY296" i="2"/>
  <c r="BG296" i="2"/>
  <c r="BG866" i="2"/>
  <c r="AX866" i="2"/>
  <c r="AY866" i="2"/>
  <c r="AU341" i="2"/>
  <c r="BG341" i="2"/>
  <c r="BH341" i="2"/>
  <c r="AZ341" i="2"/>
  <c r="BF431" i="2"/>
  <c r="AY431" i="2"/>
  <c r="BH431" i="2"/>
  <c r="AZ431" i="2"/>
  <c r="AY409" i="2"/>
  <c r="BG409" i="2"/>
  <c r="AZ409" i="2"/>
  <c r="BF93" i="2"/>
  <c r="BG93" i="2"/>
  <c r="AY93" i="2"/>
  <c r="BF455" i="2"/>
  <c r="BG455" i="2"/>
  <c r="BG287" i="2"/>
  <c r="AX287" i="2"/>
  <c r="AY287" i="2"/>
  <c r="BF287" i="2"/>
  <c r="BG251" i="2"/>
  <c r="AX251" i="2"/>
  <c r="AV582" i="2"/>
  <c r="BG582" i="2"/>
  <c r="BF582" i="2"/>
  <c r="AY582" i="2"/>
  <c r="AX291" i="2"/>
  <c r="BF291" i="2"/>
  <c r="AY291" i="2"/>
  <c r="AZ291" i="2"/>
  <c r="AV685" i="2"/>
  <c r="AZ685" i="2"/>
  <c r="AU295" i="2"/>
  <c r="BG295" i="2"/>
  <c r="AV865" i="2"/>
  <c r="BH865" i="2"/>
  <c r="AY90" i="2"/>
  <c r="AX90" i="2"/>
  <c r="BF90" i="2"/>
  <c r="BG90" i="2"/>
  <c r="BH90" i="2"/>
  <c r="AY370" i="2"/>
  <c r="BD370" i="2"/>
  <c r="AV350" i="2"/>
  <c r="BG350" i="2"/>
  <c r="AX350" i="2"/>
  <c r="BH350" i="2"/>
  <c r="AX262" i="2"/>
  <c r="BG262" i="2"/>
  <c r="AY391" i="2"/>
  <c r="AX391" i="2"/>
  <c r="BG391" i="2"/>
  <c r="BG396" i="2"/>
  <c r="AZ396" i="2"/>
  <c r="AY396" i="2"/>
  <c r="BH396" i="2"/>
  <c r="AZ475" i="2"/>
  <c r="AY475" i="2"/>
  <c r="AX475" i="2"/>
  <c r="BG475" i="2"/>
  <c r="AX524" i="2"/>
  <c r="BG524" i="2"/>
  <c r="BF524" i="2"/>
  <c r="BH524" i="2"/>
  <c r="AZ524" i="2"/>
  <c r="AY524" i="2"/>
  <c r="BG150" i="2"/>
  <c r="BF150" i="2"/>
  <c r="AX459" i="2"/>
  <c r="AZ459" i="2"/>
  <c r="AY181" i="2"/>
  <c r="BG181" i="2"/>
  <c r="BG190" i="2"/>
  <c r="BH190" i="2"/>
  <c r="AX397" i="2"/>
  <c r="BG397" i="2"/>
  <c r="BF397" i="2"/>
  <c r="AZ397" i="2"/>
  <c r="AW397" i="2"/>
  <c r="BH397" i="2"/>
  <c r="BE397" i="2"/>
  <c r="AV916" i="2"/>
  <c r="BG916" i="2"/>
  <c r="AY916" i="2"/>
  <c r="AZ916" i="2"/>
  <c r="BH916" i="2"/>
  <c r="AV511" i="2"/>
  <c r="BG511" i="2"/>
  <c r="BH511" i="2"/>
  <c r="BG14" i="2"/>
  <c r="BF14" i="2"/>
  <c r="AZ14" i="2"/>
  <c r="BH14" i="2"/>
  <c r="BF244" i="2"/>
  <c r="BG244" i="2"/>
  <c r="BF258" i="2"/>
  <c r="AX258" i="2"/>
  <c r="BF154" i="2"/>
  <c r="BD154" i="2"/>
  <c r="BG154" i="2"/>
  <c r="AY268" i="2"/>
  <c r="AX268" i="2"/>
  <c r="BG268" i="2"/>
  <c r="BF268" i="2"/>
  <c r="BF21" i="2"/>
  <c r="BD21" i="2"/>
  <c r="BG21" i="2"/>
  <c r="BF147" i="2"/>
  <c r="AX147" i="2"/>
  <c r="AX87" i="2"/>
  <c r="BF87" i="2"/>
  <c r="BG87" i="2"/>
  <c r="BF301" i="2"/>
  <c r="BG301" i="2"/>
  <c r="AY628" i="2"/>
  <c r="BE628" i="2"/>
  <c r="BF83" i="2"/>
  <c r="BG83" i="2"/>
  <c r="BH83" i="2"/>
  <c r="BE83" i="2"/>
  <c r="BF267" i="2"/>
  <c r="AY267" i="2"/>
  <c r="BG267" i="2"/>
  <c r="BG203" i="2"/>
  <c r="AZ203" i="2"/>
  <c r="AY333" i="2"/>
  <c r="AX333" i="2"/>
  <c r="BF333" i="2"/>
  <c r="AZ333" i="2"/>
  <c r="BG333" i="2"/>
  <c r="BG141" i="2"/>
  <c r="BF141" i="2"/>
  <c r="BF162" i="2"/>
  <c r="BE162" i="2"/>
  <c r="AX162" i="2"/>
  <c r="AZ162" i="2"/>
  <c r="BF81" i="2"/>
  <c r="BG81" i="2"/>
  <c r="AY337" i="2"/>
  <c r="BF337" i="2"/>
  <c r="AW337" i="2"/>
  <c r="AX337" i="2"/>
  <c r="BG337" i="2"/>
  <c r="BG430" i="2"/>
  <c r="AX430" i="2"/>
  <c r="AV430" i="2"/>
  <c r="AY430" i="2"/>
  <c r="AZ430" i="2"/>
  <c r="AU430" i="2"/>
  <c r="BF430" i="2"/>
  <c r="BH10" i="2"/>
  <c r="BG10" i="2"/>
  <c r="BF10" i="2"/>
  <c r="BG281" i="2"/>
  <c r="BF281" i="2"/>
  <c r="BF12" i="2"/>
  <c r="BG12" i="2"/>
  <c r="BH12" i="2"/>
  <c r="BH951" i="2"/>
  <c r="BH706" i="2"/>
  <c r="AZ915" i="2"/>
  <c r="BH351" i="2"/>
  <c r="AZ183" i="2"/>
  <c r="BH1175" i="2"/>
  <c r="BF164" i="2"/>
  <c r="AY878" i="2"/>
  <c r="BF437" i="2"/>
  <c r="BF86" i="2"/>
  <c r="AZ941" i="2"/>
  <c r="AZ1143" i="2"/>
  <c r="BH1143" i="2"/>
  <c r="AZ819" i="2"/>
  <c r="BH819" i="2"/>
  <c r="AY743" i="2"/>
  <c r="AZ743" i="2"/>
  <c r="BH743" i="2"/>
  <c r="BH1140" i="2"/>
  <c r="AZ1140" i="2"/>
  <c r="BE701" i="2"/>
  <c r="BG701" i="2"/>
  <c r="BF701" i="2"/>
  <c r="AZ701" i="2"/>
  <c r="BG984" i="2"/>
  <c r="AZ984" i="2"/>
  <c r="BG1031" i="2"/>
  <c r="AY1031" i="2"/>
  <c r="AX1031" i="2"/>
  <c r="BF692" i="2"/>
  <c r="BG692" i="2"/>
  <c r="AY692" i="2"/>
  <c r="AX1082" i="2"/>
  <c r="BG1082" i="2"/>
  <c r="AY1082" i="2"/>
  <c r="BH1082" i="2"/>
  <c r="BG1109" i="2"/>
  <c r="AX1038" i="2"/>
  <c r="BG955" i="2"/>
  <c r="AY955" i="2"/>
  <c r="AZ955" i="2"/>
  <c r="AZ993" i="2"/>
  <c r="BH993" i="2"/>
  <c r="BF1113" i="2"/>
  <c r="AY1113" i="2"/>
  <c r="BF1042" i="2"/>
  <c r="BG1042" i="2"/>
  <c r="BH1042" i="2"/>
  <c r="AZ1042" i="2"/>
  <c r="AX959" i="2"/>
  <c r="BF959" i="2"/>
  <c r="BH959" i="2"/>
  <c r="BF1091" i="2"/>
  <c r="AX1091" i="2"/>
  <c r="AZ1091" i="2"/>
  <c r="BF830" i="2"/>
  <c r="AZ830" i="2"/>
  <c r="AZ792" i="2"/>
  <c r="BG792" i="2"/>
  <c r="AZ1138" i="2"/>
  <c r="BH1138" i="2"/>
  <c r="BG1067" i="2"/>
  <c r="AZ1067" i="2"/>
  <c r="AY861" i="2"/>
  <c r="BH861" i="2"/>
  <c r="AY1014" i="2"/>
  <c r="BH1014" i="2"/>
  <c r="BF1026" i="2"/>
  <c r="BH1193" i="2"/>
  <c r="BH701" i="2"/>
  <c r="BH619" i="2"/>
  <c r="BH859" i="2"/>
  <c r="BH1165" i="2"/>
  <c r="AZ988" i="2"/>
  <c r="AZ816" i="2"/>
  <c r="AZ714" i="2"/>
  <c r="AZ608" i="2"/>
  <c r="AZ211" i="2"/>
  <c r="AZ866" i="2"/>
  <c r="AZ23" i="2"/>
  <c r="AZ317" i="2"/>
  <c r="BH955" i="2"/>
  <c r="BH1135" i="2"/>
  <c r="BH1109" i="2"/>
  <c r="BH651" i="2"/>
  <c r="AZ603" i="2"/>
  <c r="AZ1113" i="2"/>
  <c r="AZ794" i="2"/>
  <c r="AZ674" i="2"/>
  <c r="AZ889" i="2"/>
  <c r="AZ619" i="2"/>
  <c r="AY293" i="2"/>
  <c r="BG798" i="2"/>
  <c r="AU390" i="2"/>
  <c r="BG369" i="2"/>
  <c r="BA819" i="2"/>
  <c r="BH1113" i="2"/>
  <c r="AZ510" i="2"/>
  <c r="AZ682" i="2"/>
  <c r="BF216" i="2"/>
  <c r="BF798" i="2"/>
  <c r="AY390" i="2"/>
  <c r="BG431" i="2"/>
  <c r="BG549" i="2"/>
  <c r="AY350" i="2"/>
  <c r="AW1179" i="2"/>
  <c r="AY1179" i="2"/>
  <c r="BG874" i="2"/>
  <c r="BF874" i="2"/>
  <c r="BG1059" i="2"/>
  <c r="AY288" i="2"/>
  <c r="BG288" i="2"/>
  <c r="AY271" i="2"/>
  <c r="AX442" i="2"/>
  <c r="BF443" i="2"/>
  <c r="BG443" i="2"/>
  <c r="AY996" i="2"/>
  <c r="BF996" i="2"/>
  <c r="BG685" i="2"/>
  <c r="AU458" i="2"/>
  <c r="AX458" i="2"/>
  <c r="BG57" i="2"/>
  <c r="BF57" i="2"/>
  <c r="BF375" i="2"/>
  <c r="AX375" i="2"/>
  <c r="BG375" i="2"/>
  <c r="BE284" i="2"/>
  <c r="AX284" i="2"/>
  <c r="BF284" i="2"/>
  <c r="BE278" i="2"/>
  <c r="AY278" i="2"/>
  <c r="BF518" i="2"/>
  <c r="AX518" i="2"/>
  <c r="AY703" i="2"/>
  <c r="BG703" i="2"/>
  <c r="BF703" i="2"/>
  <c r="BF490" i="2"/>
  <c r="BG490" i="2"/>
  <c r="AX490" i="2"/>
  <c r="BG197" i="2"/>
  <c r="BF197" i="2"/>
  <c r="BE206" i="2"/>
  <c r="BG206" i="2"/>
  <c r="BF206" i="2"/>
  <c r="AX424" i="2"/>
  <c r="BG424" i="2"/>
  <c r="BF424" i="2"/>
  <c r="AV503" i="2"/>
  <c r="BG503" i="2"/>
  <c r="BF503" i="2"/>
  <c r="AV670" i="2"/>
  <c r="AU670" i="2"/>
  <c r="BF599" i="2"/>
  <c r="AX599" i="2"/>
  <c r="AU319" i="2"/>
  <c r="BD319" i="2"/>
  <c r="BG319" i="2"/>
  <c r="AX319" i="2"/>
  <c r="AY319" i="2"/>
  <c r="BF234" i="2"/>
  <c r="BG234" i="2"/>
  <c r="AY394" i="2"/>
  <c r="AX394" i="2"/>
  <c r="AY418" i="2"/>
  <c r="AX418" i="2"/>
  <c r="AY423" i="2"/>
  <c r="BG423" i="2"/>
  <c r="BF187" i="2"/>
  <c r="AU486" i="2"/>
  <c r="BG486" i="2"/>
  <c r="BG957" i="2"/>
  <c r="BF896" i="2"/>
  <c r="BG896" i="2"/>
  <c r="AX645" i="2"/>
  <c r="BF645" i="2"/>
  <c r="AY645" i="2"/>
  <c r="AZ887" i="2"/>
  <c r="AZ669" i="2"/>
  <c r="BH645" i="2"/>
  <c r="AX1179" i="2"/>
  <c r="BF1198" i="2"/>
  <c r="AX643" i="2"/>
  <c r="AX521" i="2"/>
  <c r="BD645" i="2"/>
  <c r="BG700" i="2"/>
  <c r="BF1111" i="2"/>
  <c r="BG1111" i="2"/>
  <c r="AY806" i="2"/>
  <c r="BG718" i="2"/>
  <c r="BF718" i="2"/>
  <c r="AX581" i="2"/>
  <c r="BF581" i="2"/>
  <c r="BF755" i="2"/>
  <c r="BG755" i="2"/>
  <c r="AX689" i="2"/>
  <c r="AY689" i="2"/>
  <c r="AY588" i="2"/>
  <c r="AX588" i="2"/>
  <c r="AZ1199" i="2"/>
  <c r="BG1198" i="2"/>
  <c r="AZ918" i="2"/>
  <c r="AZ957" i="2"/>
  <c r="AX1198" i="2"/>
  <c r="BG496" i="2"/>
  <c r="BG632" i="2"/>
  <c r="BF1179" i="2"/>
  <c r="AY753" i="2"/>
  <c r="AX137" i="2"/>
  <c r="BE283" i="2"/>
  <c r="BF265" i="2"/>
  <c r="AY481" i="2"/>
  <c r="BD203" i="2"/>
  <c r="BH961" i="2"/>
  <c r="BE81" i="2"/>
  <c r="BG644" i="2"/>
  <c r="BG1107" i="2"/>
  <c r="BF780" i="2"/>
  <c r="BF1129" i="2"/>
  <c r="BG893" i="2"/>
  <c r="AX847" i="2"/>
  <c r="BF527" i="2"/>
  <c r="AY507" i="2"/>
  <c r="BG766" i="2"/>
  <c r="AU363" i="2"/>
  <c r="AU565" i="2"/>
  <c r="BF185" i="2"/>
  <c r="AX935" i="2"/>
  <c r="AZ1108" i="2"/>
  <c r="AZ1201" i="2"/>
  <c r="AX726" i="2"/>
  <c r="AZ865" i="2"/>
  <c r="BH1101" i="2"/>
  <c r="BH1030" i="2"/>
  <c r="AZ947" i="2"/>
  <c r="AX1041" i="2"/>
  <c r="AZ809" i="2"/>
  <c r="AZ1045" i="2"/>
  <c r="AZ1147" i="2"/>
  <c r="BF992" i="2"/>
  <c r="AZ1151" i="2"/>
  <c r="BG835" i="2"/>
  <c r="BG1027" i="2"/>
  <c r="BG1115" i="2"/>
  <c r="BF811" i="2"/>
  <c r="BG1032" i="2"/>
  <c r="AY1074" i="2"/>
  <c r="BF1003" i="2"/>
  <c r="AY1206" i="2"/>
  <c r="AY683" i="2"/>
  <c r="AY1104" i="2"/>
  <c r="BF675" i="2"/>
  <c r="AY510" i="2"/>
  <c r="AX320" i="2"/>
  <c r="AY1192" i="2"/>
  <c r="BD667" i="2"/>
  <c r="BF719" i="2"/>
  <c r="AY506" i="2"/>
  <c r="AY316" i="2"/>
  <c r="AW479" i="2"/>
  <c r="AZ895" i="2"/>
  <c r="AZ835" i="2"/>
  <c r="AZ992" i="2"/>
  <c r="AZ765" i="2"/>
  <c r="BF935" i="2"/>
  <c r="BG738" i="2"/>
  <c r="AY668" i="2"/>
  <c r="AY1151" i="2"/>
  <c r="AY1049" i="2"/>
  <c r="AY1045" i="2"/>
  <c r="AY765" i="2"/>
  <c r="AY945" i="2"/>
  <c r="BF668" i="2"/>
  <c r="BF320" i="2"/>
  <c r="BF730" i="2"/>
  <c r="BF588" i="2"/>
  <c r="BF667" i="2"/>
  <c r="AX718" i="2"/>
  <c r="AY755" i="2"/>
  <c r="BG667" i="2"/>
  <c r="BF741" i="2"/>
  <c r="AX660" i="2"/>
  <c r="BG1045" i="2"/>
  <c r="BG1135" i="2"/>
  <c r="BH1199" i="2"/>
  <c r="BG969" i="2"/>
  <c r="BG940" i="2"/>
  <c r="BG865" i="2"/>
  <c r="BG772" i="2"/>
  <c r="AY811" i="2"/>
  <c r="AY940" i="2"/>
  <c r="AY752" i="2"/>
  <c r="AY992" i="2"/>
  <c r="AY1098" i="2"/>
  <c r="BF895" i="2"/>
  <c r="AY514" i="2"/>
  <c r="BF981" i="2"/>
  <c r="AY1016" i="2"/>
  <c r="BH935" i="2"/>
  <c r="AZ738" i="2"/>
  <c r="AZ1181" i="2"/>
  <c r="AZ903" i="2"/>
  <c r="AW701" i="2"/>
  <c r="BF903" i="2"/>
  <c r="BG923" i="2"/>
  <c r="BG913" i="2"/>
  <c r="BG992" i="2"/>
  <c r="BG1104" i="2"/>
  <c r="BG675" i="2"/>
  <c r="AY772" i="2"/>
  <c r="BF689" i="2"/>
  <c r="BF568" i="2"/>
  <c r="AX668" i="2"/>
  <c r="BD588" i="2"/>
  <c r="BG1006" i="2"/>
  <c r="AZ1148" i="2"/>
  <c r="BG972" i="2"/>
  <c r="AX974" i="2"/>
  <c r="AZ890" i="2"/>
  <c r="BG875" i="2"/>
  <c r="AU721" i="2"/>
  <c r="AU668" i="2"/>
  <c r="AY842" i="2"/>
  <c r="BF1128" i="2"/>
  <c r="AU973" i="2"/>
  <c r="BH1187" i="2"/>
  <c r="BG1079" i="2"/>
  <c r="BF913" i="2"/>
  <c r="AX675" i="2"/>
  <c r="BG316" i="2"/>
  <c r="AY1200" i="2"/>
  <c r="BG769" i="2"/>
  <c r="AZ584" i="2"/>
  <c r="AZ913" i="2"/>
  <c r="AZ1079" i="2"/>
  <c r="BG726" i="2"/>
  <c r="BG640" i="2"/>
  <c r="BG1206" i="2"/>
  <c r="BG1056" i="2"/>
  <c r="BG129" i="2"/>
  <c r="BF584" i="2"/>
  <c r="AX632" i="2"/>
  <c r="AY667" i="2"/>
  <c r="AY719" i="2"/>
  <c r="BG809" i="2"/>
  <c r="BA1187" i="2"/>
  <c r="BH1108" i="2"/>
  <c r="BG743" i="2"/>
  <c r="AY913" i="2"/>
  <c r="AX727" i="2"/>
  <c r="BF129" i="2"/>
  <c r="AY1027" i="2"/>
  <c r="AY924" i="2"/>
  <c r="AY1170" i="2"/>
  <c r="BG1201" i="2"/>
  <c r="BG1178" i="2"/>
  <c r="BG1153" i="2"/>
  <c r="AY758" i="2"/>
  <c r="BG187" i="2"/>
  <c r="BF475" i="2"/>
  <c r="AU1137" i="2"/>
  <c r="BF336" i="2"/>
  <c r="BG238" i="2"/>
  <c r="AY445" i="2"/>
  <c r="BF245" i="2"/>
  <c r="BF269" i="2"/>
  <c r="BF156" i="2"/>
  <c r="AX425" i="2"/>
  <c r="BF556" i="2"/>
  <c r="BD523" i="2"/>
  <c r="BG24" i="2"/>
  <c r="AW703" i="2"/>
  <c r="AU513" i="2"/>
  <c r="BF175" i="2"/>
  <c r="BD491" i="2"/>
  <c r="AW381" i="2"/>
  <c r="AY954" i="2"/>
  <c r="BG832" i="2"/>
  <c r="BG1138" i="2"/>
  <c r="BG1014" i="2"/>
  <c r="BG855" i="2"/>
  <c r="AY407" i="2"/>
  <c r="AY358" i="2"/>
  <c r="AY323" i="2"/>
  <c r="AW298" i="2"/>
  <c r="BE167" i="2"/>
  <c r="AY583" i="2"/>
  <c r="BE138" i="2"/>
  <c r="BF212" i="2"/>
  <c r="BF259" i="2"/>
  <c r="AX290" i="2"/>
  <c r="BG1140" i="2"/>
  <c r="AY635" i="2"/>
  <c r="AY529" i="2"/>
  <c r="BF242" i="2"/>
  <c r="BG1134" i="2"/>
  <c r="AY1055" i="2"/>
  <c r="BG1117" i="2"/>
  <c r="BG920" i="2"/>
  <c r="BG978" i="2"/>
  <c r="AY990" i="2"/>
  <c r="BF1193" i="2"/>
  <c r="BG980" i="2"/>
  <c r="BG729" i="2"/>
  <c r="BG794" i="2"/>
  <c r="BG864" i="2"/>
  <c r="AY828" i="2"/>
  <c r="AY1152" i="2"/>
  <c r="BF1071" i="2"/>
  <c r="BF324" i="2"/>
  <c r="AY816" i="2"/>
  <c r="BG649" i="2"/>
  <c r="BF571" i="2"/>
  <c r="BF536" i="2"/>
  <c r="BG1050" i="2"/>
  <c r="AY379" i="2"/>
  <c r="BF302" i="2"/>
  <c r="AY572" i="2"/>
  <c r="BE254" i="2"/>
  <c r="BF587" i="2"/>
  <c r="BF373" i="2"/>
  <c r="AY94" i="2"/>
  <c r="BF285" i="2"/>
  <c r="AX398" i="2"/>
  <c r="BG11" i="2"/>
  <c r="BF51" i="2"/>
  <c r="AY179" i="2"/>
  <c r="AW553" i="2"/>
  <c r="BE567" i="2"/>
  <c r="BG986" i="2"/>
  <c r="BG915" i="2"/>
  <c r="AZ962" i="2"/>
  <c r="AX1113" i="2"/>
  <c r="AY1042" i="2"/>
  <c r="AY1174" i="2"/>
  <c r="AX983" i="2"/>
  <c r="BG901" i="2"/>
  <c r="BF623" i="2"/>
  <c r="BG608" i="2"/>
  <c r="BG1057" i="2"/>
  <c r="AY602" i="2"/>
  <c r="AX1070" i="2"/>
  <c r="BG673" i="2"/>
  <c r="AX996" i="2"/>
  <c r="AY566" i="2"/>
  <c r="AZ930" i="2"/>
  <c r="AZ934" i="2"/>
  <c r="BH1019" i="2"/>
  <c r="AY609" i="2"/>
  <c r="BG609" i="2"/>
  <c r="AY953" i="2"/>
  <c r="BG953" i="2"/>
  <c r="AX1002" i="2"/>
  <c r="BG1002" i="2"/>
  <c r="AY1002" i="2"/>
  <c r="BE665" i="2"/>
  <c r="BF665" i="2"/>
  <c r="BF802" i="2"/>
  <c r="AY802" i="2"/>
  <c r="AX1008" i="2"/>
  <c r="AY1008" i="2"/>
  <c r="BG1008" i="2"/>
  <c r="AY1205" i="2"/>
  <c r="BG1205" i="2"/>
  <c r="BF1051" i="2"/>
  <c r="BG1051" i="2"/>
  <c r="AY1051" i="2"/>
  <c r="AY1209" i="2"/>
  <c r="BG1209" i="2"/>
  <c r="AW889" i="2"/>
  <c r="BE889" i="2"/>
  <c r="AX889" i="2"/>
  <c r="BG1085" i="2"/>
  <c r="AY1085" i="2"/>
  <c r="BE1085" i="2"/>
  <c r="AX1085" i="2"/>
  <c r="BG1012" i="2"/>
  <c r="AY1012" i="2"/>
  <c r="AY764" i="2"/>
  <c r="BG764" i="2"/>
  <c r="AY1110" i="2"/>
  <c r="BG1110" i="2"/>
  <c r="BF1110" i="2"/>
  <c r="AY1039" i="2"/>
  <c r="BG1039" i="2"/>
  <c r="AV1203" i="2"/>
  <c r="AU1203" i="2"/>
  <c r="AY1203" i="2"/>
  <c r="AW653" i="2"/>
  <c r="BF653" i="2"/>
  <c r="AX1166" i="2"/>
  <c r="BG1166" i="2"/>
  <c r="AY756" i="2"/>
  <c r="AY695" i="2"/>
  <c r="BD643" i="2"/>
  <c r="BG564" i="2"/>
  <c r="AY1178" i="2"/>
  <c r="BF1008" i="2"/>
  <c r="AU568" i="2"/>
  <c r="BG568" i="2"/>
  <c r="AV568" i="2"/>
  <c r="AX568" i="2"/>
  <c r="AX671" i="2"/>
  <c r="BG671" i="2"/>
  <c r="BF671" i="2"/>
  <c r="AY671" i="2"/>
  <c r="AY620" i="2"/>
  <c r="BG620" i="2"/>
  <c r="BD620" i="2"/>
  <c r="AX620" i="2"/>
  <c r="BF620" i="2"/>
  <c r="AY825" i="2"/>
  <c r="BG825" i="2"/>
  <c r="BF663" i="2"/>
  <c r="AY663" i="2"/>
  <c r="BG663" i="2"/>
  <c r="AW663" i="2"/>
  <c r="BE663" i="2"/>
  <c r="AX663" i="2"/>
  <c r="AY967" i="2"/>
  <c r="BF967" i="2"/>
  <c r="AX614" i="2"/>
  <c r="AY614" i="2"/>
  <c r="BF614" i="2"/>
  <c r="BG614" i="2"/>
  <c r="BF806" i="2"/>
  <c r="BG806" i="2"/>
  <c r="BE643" i="2"/>
  <c r="BG643" i="2"/>
  <c r="AY280" i="2"/>
  <c r="BF280" i="2"/>
  <c r="BG280" i="2"/>
  <c r="AV785" i="2"/>
  <c r="BF785" i="2"/>
  <c r="BG785" i="2"/>
  <c r="AY785" i="2"/>
  <c r="BF662" i="2"/>
  <c r="AX662" i="2"/>
  <c r="AY662" i="2"/>
  <c r="BG662" i="2"/>
  <c r="BE80" i="2"/>
  <c r="AX80" i="2"/>
  <c r="BG80" i="2"/>
  <c r="BF1070" i="2"/>
  <c r="BF858" i="2"/>
  <c r="BF427" i="2"/>
  <c r="BF449" i="2"/>
  <c r="BG239" i="2"/>
  <c r="BG613" i="2"/>
  <c r="BG327" i="2"/>
  <c r="AY707" i="2"/>
  <c r="AX179" i="2"/>
  <c r="AX254" i="2"/>
  <c r="BF462" i="2"/>
  <c r="BF643" i="2"/>
  <c r="BF334" i="2"/>
  <c r="BF115" i="2"/>
  <c r="BF445" i="2"/>
  <c r="BF407" i="2"/>
  <c r="BF695" i="2"/>
  <c r="BF203" i="2"/>
  <c r="AX583" i="2"/>
  <c r="AX602" i="2"/>
  <c r="BG179" i="2"/>
  <c r="AY398" i="2"/>
  <c r="BD338" i="2"/>
  <c r="BF1034" i="2"/>
  <c r="BE673" i="2"/>
  <c r="AX1126" i="2"/>
  <c r="AX785" i="2"/>
  <c r="BG1168" i="2"/>
  <c r="AU633" i="2"/>
  <c r="AU1180" i="2"/>
  <c r="BE298" i="2"/>
  <c r="BE421" i="2"/>
  <c r="BF1096" i="2"/>
  <c r="BF525" i="2"/>
  <c r="BG526" i="2"/>
  <c r="BF145" i="2"/>
  <c r="BG328" i="2"/>
  <c r="BE201" i="2"/>
  <c r="AU353" i="2"/>
  <c r="BE553" i="2"/>
  <c r="AW418" i="2"/>
  <c r="AX858" i="2"/>
  <c r="BG125" i="2"/>
  <c r="AX449" i="2"/>
  <c r="BG407" i="2"/>
  <c r="BG566" i="2"/>
  <c r="BG334" i="2"/>
  <c r="BG996" i="2"/>
  <c r="BG323" i="2"/>
  <c r="AY547" i="2"/>
  <c r="AY336" i="2"/>
  <c r="AY571" i="2"/>
  <c r="AY453" i="2"/>
  <c r="AY324" i="2"/>
  <c r="AX383" i="2"/>
  <c r="BF94" i="2"/>
  <c r="AX72" i="2"/>
  <c r="BF613" i="2"/>
  <c r="BF381" i="2"/>
  <c r="BF43" i="2"/>
  <c r="BF602" i="2"/>
  <c r="AX379" i="2"/>
  <c r="AX547" i="2"/>
  <c r="AX285" i="2"/>
  <c r="BG228" i="2"/>
  <c r="BD156" i="2"/>
  <c r="BD846" i="2"/>
  <c r="BF641" i="2"/>
  <c r="BG676" i="2"/>
  <c r="BH788" i="2"/>
  <c r="BH1072" i="2"/>
  <c r="BH1208" i="2"/>
  <c r="BH1158" i="2"/>
  <c r="BG744" i="2"/>
  <c r="BG1102" i="2"/>
  <c r="AZ1069" i="2"/>
  <c r="AY999" i="2"/>
  <c r="AZ982" i="2"/>
  <c r="BH989" i="2"/>
  <c r="AW485" i="2"/>
  <c r="AW583" i="2"/>
  <c r="BE514" i="2"/>
  <c r="AX93" i="2"/>
  <c r="AX453" i="2"/>
  <c r="AY462" i="2"/>
  <c r="BG462" i="2"/>
  <c r="AU858" i="2"/>
  <c r="BE443" i="2"/>
  <c r="AW443" i="2"/>
  <c r="AU407" i="2"/>
  <c r="BF122" i="2"/>
  <c r="BG547" i="2"/>
  <c r="BG283" i="2"/>
  <c r="BG635" i="2"/>
  <c r="BG17" i="2"/>
  <c r="AY446" i="2"/>
  <c r="AY443" i="2"/>
  <c r="AY382" i="2"/>
  <c r="AY484" i="2"/>
  <c r="BF379" i="2"/>
  <c r="BF398" i="2"/>
  <c r="BF1152" i="2"/>
  <c r="BF248" i="2"/>
  <c r="BF382" i="2"/>
  <c r="BF228" i="2"/>
  <c r="BF297" i="2"/>
  <c r="AX443" i="2"/>
  <c r="AX336" i="2"/>
  <c r="BF566" i="2"/>
  <c r="AY643" i="2"/>
  <c r="BG94" i="2"/>
  <c r="AX971" i="2"/>
  <c r="AZ723" i="2"/>
  <c r="AY713" i="2"/>
  <c r="AU359" i="2"/>
  <c r="BG336" i="2"/>
  <c r="BG445" i="2"/>
  <c r="BG497" i="2"/>
  <c r="BG324" i="2"/>
  <c r="AY283" i="2"/>
  <c r="AX536" i="2"/>
  <c r="AX265" i="2"/>
  <c r="AX228" i="2"/>
  <c r="BF583" i="2"/>
  <c r="AX266" i="2"/>
  <c r="AX297" i="2"/>
  <c r="BF738" i="2"/>
  <c r="BF1098" i="2"/>
  <c r="AU373" i="2"/>
  <c r="AW514" i="2"/>
  <c r="AV514" i="2"/>
  <c r="AW482" i="2"/>
  <c r="BE149" i="2"/>
  <c r="BG266" i="2"/>
  <c r="BG311" i="2"/>
  <c r="AY613" i="2"/>
  <c r="AY403" i="2"/>
  <c r="AY497" i="2"/>
  <c r="BF547" i="2"/>
  <c r="BF22" i="2"/>
  <c r="BF453" i="2"/>
  <c r="AX382" i="2"/>
  <c r="AY608" i="2"/>
  <c r="AY1050" i="2"/>
  <c r="BG706" i="2"/>
  <c r="AX564" i="2"/>
  <c r="BF419" i="2"/>
  <c r="BG574" i="2"/>
  <c r="AY623" i="2"/>
  <c r="AX960" i="2"/>
  <c r="AX674" i="2"/>
  <c r="BG265" i="2"/>
  <c r="AY311" i="2"/>
  <c r="BF838" i="2"/>
  <c r="BF282" i="2"/>
  <c r="AX327" i="2"/>
  <c r="AY381" i="2"/>
  <c r="AY705" i="2"/>
  <c r="BG887" i="2"/>
  <c r="AY933" i="2"/>
  <c r="BF661" i="2"/>
  <c r="BG873" i="2"/>
  <c r="BF1038" i="2"/>
  <c r="BG816" i="2"/>
  <c r="BG906" i="2"/>
  <c r="AY876" i="2"/>
  <c r="AU328" i="2"/>
  <c r="AV427" i="2"/>
  <c r="AX806" i="2"/>
  <c r="BF440" i="2"/>
  <c r="AW353" i="2"/>
  <c r="BE204" i="2"/>
  <c r="BG1058" i="2"/>
  <c r="BE197" i="2"/>
  <c r="BE646" i="2"/>
  <c r="BE243" i="2"/>
  <c r="AW469" i="2"/>
  <c r="BE474" i="2"/>
  <c r="AY180" i="2"/>
  <c r="AW543" i="2"/>
  <c r="BE136" i="2"/>
  <c r="BG158" i="2"/>
  <c r="BG194" i="2"/>
  <c r="AZ1124" i="2"/>
  <c r="BH964" i="2"/>
  <c r="AZ815" i="2"/>
  <c r="BG442" i="2"/>
  <c r="BF506" i="2"/>
  <c r="AY603" i="2"/>
  <c r="AY347" i="2"/>
  <c r="AX409" i="2"/>
  <c r="AY455" i="2"/>
  <c r="BF595" i="2"/>
  <c r="AW291" i="2"/>
  <c r="BG719" i="2"/>
  <c r="BF370" i="2"/>
  <c r="BF391" i="2"/>
  <c r="BF481" i="2"/>
  <c r="AX181" i="2"/>
  <c r="BF190" i="2"/>
  <c r="BG1189" i="2"/>
  <c r="BG1125" i="2"/>
  <c r="AX659" i="2"/>
  <c r="BF983" i="2"/>
  <c r="AY1149" i="2"/>
  <c r="AX312" i="2"/>
  <c r="AX652" i="2"/>
  <c r="AY949" i="2"/>
  <c r="AY771" i="2"/>
  <c r="AY969" i="2"/>
  <c r="BG540" i="2"/>
  <c r="AX591" i="2"/>
  <c r="AX389" i="2"/>
  <c r="BE140" i="2"/>
  <c r="AY900" i="2"/>
  <c r="AY415" i="2"/>
  <c r="BG308" i="2"/>
  <c r="AY456" i="2"/>
  <c r="AY183" i="2"/>
  <c r="BD287" i="2"/>
  <c r="BF251" i="2"/>
  <c r="BF396" i="2"/>
  <c r="AY641" i="2"/>
  <c r="BG1016" i="2"/>
  <c r="AU1083" i="2"/>
  <c r="BE424" i="2"/>
  <c r="AW336" i="2"/>
  <c r="BF238" i="2"/>
  <c r="AX445" i="2"/>
  <c r="BF753" i="2"/>
  <c r="BF708" i="2"/>
  <c r="BD623" i="2"/>
  <c r="AV575" i="2"/>
  <c r="AY980" i="2"/>
  <c r="BG997" i="2"/>
  <c r="AY729" i="2"/>
  <c r="BG872" i="2"/>
  <c r="AX1168" i="2"/>
  <c r="BG926" i="2"/>
  <c r="AY1001" i="2"/>
  <c r="BG854" i="2"/>
  <c r="AX1015" i="2"/>
  <c r="AX950" i="2"/>
  <c r="BG193" i="2"/>
  <c r="AY565" i="2"/>
  <c r="BE751" i="2"/>
  <c r="BE543" i="2"/>
  <c r="AX419" i="2"/>
  <c r="AY1036" i="2"/>
  <c r="AY929" i="2"/>
  <c r="AV780" i="2"/>
  <c r="AV318" i="2"/>
  <c r="AU691" i="2"/>
  <c r="AV486" i="2"/>
  <c r="BE10" i="2"/>
  <c r="AY673" i="2"/>
  <c r="BF1016" i="2"/>
  <c r="BG983" i="2"/>
  <c r="BG588" i="2"/>
  <c r="BG789" i="2"/>
  <c r="AX772" i="2"/>
  <c r="BF975" i="2"/>
  <c r="BG811" i="2"/>
  <c r="AU503" i="2"/>
  <c r="AZ775" i="2"/>
  <c r="BG773" i="2"/>
  <c r="BG790" i="2"/>
  <c r="BF680" i="2"/>
  <c r="AW422" i="2"/>
  <c r="BE14" i="2"/>
  <c r="AX826" i="2"/>
  <c r="AX673" i="2"/>
  <c r="AY718" i="2"/>
  <c r="AY979" i="2"/>
  <c r="AV759" i="2"/>
  <c r="AX232" i="2"/>
  <c r="AW569" i="2"/>
  <c r="AX533" i="2"/>
  <c r="BE207" i="2"/>
  <c r="AY468" i="2"/>
  <c r="AX759" i="2"/>
  <c r="AY184" i="2"/>
  <c r="AV338" i="2"/>
  <c r="AY919" i="2"/>
  <c r="AY824" i="2"/>
  <c r="BF673" i="2"/>
  <c r="BG523" i="2"/>
  <c r="AY1047" i="2"/>
  <c r="BG776" i="2"/>
  <c r="AX1165" i="2"/>
  <c r="BG1011" i="2"/>
  <c r="BF988" i="2"/>
  <c r="AX1109" i="2"/>
  <c r="AY1211" i="2"/>
  <c r="BF878" i="2"/>
  <c r="AX753" i="2"/>
  <c r="BG1081" i="2"/>
  <c r="AY1091" i="2"/>
  <c r="AX830" i="2"/>
  <c r="BE792" i="2"/>
  <c r="BG1185" i="2"/>
  <c r="AY1033" i="2"/>
  <c r="AY1138" i="2"/>
  <c r="BF1077" i="2"/>
  <c r="AX1014" i="2"/>
  <c r="AX1026" i="2"/>
  <c r="BF943" i="2"/>
  <c r="BE154" i="2"/>
  <c r="AZ576" i="2"/>
  <c r="AZ1038" i="2"/>
  <c r="BF1006" i="2"/>
  <c r="AY660" i="2"/>
  <c r="BG1174" i="2"/>
  <c r="BG962" i="2"/>
  <c r="BG1149" i="2"/>
  <c r="BG1047" i="2"/>
  <c r="BG661" i="2"/>
  <c r="BG943" i="2"/>
  <c r="BG419" i="2"/>
  <c r="AY312" i="2"/>
  <c r="AY710" i="2"/>
  <c r="AY527" i="2"/>
  <c r="AX455" i="2"/>
  <c r="BF442" i="2"/>
  <c r="BF1174" i="2"/>
  <c r="BF918" i="2"/>
  <c r="BF955" i="2"/>
  <c r="BF564" i="2"/>
  <c r="AX370" i="2"/>
  <c r="AX308" i="2"/>
  <c r="AX556" i="2"/>
  <c r="AX703" i="2"/>
  <c r="AX420" i="2"/>
  <c r="AX661" i="2"/>
  <c r="AX582" i="2"/>
  <c r="AY410" i="2"/>
  <c r="BD409" i="2"/>
  <c r="BF1168" i="2"/>
  <c r="BE137" i="2"/>
  <c r="AW409" i="2"/>
  <c r="AX910" i="2"/>
  <c r="AU385" i="2"/>
  <c r="BF157" i="2"/>
  <c r="BF45" i="2"/>
  <c r="AY873" i="2"/>
  <c r="BF1150" i="2"/>
  <c r="BH1120" i="2"/>
  <c r="AZ1075" i="2"/>
  <c r="BA1094" i="2"/>
  <c r="AX882" i="2"/>
  <c r="AZ817" i="2"/>
  <c r="AZ1161" i="2"/>
  <c r="BG538" i="2"/>
  <c r="BG638" i="2"/>
  <c r="BE208" i="2"/>
  <c r="AZ200" i="2"/>
  <c r="BG517" i="2"/>
  <c r="BH392" i="2"/>
  <c r="BE139" i="2"/>
  <c r="BF660" i="2"/>
  <c r="BG653" i="2"/>
  <c r="BG918" i="2"/>
  <c r="BG1038" i="2"/>
  <c r="BG476" i="2"/>
  <c r="BG531" i="2"/>
  <c r="AY1125" i="2"/>
  <c r="AY187" i="2"/>
  <c r="AY317" i="2"/>
  <c r="AY540" i="2"/>
  <c r="AY1135" i="2"/>
  <c r="AY1109" i="2"/>
  <c r="BF786" i="2"/>
  <c r="AX415" i="2"/>
  <c r="BF410" i="2"/>
  <c r="BF659" i="2"/>
  <c r="BF308" i="2"/>
  <c r="BF1082" i="2"/>
  <c r="AX719" i="2"/>
  <c r="AX786" i="2"/>
  <c r="AX595" i="2"/>
  <c r="AX506" i="2"/>
  <c r="AX955" i="2"/>
  <c r="AX540" i="2"/>
  <c r="AX685" i="2"/>
  <c r="AX271" i="2"/>
  <c r="AY830" i="2"/>
  <c r="AY653" i="2"/>
  <c r="BG180" i="2"/>
  <c r="BD595" i="2"/>
  <c r="BD455" i="2"/>
  <c r="AX665" i="2"/>
  <c r="AU350" i="2"/>
  <c r="BG1211" i="2"/>
  <c r="BG933" i="2"/>
  <c r="BG879" i="2"/>
  <c r="AY591" i="2"/>
  <c r="AY872" i="2"/>
  <c r="AY341" i="2"/>
  <c r="AY959" i="2"/>
  <c r="AY420" i="2"/>
  <c r="AY419" i="2"/>
  <c r="AY685" i="2"/>
  <c r="BF523" i="2"/>
  <c r="BF415" i="2"/>
  <c r="BF409" i="2"/>
  <c r="BF312" i="2"/>
  <c r="BF350" i="2"/>
  <c r="BF420" i="2"/>
  <c r="AX792" i="2"/>
  <c r="AX396" i="2"/>
  <c r="AX476" i="2"/>
  <c r="AX317" i="2"/>
  <c r="AX347" i="2"/>
  <c r="BG410" i="2"/>
  <c r="BD139" i="2"/>
  <c r="BF507" i="2"/>
  <c r="BG828" i="2"/>
  <c r="BF1083" i="2"/>
  <c r="AU916" i="2"/>
  <c r="BE336" i="2"/>
  <c r="AW505" i="2"/>
  <c r="AW343" i="2"/>
  <c r="AU421" i="2"/>
  <c r="BG1113" i="2"/>
  <c r="AY1185" i="2"/>
  <c r="AY564" i="2"/>
  <c r="AY943" i="2"/>
  <c r="AY702" i="2"/>
  <c r="AX705" i="2"/>
  <c r="BF792" i="2"/>
  <c r="BF702" i="2"/>
  <c r="BF729" i="2"/>
  <c r="AX334" i="2"/>
  <c r="AY983" i="2"/>
  <c r="BG659" i="2"/>
  <c r="BD719" i="2"/>
  <c r="BG664" i="2"/>
  <c r="BF515" i="2"/>
  <c r="BE172" i="2"/>
  <c r="AX339" i="2"/>
  <c r="AY1038" i="2"/>
  <c r="BG878" i="2"/>
  <c r="BG771" i="2"/>
  <c r="BG507" i="2"/>
  <c r="BG1033" i="2"/>
  <c r="BG959" i="2"/>
  <c r="AY422" i="2"/>
  <c r="AY792" i="2"/>
  <c r="AY661" i="2"/>
  <c r="AY956" i="2"/>
  <c r="AY879" i="2"/>
  <c r="AY596" i="2"/>
  <c r="BF181" i="2"/>
  <c r="BF1109" i="2"/>
  <c r="BF341" i="2"/>
  <c r="AX507" i="2"/>
  <c r="AX341" i="2"/>
  <c r="AX527" i="2"/>
  <c r="AX523" i="2"/>
  <c r="AY334" i="2"/>
  <c r="AY659" i="2"/>
  <c r="AY912" i="2"/>
  <c r="BG271" i="2"/>
  <c r="BD786" i="2"/>
  <c r="BD194" i="2"/>
  <c r="BF726" i="2"/>
  <c r="BF1101" i="2"/>
  <c r="BF872" i="2"/>
  <c r="AX969" i="2"/>
  <c r="BF797" i="2"/>
  <c r="BF879" i="2"/>
  <c r="AU726" i="2"/>
  <c r="AW751" i="2"/>
  <c r="BG830" i="2"/>
  <c r="BG786" i="2"/>
  <c r="BG960" i="2"/>
  <c r="BG741" i="2"/>
  <c r="AY442" i="2"/>
  <c r="AY850" i="2"/>
  <c r="AY960" i="2"/>
  <c r="AY629" i="2"/>
  <c r="AY531" i="2"/>
  <c r="AY865" i="2"/>
  <c r="BF842" i="2"/>
  <c r="AX623" i="2"/>
  <c r="BF531" i="2"/>
  <c r="BF557" i="2"/>
  <c r="BF685" i="2"/>
  <c r="AX653" i="2"/>
  <c r="AX702" i="2"/>
  <c r="AX850" i="2"/>
  <c r="BF180" i="2"/>
  <c r="BG15" i="2"/>
  <c r="AU910" i="2"/>
  <c r="AV475" i="2"/>
  <c r="AW461" i="2"/>
  <c r="BF821" i="2"/>
  <c r="BH909" i="2"/>
  <c r="BH899" i="2"/>
  <c r="AZ946" i="2"/>
  <c r="BH1202" i="2"/>
  <c r="BH1037" i="2"/>
  <c r="BH1080" i="2"/>
  <c r="AZ746" i="2"/>
  <c r="BH542" i="2"/>
  <c r="AZ735" i="2"/>
  <c r="BG699" i="2"/>
  <c r="BE156" i="2"/>
  <c r="BD1026" i="2"/>
  <c r="AX1150" i="2"/>
  <c r="BA1188" i="2"/>
  <c r="AZ1172" i="2"/>
  <c r="AZ732" i="2"/>
  <c r="BA1090" i="2"/>
  <c r="BH922" i="2"/>
  <c r="BF704" i="2"/>
  <c r="AY985" i="2"/>
  <c r="BH813" i="2"/>
  <c r="BH871" i="2"/>
  <c r="BG1092" i="2"/>
  <c r="AY795" i="2"/>
  <c r="AY1086" i="2"/>
  <c r="BH737" i="2"/>
  <c r="BH680" i="2"/>
  <c r="BG908" i="2"/>
  <c r="BG760" i="2"/>
  <c r="AZ885" i="2"/>
  <c r="BH897" i="2"/>
  <c r="AZ862" i="2"/>
  <c r="BG352" i="2"/>
  <c r="BH886" i="2"/>
  <c r="AZ841" i="2"/>
  <c r="AZ1121" i="2"/>
  <c r="BH725" i="2"/>
  <c r="BG560" i="2"/>
  <c r="BH690" i="2"/>
  <c r="BH731" i="2"/>
  <c r="AZ610" i="2"/>
  <c r="BG891" i="2"/>
  <c r="AZ846" i="2"/>
  <c r="BA834" i="2"/>
  <c r="AZ1094" i="2"/>
  <c r="BH1161" i="2"/>
  <c r="BH774" i="2"/>
  <c r="BH982" i="2"/>
  <c r="BH744" i="2"/>
  <c r="BH824" i="2"/>
  <c r="BH630" i="2"/>
  <c r="AZ690" i="2"/>
  <c r="AZ697" i="2"/>
  <c r="AZ408" i="2"/>
  <c r="AZ790" i="2"/>
  <c r="AZ989" i="2"/>
  <c r="AZ517" i="2"/>
  <c r="AZ961" i="2"/>
  <c r="AZ631" i="2"/>
  <c r="AZ193" i="2"/>
  <c r="AZ704" i="2"/>
  <c r="AZ699" i="2"/>
  <c r="AZ638" i="2"/>
  <c r="AZ985" i="2"/>
  <c r="AZ897" i="2"/>
  <c r="AY416" i="2"/>
  <c r="AX999" i="2"/>
  <c r="BE1177" i="2"/>
  <c r="AY1096" i="2"/>
  <c r="BG775" i="2"/>
  <c r="BG412" i="2"/>
  <c r="BG813" i="2"/>
  <c r="BG795" i="2"/>
  <c r="BG392" i="2"/>
  <c r="BG713" i="2"/>
  <c r="AY773" i="2"/>
  <c r="AY1092" i="2"/>
  <c r="AY328" i="2"/>
  <c r="BG753" i="2"/>
  <c r="AV912" i="2"/>
  <c r="BF8" i="2"/>
  <c r="BE245" i="2"/>
  <c r="BB1175" i="2"/>
  <c r="AZ972" i="2"/>
  <c r="BA1148" i="2"/>
  <c r="AZ1158" i="2"/>
  <c r="BH1148" i="2"/>
  <c r="BH723" i="2"/>
  <c r="BH885" i="2"/>
  <c r="BH193" i="2"/>
  <c r="BH1092" i="2"/>
  <c r="BH882" i="2"/>
  <c r="BH760" i="2"/>
  <c r="BH846" i="2"/>
  <c r="AZ208" i="2"/>
  <c r="AZ525" i="2"/>
  <c r="AZ956" i="2"/>
  <c r="AZ392" i="2"/>
  <c r="AZ1177" i="2"/>
  <c r="AZ328" i="2"/>
  <c r="AZ641" i="2"/>
  <c r="BH735" i="2"/>
  <c r="AX416" i="2"/>
  <c r="BG332" i="2"/>
  <c r="BG774" i="2"/>
  <c r="BG631" i="2"/>
  <c r="BG1150" i="2"/>
  <c r="BG704" i="2"/>
  <c r="BG610" i="2"/>
  <c r="BG641" i="2"/>
  <c r="AY930" i="2"/>
  <c r="AY767" i="2"/>
  <c r="BE9" i="2"/>
  <c r="BF596" i="2"/>
  <c r="BF790" i="2"/>
  <c r="AX713" i="2"/>
  <c r="BF922" i="2"/>
  <c r="BG930" i="2"/>
  <c r="BG846" i="2"/>
  <c r="AY676" i="2"/>
  <c r="BF773" i="2"/>
  <c r="BF713" i="2"/>
  <c r="AX773" i="2"/>
  <c r="AX704" i="2"/>
  <c r="BA1172" i="2"/>
  <c r="BH790" i="2"/>
  <c r="BH631" i="2"/>
  <c r="BH775" i="2"/>
  <c r="BH676" i="2"/>
  <c r="BH890" i="2"/>
  <c r="BH699" i="2"/>
  <c r="BH546" i="2"/>
  <c r="BH208" i="2"/>
  <c r="AZ560" i="2"/>
  <c r="AZ526" i="2"/>
  <c r="AZ871" i="2"/>
  <c r="AZ744" i="2"/>
  <c r="AZ713" i="2"/>
  <c r="AZ1006" i="2"/>
  <c r="AY1006" i="2"/>
  <c r="BG1086" i="2"/>
  <c r="AY846" i="2"/>
  <c r="BF1086" i="2"/>
  <c r="BF846" i="2"/>
  <c r="AX790" i="2"/>
  <c r="AX596" i="2"/>
  <c r="BG1026" i="2"/>
  <c r="BG861" i="2"/>
  <c r="BD871" i="2"/>
  <c r="BF980" i="2"/>
  <c r="BF579" i="2"/>
  <c r="AY574" i="2"/>
  <c r="BH605" i="2"/>
  <c r="BH732" i="2"/>
  <c r="BH412" i="2"/>
  <c r="BH1086" i="2"/>
  <c r="AZ1092" i="2"/>
  <c r="AZ1150" i="2"/>
  <c r="AZ813" i="2"/>
  <c r="AZ731" i="2"/>
  <c r="AZ634" i="2"/>
  <c r="BG732" i="2"/>
  <c r="BG546" i="2"/>
  <c r="AY1150" i="2"/>
  <c r="AY332" i="2"/>
  <c r="AY605" i="2"/>
  <c r="AY813" i="2"/>
  <c r="AY871" i="2"/>
  <c r="BF605" i="2"/>
  <c r="BF813" i="2"/>
  <c r="AX641" i="2"/>
  <c r="AX943" i="2"/>
  <c r="AX1086" i="2"/>
  <c r="BH1150" i="2"/>
  <c r="BH636" i="2"/>
  <c r="BH958" i="2"/>
  <c r="BH638" i="2"/>
  <c r="AZ546" i="2"/>
  <c r="AZ908" i="2"/>
  <c r="AZ177" i="2"/>
  <c r="AW1177" i="2"/>
  <c r="BG596" i="2"/>
  <c r="BG356" i="2"/>
  <c r="BG630" i="2"/>
  <c r="AY631" i="2"/>
  <c r="AY525" i="2"/>
  <c r="AY704" i="2"/>
  <c r="BE194" i="2"/>
  <c r="AW1175" i="2"/>
  <c r="BA1175" i="2"/>
  <c r="BG767" i="2"/>
  <c r="BF9" i="2"/>
  <c r="AX846" i="2"/>
  <c r="AY790" i="2"/>
  <c r="AX1092" i="2"/>
  <c r="AZ218" i="2"/>
  <c r="BE381" i="2"/>
  <c r="AW396" i="2"/>
  <c r="BE333" i="2"/>
  <c r="BE164" i="2"/>
  <c r="R10" i="2"/>
  <c r="AY1147" i="2"/>
  <c r="AY1073" i="2"/>
  <c r="BG993" i="2"/>
  <c r="AX1133" i="2"/>
  <c r="BE458" i="2"/>
  <c r="BF635" i="2"/>
  <c r="AX529" i="2"/>
  <c r="AY864" i="2"/>
  <c r="BF1087" i="2"/>
  <c r="BF1062" i="2"/>
  <c r="BF1164" i="2"/>
  <c r="AY1020" i="2"/>
  <c r="AW495" i="2"/>
  <c r="AY1046" i="2"/>
  <c r="BF768" i="2"/>
  <c r="AU1004" i="2"/>
  <c r="BG84" i="2"/>
  <c r="BG147" i="2"/>
  <c r="BE338" i="2"/>
  <c r="BF151" i="2"/>
  <c r="AY1018" i="2"/>
  <c r="AX684" i="2"/>
  <c r="BF787" i="2"/>
  <c r="AX651" i="2"/>
  <c r="AY619" i="2"/>
  <c r="BE11" i="2"/>
  <c r="BE170" i="2"/>
  <c r="AY809" i="2"/>
  <c r="AW528" i="2"/>
  <c r="AW442" i="2"/>
  <c r="AW506" i="2"/>
  <c r="AW347" i="2"/>
  <c r="BE409" i="2"/>
  <c r="BE595" i="2"/>
  <c r="AW370" i="2"/>
  <c r="AX835" i="2"/>
  <c r="BG182" i="2"/>
  <c r="BF1108" i="2"/>
  <c r="AY947" i="2"/>
  <c r="AY1183" i="2"/>
  <c r="AY777" i="2"/>
  <c r="AY843" i="2"/>
  <c r="BG1106" i="2"/>
  <c r="AY1118" i="2"/>
  <c r="AX982" i="2"/>
  <c r="Q105" i="2"/>
  <c r="N221" i="2"/>
  <c r="Q106" i="2" s="1"/>
  <c r="N77" i="2"/>
  <c r="N79" i="2"/>
  <c r="O77" i="2"/>
  <c r="N166" i="2"/>
  <c r="N193" i="2"/>
  <c r="N164" i="2"/>
  <c r="O130" i="2"/>
  <c r="N40" i="2"/>
  <c r="N130" i="2" s="1"/>
  <c r="N41" i="2"/>
  <c r="N131" i="2" s="1"/>
  <c r="O43" i="2"/>
  <c r="O41" i="2"/>
  <c r="O131" i="2" s="1"/>
  <c r="R107" i="2"/>
  <c r="O224" i="2"/>
  <c r="R108" i="2" s="1"/>
  <c r="Q12" i="2"/>
  <c r="Q107" i="2"/>
  <c r="N224" i="2"/>
  <c r="Q108" i="2" s="1"/>
  <c r="O164" i="2"/>
  <c r="O193" i="2"/>
  <c r="Q13" i="2"/>
  <c r="N106" i="2"/>
  <c r="N19" i="2"/>
  <c r="O17" i="2"/>
  <c r="O107" i="2" s="1"/>
  <c r="O226" i="2" s="1"/>
  <c r="N17" i="2"/>
  <c r="N107" i="2" s="1"/>
  <c r="N226" i="2" s="1"/>
  <c r="BH1159" i="2"/>
  <c r="BF962" i="2"/>
  <c r="BF765" i="2"/>
  <c r="AV347" i="2"/>
  <c r="AU850" i="2"/>
  <c r="BF271" i="2"/>
  <c r="AV557" i="2"/>
  <c r="BE506" i="2"/>
  <c r="AW366" i="2"/>
  <c r="BE141" i="2"/>
  <c r="AX288" i="2"/>
  <c r="AX324" i="2"/>
  <c r="AX816" i="2"/>
  <c r="BF649" i="2"/>
  <c r="AX571" i="2"/>
  <c r="AX933" i="2"/>
  <c r="AX1084" i="2"/>
  <c r="BG536" i="2"/>
  <c r="BD379" i="2"/>
  <c r="AX481" i="2"/>
  <c r="BE695" i="2"/>
  <c r="AX302" i="2"/>
  <c r="BF323" i="2"/>
  <c r="AX587" i="2"/>
  <c r="AX672" i="2"/>
  <c r="BE341" i="2"/>
  <c r="BE296" i="2"/>
  <c r="AW524" i="2"/>
  <c r="BE370" i="2"/>
  <c r="BE349" i="2"/>
  <c r="AV341" i="2"/>
  <c r="AV295" i="2"/>
  <c r="AY638" i="2"/>
  <c r="BF517" i="2"/>
  <c r="AY392" i="2"/>
  <c r="AU797" i="2"/>
  <c r="BF444" i="2"/>
  <c r="BF210" i="2"/>
  <c r="BG205" i="2"/>
  <c r="BF60" i="2"/>
  <c r="AV290" i="2"/>
  <c r="AU290" i="2"/>
  <c r="AV665" i="2"/>
  <c r="AU685" i="2"/>
  <c r="AU582" i="2"/>
  <c r="AX808" i="2"/>
  <c r="AY1040" i="2"/>
  <c r="AY1181" i="2"/>
  <c r="AY1210" i="2"/>
  <c r="AY775" i="2"/>
  <c r="AV296" i="2"/>
  <c r="BE219" i="2"/>
  <c r="BE446" i="2"/>
  <c r="BE115" i="2"/>
  <c r="BE490" i="2"/>
  <c r="BE202" i="2"/>
  <c r="BD912" i="2"/>
  <c r="AU865" i="2"/>
  <c r="AX723" i="2"/>
  <c r="AX657" i="2"/>
  <c r="AX937" i="2"/>
  <c r="AY1153" i="2"/>
  <c r="BF763" i="2"/>
  <c r="BF714" i="2"/>
  <c r="AX906" i="2"/>
  <c r="BF706" i="2"/>
  <c r="BD880" i="2"/>
  <c r="AW603" i="2"/>
  <c r="AW406" i="2"/>
  <c r="BE7" i="2"/>
  <c r="AY889" i="2"/>
  <c r="BD676" i="2"/>
  <c r="AW552" i="2"/>
  <c r="AY674" i="2"/>
  <c r="AX510" i="2"/>
  <c r="BE150" i="2"/>
  <c r="BE130" i="2"/>
  <c r="BF49" i="2"/>
  <c r="AU738" i="2"/>
  <c r="AW649" i="2"/>
  <c r="AY649" i="2"/>
  <c r="AY1067" i="2"/>
  <c r="BF1067" i="2"/>
  <c r="BG810" i="2"/>
  <c r="AX810" i="2"/>
  <c r="BF810" i="2"/>
  <c r="AY1059" i="2"/>
  <c r="AY1108" i="2"/>
  <c r="BF1011" i="2"/>
  <c r="AY1011" i="2"/>
  <c r="AX1011" i="2"/>
  <c r="AX608" i="2"/>
  <c r="BF608" i="2"/>
  <c r="AY1114" i="2"/>
  <c r="BF1114" i="2"/>
  <c r="BG1144" i="2"/>
  <c r="AY1144" i="2"/>
  <c r="BG1204" i="2"/>
  <c r="AY1204" i="2"/>
  <c r="AY693" i="2"/>
  <c r="BG693" i="2"/>
  <c r="AY993" i="2"/>
  <c r="BF993" i="2"/>
  <c r="BG1025" i="2"/>
  <c r="BF1025" i="2"/>
  <c r="AX1025" i="2"/>
  <c r="BG905" i="2"/>
  <c r="AY905" i="2"/>
  <c r="BG914" i="2"/>
  <c r="AX914" i="2"/>
  <c r="AY914" i="2"/>
  <c r="BF941" i="2"/>
  <c r="BG941" i="2"/>
  <c r="AY941" i="2"/>
  <c r="BG1077" i="2"/>
  <c r="AY1077" i="2"/>
  <c r="AX1077" i="2"/>
  <c r="AY1044" i="2"/>
  <c r="BG1044" i="2"/>
  <c r="AX1044" i="2"/>
  <c r="AY920" i="2"/>
  <c r="BF920" i="2"/>
  <c r="AY1081" i="2"/>
  <c r="BF1081" i="2"/>
  <c r="BF1010" i="2"/>
  <c r="BG1010" i="2"/>
  <c r="AY1010" i="2"/>
  <c r="AX927" i="2"/>
  <c r="BG927" i="2"/>
  <c r="AY927" i="2"/>
  <c r="BF927" i="2"/>
  <c r="AX867" i="2"/>
  <c r="BF867" i="2"/>
  <c r="AY867" i="2"/>
  <c r="BG784" i="2"/>
  <c r="AY784" i="2"/>
  <c r="BD784" i="2"/>
  <c r="AX784" i="2"/>
  <c r="BF784" i="2"/>
  <c r="AX1164" i="2"/>
  <c r="AY1164" i="2"/>
  <c r="AY721" i="2"/>
  <c r="AX721" i="2"/>
  <c r="BG721" i="2"/>
  <c r="BE874" i="2"/>
  <c r="AX874" i="2"/>
  <c r="AY874" i="2"/>
  <c r="BG1156" i="2"/>
  <c r="AY1156" i="2"/>
  <c r="BF1156" i="2"/>
  <c r="AX981" i="2"/>
  <c r="AY981" i="2"/>
  <c r="BF1189" i="2"/>
  <c r="AY1189" i="2"/>
  <c r="AX1189" i="2"/>
  <c r="BF845" i="2"/>
  <c r="AX845" i="2"/>
  <c r="AY845" i="2"/>
  <c r="BF1148" i="2"/>
  <c r="AX1148" i="2"/>
  <c r="BG1148" i="2"/>
  <c r="BF1017" i="2"/>
  <c r="BG1017" i="2"/>
  <c r="AY1017" i="2"/>
  <c r="AX1017" i="2"/>
  <c r="AY1065" i="2"/>
  <c r="AX1065" i="2"/>
  <c r="BF1065" i="2"/>
  <c r="BF994" i="2"/>
  <c r="AX994" i="2"/>
  <c r="BG994" i="2"/>
  <c r="AY994" i="2"/>
  <c r="AX1162" i="2"/>
  <c r="BG1162" i="2"/>
  <c r="BF997" i="2"/>
  <c r="AY997" i="2"/>
  <c r="BG669" i="2"/>
  <c r="AX669" i="2"/>
  <c r="AX747" i="2"/>
  <c r="BF747" i="2"/>
  <c r="AY747" i="2"/>
  <c r="BF1050" i="2"/>
  <c r="AX1081" i="2"/>
  <c r="BF1133" i="2"/>
  <c r="AX941" i="2"/>
  <c r="BG550" i="2"/>
  <c r="AY906" i="2"/>
  <c r="BF458" i="2"/>
  <c r="BF1059" i="2"/>
  <c r="BF464" i="2"/>
  <c r="BF812" i="2"/>
  <c r="BF338" i="2"/>
  <c r="BF135" i="2"/>
  <c r="AX468" i="2"/>
  <c r="AX338" i="2"/>
  <c r="AX289" i="2"/>
  <c r="AX619" i="2"/>
  <c r="AX707" i="2"/>
  <c r="AX497" i="2"/>
  <c r="AX552" i="2"/>
  <c r="AX706" i="2"/>
  <c r="AX498" i="2"/>
  <c r="AX427" i="2"/>
  <c r="AX574" i="2"/>
  <c r="AY289" i="2"/>
  <c r="AY98" i="2"/>
  <c r="AY1084" i="2"/>
  <c r="BG491" i="2"/>
  <c r="AY269" i="2"/>
  <c r="BD569" i="2"/>
  <c r="AY880" i="2"/>
  <c r="AW906" i="2"/>
  <c r="AV382" i="2"/>
  <c r="AU403" i="2"/>
  <c r="AY8" i="2"/>
  <c r="AW515" i="2"/>
  <c r="BE587" i="2"/>
  <c r="BE369" i="2"/>
  <c r="AU812" i="2"/>
  <c r="AU1050" i="2"/>
  <c r="AW668" i="2"/>
  <c r="BE536" i="2"/>
  <c r="AW489" i="2"/>
  <c r="AW613" i="2"/>
  <c r="AW619" i="2"/>
  <c r="AV383" i="2"/>
  <c r="AW311" i="2"/>
  <c r="BE302" i="2"/>
  <c r="AY759" i="2"/>
  <c r="AY763" i="2"/>
  <c r="AY579" i="2"/>
  <c r="BF676" i="2"/>
  <c r="BF674" i="2"/>
  <c r="BF184" i="2"/>
  <c r="BF552" i="2"/>
  <c r="AX460" i="2"/>
  <c r="AX444" i="2"/>
  <c r="BG468" i="2"/>
  <c r="AY536" i="2"/>
  <c r="AY338" i="2"/>
  <c r="BD216" i="2"/>
  <c r="BF1141" i="2"/>
  <c r="BF491" i="2"/>
  <c r="BE569" i="2"/>
  <c r="BE495" i="2"/>
  <c r="AV1050" i="2"/>
  <c r="BE398" i="2"/>
  <c r="AW283" i="2"/>
  <c r="AW587" i="2"/>
  <c r="BE455" i="2"/>
  <c r="BE529" i="2"/>
  <c r="BE155" i="2"/>
  <c r="AU874" i="2"/>
  <c r="BG937" i="2"/>
  <c r="AY706" i="2"/>
  <c r="AY411" i="2"/>
  <c r="AY541" i="2"/>
  <c r="AX603" i="2"/>
  <c r="AX880" i="2"/>
  <c r="BF619" i="2"/>
  <c r="BF283" i="2"/>
  <c r="BF574" i="2"/>
  <c r="BF484" i="2"/>
  <c r="BF906" i="2"/>
  <c r="AX1059" i="2"/>
  <c r="AX676" i="2"/>
  <c r="AX491" i="2"/>
  <c r="AX1033" i="2"/>
  <c r="AX283" i="2"/>
  <c r="AX411" i="2"/>
  <c r="AX579" i="2"/>
  <c r="AY302" i="2"/>
  <c r="AY175" i="2"/>
  <c r="AY533" i="2"/>
  <c r="BG383" i="2"/>
  <c r="BG398" i="2"/>
  <c r="BG338" i="2"/>
  <c r="BD147" i="2"/>
  <c r="BD1084" i="2"/>
  <c r="AV484" i="2"/>
  <c r="AW302" i="2"/>
  <c r="BF979" i="2"/>
  <c r="AY835" i="2"/>
  <c r="AV327" i="2"/>
  <c r="BE706" i="2"/>
  <c r="BE289" i="2"/>
  <c r="AW319" i="2"/>
  <c r="AY762" i="2"/>
  <c r="BF816" i="2"/>
  <c r="BF651" i="2"/>
  <c r="BF880" i="2"/>
  <c r="AX1050" i="2"/>
  <c r="AX635" i="2"/>
  <c r="AX484" i="2"/>
  <c r="BG207" i="2"/>
  <c r="BG289" i="2"/>
  <c r="BG533" i="2"/>
  <c r="BD695" i="2"/>
  <c r="BD7" i="2"/>
  <c r="BD207" i="2"/>
  <c r="AW464" i="2"/>
  <c r="AU429" i="2"/>
  <c r="AW338" i="2"/>
  <c r="BE515" i="2"/>
  <c r="AW695" i="2"/>
  <c r="AW510" i="2"/>
  <c r="AX763" i="2"/>
  <c r="AW571" i="2"/>
  <c r="AU398" i="2"/>
  <c r="AY480" i="2"/>
  <c r="BE274" i="2"/>
  <c r="AX159" i="2"/>
  <c r="AW682" i="2"/>
  <c r="AX293" i="2"/>
  <c r="BF549" i="2"/>
  <c r="AW465" i="2"/>
  <c r="AY549" i="2"/>
  <c r="BF468" i="2"/>
  <c r="AX464" i="2"/>
  <c r="AX569" i="2"/>
  <c r="BF603" i="2"/>
  <c r="BF7" i="2"/>
  <c r="BF937" i="2"/>
  <c r="BF460" i="2"/>
  <c r="BF288" i="2"/>
  <c r="AX406" i="2"/>
  <c r="AX541" i="2"/>
  <c r="BG1084" i="2"/>
  <c r="BD115" i="2"/>
  <c r="BD406" i="2"/>
  <c r="BD288" i="2"/>
  <c r="AY1100" i="2"/>
  <c r="AX1118" i="2"/>
  <c r="BF801" i="2"/>
  <c r="BG954" i="2"/>
  <c r="BF1210" i="2"/>
  <c r="AY1139" i="2"/>
  <c r="BG903" i="2"/>
  <c r="AY832" i="2"/>
  <c r="AX1079" i="2"/>
  <c r="AX1152" i="2"/>
  <c r="AX1010" i="2"/>
  <c r="BF1040" i="2"/>
  <c r="AU541" i="2"/>
  <c r="BE613" i="2"/>
  <c r="AW529" i="2"/>
  <c r="AV498" i="2"/>
  <c r="AY760" i="2"/>
  <c r="BG897" i="2"/>
  <c r="AY746" i="2"/>
  <c r="AY1048" i="2"/>
  <c r="AX542" i="2"/>
  <c r="AY886" i="2"/>
  <c r="BG735" i="2"/>
  <c r="AY1121" i="2"/>
  <c r="AY698" i="2"/>
  <c r="AY857" i="2"/>
  <c r="AY526" i="2"/>
  <c r="BG731" i="2"/>
  <c r="AY610" i="2"/>
  <c r="AY699" i="2"/>
  <c r="AY891" i="2"/>
  <c r="AV289" i="2"/>
  <c r="AW398" i="2"/>
  <c r="AW460" i="2"/>
  <c r="AU1033" i="2"/>
  <c r="BE147" i="2"/>
  <c r="AY651" i="2"/>
  <c r="BF933" i="2"/>
  <c r="BF1033" i="2"/>
  <c r="BF510" i="2"/>
  <c r="BF232" i="2"/>
  <c r="AX515" i="2"/>
  <c r="AX511" i="2"/>
  <c r="AX311" i="2"/>
  <c r="AX495" i="2"/>
  <c r="AX695" i="2"/>
  <c r="AX323" i="2"/>
  <c r="BF1084" i="2"/>
  <c r="BG759" i="2"/>
  <c r="AY491" i="2"/>
  <c r="AY569" i="2"/>
  <c r="BD533" i="2"/>
  <c r="BD289" i="2"/>
  <c r="BD515" i="2"/>
  <c r="BF1044" i="2"/>
  <c r="BF672" i="2"/>
  <c r="AW491" i="2"/>
  <c r="AV613" i="2"/>
  <c r="BE460" i="2"/>
  <c r="BD398" i="2"/>
  <c r="AU511" i="2"/>
  <c r="BA315" i="2"/>
  <c r="AZ494" i="2"/>
  <c r="BF249" i="2"/>
  <c r="BH20" i="2"/>
  <c r="BB467" i="2"/>
  <c r="BF18" i="2"/>
  <c r="AZ519" i="2"/>
  <c r="AX58" i="2"/>
  <c r="AY544" i="2"/>
  <c r="BG439" i="2"/>
  <c r="BB647" i="2"/>
  <c r="AX260" i="2"/>
  <c r="AY937" i="2"/>
  <c r="BF207" i="2"/>
  <c r="BF16" i="2"/>
  <c r="BF762" i="2"/>
  <c r="BF569" i="2"/>
  <c r="AX762" i="2"/>
  <c r="AX613" i="2"/>
  <c r="AY464" i="2"/>
  <c r="BG569" i="2"/>
  <c r="BG869" i="2"/>
  <c r="AX1137" i="2"/>
  <c r="AY1201" i="2"/>
  <c r="BF1045" i="2"/>
  <c r="BE248" i="2"/>
  <c r="AV460" i="2"/>
  <c r="BE396" i="2"/>
  <c r="BC315" i="2"/>
  <c r="BC439" i="2"/>
  <c r="BC218" i="2"/>
  <c r="BC210" i="2"/>
  <c r="BD18" i="2"/>
  <c r="BD249" i="2"/>
  <c r="BD1171" i="2"/>
  <c r="BD20" i="2"/>
  <c r="BD365" i="2"/>
  <c r="BB544" i="2"/>
  <c r="AW439" i="2"/>
  <c r="BA365" i="2"/>
  <c r="BH120" i="2"/>
  <c r="AZ439" i="2"/>
  <c r="AW365" i="2"/>
  <c r="BF544" i="2"/>
  <c r="BF260" i="2"/>
  <c r="AW335" i="2"/>
  <c r="BE309" i="2"/>
  <c r="AV315" i="2"/>
  <c r="BE315" i="2"/>
  <c r="AX315" i="2"/>
  <c r="BD315" i="2"/>
  <c r="AU315" i="2"/>
  <c r="AY315" i="2"/>
  <c r="BE131" i="2"/>
  <c r="BG131" i="2"/>
  <c r="BD131" i="2"/>
  <c r="BF131" i="2"/>
  <c r="AY551" i="2"/>
  <c r="BE551" i="2"/>
  <c r="BF173" i="2"/>
  <c r="AY173" i="2"/>
  <c r="BF188" i="2"/>
  <c r="AY188" i="2"/>
  <c r="BG59" i="2"/>
  <c r="BE377" i="2"/>
  <c r="AV377" i="2"/>
  <c r="BD377" i="2"/>
  <c r="AU377" i="2"/>
  <c r="BG377" i="2"/>
  <c r="AY377" i="2"/>
  <c r="BF377" i="2"/>
  <c r="AU402" i="2"/>
  <c r="AX402" i="2"/>
  <c r="AV402" i="2"/>
  <c r="BD402" i="2"/>
  <c r="BG402" i="2"/>
  <c r="AW402" i="2"/>
  <c r="BF402" i="2"/>
  <c r="BE545" i="2"/>
  <c r="AX545" i="2"/>
  <c r="AW545" i="2"/>
  <c r="BF545" i="2"/>
  <c r="BF218" i="2"/>
  <c r="BE218" i="2"/>
  <c r="BF252" i="2"/>
  <c r="BE252" i="2"/>
  <c r="AU365" i="2"/>
  <c r="AY365" i="2"/>
  <c r="AU305" i="2"/>
  <c r="AV305" i="2"/>
  <c r="AW305" i="2"/>
  <c r="BE305" i="2"/>
  <c r="AX305" i="2"/>
  <c r="BF305" i="2"/>
  <c r="BF20" i="2"/>
  <c r="BE20" i="2"/>
  <c r="AY467" i="2"/>
  <c r="BF467" i="2"/>
  <c r="AX467" i="2"/>
  <c r="AX519" i="2"/>
  <c r="AY519" i="2"/>
  <c r="BG519" i="2"/>
  <c r="AU313" i="2"/>
  <c r="AV313" i="2"/>
  <c r="BE313" i="2"/>
  <c r="AY313" i="2"/>
  <c r="AX313" i="2"/>
  <c r="AW313" i="2"/>
  <c r="BF313" i="2"/>
  <c r="BD313" i="2"/>
  <c r="BE439" i="2"/>
  <c r="AX439" i="2"/>
  <c r="AU647" i="2"/>
  <c r="AV647" i="2"/>
  <c r="BC1171" i="2"/>
  <c r="AW544" i="2"/>
  <c r="AW1171" i="2"/>
  <c r="BA218" i="2"/>
  <c r="BH647" i="2"/>
  <c r="BH210" i="2"/>
  <c r="BA494" i="2"/>
  <c r="BA131" i="2"/>
  <c r="BH18" i="2"/>
  <c r="BH252" i="2"/>
  <c r="AZ205" i="2"/>
  <c r="AZ214" i="2"/>
  <c r="AZ544" i="2"/>
  <c r="BG249" i="2"/>
  <c r="BG20" i="2"/>
  <c r="BG58" i="2"/>
  <c r="BG210" i="2"/>
  <c r="AY305" i="2"/>
  <c r="BF250" i="2"/>
  <c r="AW329" i="2"/>
  <c r="BE335" i="2"/>
  <c r="AV413" i="2"/>
  <c r="BC214" i="2"/>
  <c r="BD260" i="2"/>
  <c r="BD218" i="2"/>
  <c r="BD205" i="2"/>
  <c r="BE544" i="2"/>
  <c r="BB439" i="2"/>
  <c r="BB205" i="2"/>
  <c r="BA545" i="2"/>
  <c r="BH544" i="2"/>
  <c r="BH551" i="2"/>
  <c r="BH402" i="2"/>
  <c r="BH59" i="2"/>
  <c r="BH377" i="2"/>
  <c r="BH313" i="2"/>
  <c r="BH365" i="2"/>
  <c r="BH439" i="2"/>
  <c r="BH188" i="2"/>
  <c r="BH545" i="2"/>
  <c r="AZ252" i="2"/>
  <c r="AY647" i="2"/>
  <c r="BG551" i="2"/>
  <c r="BF205" i="2"/>
  <c r="BG18" i="2"/>
  <c r="BG188" i="2"/>
  <c r="BG250" i="2"/>
  <c r="AY402" i="2"/>
  <c r="AY580" i="2"/>
  <c r="AX580" i="2"/>
  <c r="BF1132" i="2"/>
  <c r="AY1132" i="2"/>
  <c r="AX1132" i="2"/>
  <c r="AX1057" i="2"/>
  <c r="AY1057" i="2"/>
  <c r="AX829" i="2"/>
  <c r="AY829" i="2"/>
  <c r="BF973" i="2"/>
  <c r="AY973" i="2"/>
  <c r="AX745" i="2"/>
  <c r="BF745" i="2"/>
  <c r="AY1064" i="2"/>
  <c r="BF1064" i="2"/>
  <c r="BF898" i="2"/>
  <c r="AX898" i="2"/>
  <c r="AX812" i="2"/>
  <c r="AY812" i="2"/>
  <c r="AX749" i="2"/>
  <c r="AY749" i="2"/>
  <c r="BF749" i="2"/>
  <c r="AX902" i="2"/>
  <c r="AY902" i="2"/>
  <c r="BG902" i="2"/>
  <c r="BF902" i="2"/>
  <c r="AX771" i="2"/>
  <c r="BF771" i="2"/>
  <c r="BG968" i="2"/>
  <c r="BF968" i="2"/>
  <c r="AY968" i="2"/>
  <c r="AX968" i="2"/>
  <c r="BF1000" i="2"/>
  <c r="AX1000" i="2"/>
  <c r="AW884" i="2"/>
  <c r="BF884" i="2"/>
  <c r="AX884" i="2"/>
  <c r="BF1117" i="2"/>
  <c r="AY1117" i="2"/>
  <c r="AY1034" i="2"/>
  <c r="AX1034" i="2"/>
  <c r="AX1068" i="2"/>
  <c r="BF1068" i="2"/>
  <c r="BG936" i="2"/>
  <c r="AY936" i="2"/>
  <c r="BF963" i="2"/>
  <c r="AX963" i="2"/>
  <c r="AX1022" i="2"/>
  <c r="AY1022" i="2"/>
  <c r="BF881" i="2"/>
  <c r="BG881" i="2"/>
  <c r="AY796" i="2"/>
  <c r="AX796" i="2"/>
  <c r="AX1196" i="2"/>
  <c r="BF1196" i="2"/>
  <c r="BF1142" i="2"/>
  <c r="AX1142" i="2"/>
  <c r="BG1154" i="2"/>
  <c r="BF1154" i="2"/>
  <c r="AY1071" i="2"/>
  <c r="AX1071" i="2"/>
  <c r="BG219" i="2"/>
  <c r="BD210" i="2"/>
  <c r="AZ647" i="2"/>
  <c r="BC494" i="2"/>
  <c r="BC647" i="2"/>
  <c r="BD305" i="2"/>
  <c r="BE173" i="2"/>
  <c r="BB494" i="2"/>
  <c r="BB377" i="2"/>
  <c r="BE1171" i="2"/>
  <c r="BH58" i="2"/>
  <c r="BA377" i="2"/>
  <c r="BH315" i="2"/>
  <c r="AZ402" i="2"/>
  <c r="AZ188" i="2"/>
  <c r="BE365" i="2"/>
  <c r="AX365" i="2"/>
  <c r="AX551" i="2"/>
  <c r="BF551" i="2"/>
  <c r="BE59" i="2"/>
  <c r="AW551" i="2"/>
  <c r="BG647" i="2"/>
  <c r="BE60" i="2"/>
  <c r="BG315" i="2"/>
  <c r="BG252" i="2"/>
  <c r="AY185" i="2"/>
  <c r="AY439" i="2"/>
  <c r="BF1183" i="2"/>
  <c r="AX1183" i="2"/>
  <c r="BF657" i="2"/>
  <c r="AY657" i="2"/>
  <c r="AX1192" i="2"/>
  <c r="BF1192" i="2"/>
  <c r="BG808" i="2"/>
  <c r="AY808" i="2"/>
  <c r="AX656" i="2"/>
  <c r="BG656" i="2"/>
  <c r="BF656" i="2"/>
  <c r="AX1204" i="2"/>
  <c r="BF1204" i="2"/>
  <c r="BF742" i="2"/>
  <c r="AY742" i="2"/>
  <c r="AX1095" i="2"/>
  <c r="BF1095" i="2"/>
  <c r="AY1095" i="2"/>
  <c r="BD467" i="2"/>
  <c r="BC519" i="2"/>
  <c r="BC402" i="2"/>
  <c r="BC18" i="2"/>
  <c r="BC545" i="2"/>
  <c r="BC544" i="2"/>
  <c r="BC551" i="2"/>
  <c r="BD214" i="2"/>
  <c r="BD519" i="2"/>
  <c r="BB18" i="2"/>
  <c r="BB218" i="2"/>
  <c r="BB315" i="2"/>
  <c r="BB131" i="2"/>
  <c r="BB551" i="2"/>
  <c r="BA467" i="2"/>
  <c r="BA205" i="2"/>
  <c r="BH250" i="2"/>
  <c r="BH214" i="2"/>
  <c r="BH260" i="2"/>
  <c r="BH60" i="2"/>
  <c r="BH249" i="2"/>
  <c r="AZ545" i="2"/>
  <c r="AZ365" i="2"/>
  <c r="BF59" i="2"/>
  <c r="BF647" i="2"/>
  <c r="BG545" i="2"/>
  <c r="BG185" i="2"/>
  <c r="BG886" i="2"/>
  <c r="AX377" i="2"/>
  <c r="AX60" i="2"/>
  <c r="BF1057" i="2"/>
  <c r="AW377" i="2"/>
  <c r="BE205" i="2"/>
  <c r="BC188" i="2"/>
  <c r="BD545" i="2"/>
  <c r="BD252" i="2"/>
  <c r="BD551" i="2"/>
  <c r="BB1171" i="2"/>
  <c r="BB305" i="2"/>
  <c r="BB365" i="2"/>
  <c r="BE260" i="2"/>
  <c r="BA544" i="2"/>
  <c r="BA647" i="2"/>
  <c r="BA18" i="2"/>
  <c r="BA188" i="2"/>
  <c r="BH218" i="2"/>
  <c r="BH519" i="2"/>
  <c r="BH173" i="2"/>
  <c r="AX647" i="2"/>
  <c r="AY731" i="2"/>
  <c r="AY356" i="2"/>
  <c r="BF631" i="2"/>
  <c r="AX973" i="2"/>
  <c r="BC467" i="2"/>
  <c r="BB519" i="2"/>
  <c r="BB313" i="2"/>
  <c r="BB545" i="2"/>
  <c r="BB402" i="2"/>
  <c r="BA551" i="2"/>
  <c r="BH305" i="2"/>
  <c r="AZ313" i="2"/>
  <c r="AZ305" i="2"/>
  <c r="BG60" i="2"/>
  <c r="BF365" i="2"/>
  <c r="BD59" i="2"/>
  <c r="BG218" i="2"/>
  <c r="BF519" i="2"/>
  <c r="BF120" i="2"/>
  <c r="AY352" i="2"/>
  <c r="BF348" i="2"/>
  <c r="AU482" i="2"/>
  <c r="BF482" i="2"/>
  <c r="AX482" i="2"/>
  <c r="BE482" i="2"/>
  <c r="BD482" i="2"/>
  <c r="BF480" i="2"/>
  <c r="AX480" i="2"/>
  <c r="BE511" i="2"/>
  <c r="AY511" i="2"/>
  <c r="BF511" i="2"/>
  <c r="AW1021" i="2"/>
  <c r="BF1021" i="2"/>
  <c r="BE1021" i="2"/>
  <c r="AY1021" i="2"/>
  <c r="AX1021" i="2"/>
  <c r="BE422" i="2"/>
  <c r="BF422" i="2"/>
  <c r="AX422" i="2"/>
  <c r="BE494" i="2"/>
  <c r="BF494" i="2"/>
  <c r="AW494" i="2"/>
  <c r="AY494" i="2"/>
  <c r="BD494" i="2"/>
  <c r="AX494" i="2"/>
  <c r="AU494" i="2"/>
  <c r="BG494" i="2"/>
  <c r="AV494" i="2"/>
  <c r="BE13" i="2"/>
  <c r="BF13" i="2"/>
  <c r="BF309" i="2"/>
  <c r="BD309" i="2"/>
  <c r="AX309" i="2"/>
  <c r="AY309" i="2"/>
  <c r="BE52" i="2"/>
  <c r="BG52" i="2"/>
  <c r="BF196" i="2"/>
  <c r="BE196" i="2"/>
  <c r="BE329" i="2"/>
  <c r="AY329" i="2"/>
  <c r="BF329" i="2"/>
  <c r="AX711" i="2"/>
  <c r="BG711" i="2"/>
  <c r="BF272" i="2"/>
  <c r="AX272" i="2"/>
  <c r="BD192" i="2"/>
  <c r="BE192" i="2"/>
  <c r="BF192" i="2"/>
  <c r="BF682" i="2"/>
  <c r="AX682" i="2"/>
  <c r="AX417" i="2"/>
  <c r="BF417" i="2"/>
  <c r="BE417" i="2"/>
  <c r="AW417" i="2"/>
  <c r="BE441" i="2"/>
  <c r="AY441" i="2"/>
  <c r="BF441" i="2"/>
  <c r="AX446" i="2"/>
  <c r="BF446" i="2"/>
  <c r="BE586" i="2"/>
  <c r="AX586" i="2"/>
  <c r="AV586" i="2"/>
  <c r="BF586" i="2"/>
  <c r="AY586" i="2"/>
  <c r="AV955" i="2"/>
  <c r="AU955" i="2"/>
  <c r="BD171" i="2"/>
  <c r="BF171" i="2"/>
  <c r="AX171" i="2"/>
  <c r="BE171" i="2"/>
  <c r="BG171" i="2"/>
  <c r="BD500" i="2"/>
  <c r="BG500" i="2"/>
  <c r="AX500" i="2"/>
  <c r="AY500" i="2"/>
  <c r="BF500" i="2"/>
  <c r="AW477" i="2"/>
  <c r="BE477" i="2"/>
  <c r="BD477" i="2"/>
  <c r="AY477" i="2"/>
  <c r="BF477" i="2"/>
  <c r="BG477" i="2"/>
  <c r="BD213" i="2"/>
  <c r="BF213" i="2"/>
  <c r="BD222" i="2"/>
  <c r="BG222" i="2"/>
  <c r="BE222" i="2"/>
  <c r="BF222" i="2"/>
  <c r="AV535" i="2"/>
  <c r="AU535" i="2"/>
  <c r="BG734" i="2"/>
  <c r="AY734" i="2"/>
  <c r="AU734" i="2"/>
  <c r="AX734" i="2"/>
  <c r="BD330" i="2"/>
  <c r="AX330" i="2"/>
  <c r="BF330" i="2"/>
  <c r="AY310" i="2"/>
  <c r="BF310" i="2"/>
  <c r="BD1035" i="2"/>
  <c r="BF1035" i="2"/>
  <c r="BG351" i="2"/>
  <c r="AX351" i="2"/>
  <c r="BD351" i="2"/>
  <c r="BF351" i="2"/>
  <c r="AY351" i="2"/>
  <c r="BE191" i="2"/>
  <c r="BG191" i="2"/>
  <c r="AU355" i="2"/>
  <c r="AX355" i="2"/>
  <c r="AV355" i="2"/>
  <c r="BF304" i="2"/>
  <c r="AW304" i="2"/>
  <c r="AY304" i="2"/>
  <c r="AX304" i="2"/>
  <c r="BD304" i="2"/>
  <c r="BG304" i="2"/>
  <c r="BE304" i="2"/>
  <c r="BF923" i="2"/>
  <c r="AX923" i="2"/>
  <c r="BG117" i="2"/>
  <c r="BE117" i="2"/>
  <c r="BF117" i="2"/>
  <c r="BF357" i="2"/>
  <c r="AV357" i="2"/>
  <c r="AY357" i="2"/>
  <c r="AU357" i="2"/>
  <c r="AX357" i="2"/>
  <c r="BF435" i="2"/>
  <c r="BG435" i="2"/>
  <c r="AX435" i="2"/>
  <c r="BF459" i="2"/>
  <c r="BG459" i="2"/>
  <c r="AY459" i="2"/>
  <c r="AX465" i="2"/>
  <c r="BF465" i="2"/>
  <c r="AX292" i="2"/>
  <c r="BF292" i="2"/>
  <c r="AY292" i="2"/>
  <c r="BG292" i="2"/>
  <c r="BA292" i="2"/>
  <c r="AY694" i="2"/>
  <c r="BF694" i="2"/>
  <c r="AX73" i="2"/>
  <c r="BG598" i="2"/>
  <c r="AX598" i="2"/>
  <c r="AV546" i="2"/>
  <c r="AU546" i="2"/>
  <c r="AX295" i="2"/>
  <c r="AY295" i="2"/>
  <c r="AU717" i="2"/>
  <c r="AV717" i="2"/>
  <c r="AU299" i="2"/>
  <c r="AX299" i="2"/>
  <c r="AV299" i="2"/>
  <c r="BE153" i="2"/>
  <c r="BF153" i="2"/>
  <c r="AX917" i="2"/>
  <c r="BD917" i="2"/>
  <c r="BG917" i="2"/>
  <c r="BF917" i="2"/>
  <c r="BD374" i="2"/>
  <c r="BG374" i="2"/>
  <c r="AY374" i="2"/>
  <c r="AX374" i="2"/>
  <c r="BF354" i="2"/>
  <c r="AX354" i="2"/>
  <c r="BF270" i="2"/>
  <c r="BF395" i="2"/>
  <c r="BE395" i="2"/>
  <c r="AW395" i="2"/>
  <c r="AX395" i="2"/>
  <c r="BG279" i="2"/>
  <c r="BF279" i="2"/>
  <c r="BF401" i="2"/>
  <c r="AX401" i="2"/>
  <c r="BE401" i="2"/>
  <c r="AY503" i="2"/>
  <c r="AX503" i="2"/>
  <c r="AV548" i="2"/>
  <c r="AY548" i="2"/>
  <c r="BG548" i="2"/>
  <c r="AU548" i="2"/>
  <c r="BF548" i="2"/>
  <c r="AY576" i="2"/>
  <c r="AX576" i="2"/>
  <c r="BF576" i="2"/>
  <c r="AX273" i="2"/>
  <c r="BF273" i="2"/>
  <c r="AX742" i="2"/>
  <c r="AX893" i="2"/>
  <c r="AX249" i="2"/>
  <c r="BF1079" i="2"/>
  <c r="AX717" i="2"/>
  <c r="BF58" i="2"/>
  <c r="AU471" i="2"/>
  <c r="AV471" i="2"/>
  <c r="AX701" i="2"/>
  <c r="AY904" i="2"/>
  <c r="BF835" i="2"/>
  <c r="AX1003" i="2"/>
  <c r="BF883" i="2"/>
  <c r="BE292" i="2"/>
  <c r="BE239" i="2"/>
  <c r="BE213" i="2"/>
  <c r="AW315" i="2"/>
  <c r="AU333" i="2"/>
  <c r="AV333" i="2"/>
  <c r="AX1139" i="2"/>
  <c r="AX1018" i="2"/>
  <c r="BE1204" i="2"/>
  <c r="AX979" i="2"/>
  <c r="BD1095" i="2"/>
  <c r="AX1108" i="2"/>
  <c r="AX1006" i="2"/>
  <c r="AY1035" i="2"/>
  <c r="BG845" i="2"/>
  <c r="AY1148" i="2"/>
  <c r="BG898" i="2"/>
  <c r="BD994" i="2"/>
  <c r="AX694" i="2"/>
  <c r="AU666" i="2"/>
  <c r="AW462" i="2"/>
  <c r="AV349" i="2"/>
  <c r="AU349" i="2"/>
  <c r="AX907" i="2"/>
  <c r="AX993" i="2"/>
  <c r="BG658" i="2"/>
  <c r="BE465" i="2"/>
  <c r="BE146" i="2"/>
  <c r="AW309" i="2"/>
  <c r="BE354" i="2"/>
  <c r="BE353" i="2"/>
  <c r="AY789" i="2"/>
  <c r="AX1040" i="2"/>
  <c r="AW446" i="2"/>
  <c r="BE402" i="2"/>
  <c r="BG415" i="2"/>
  <c r="BE983" i="2"/>
  <c r="BF319" i="2"/>
  <c r="BE18" i="2"/>
  <c r="BE330" i="2"/>
  <c r="BF1139" i="2"/>
  <c r="BF1162" i="2"/>
  <c r="BD1079" i="2"/>
  <c r="AU629" i="2"/>
  <c r="AV643" i="2"/>
  <c r="AU643" i="2"/>
  <c r="AY1041" i="2"/>
  <c r="BF789" i="2"/>
  <c r="BF1118" i="2"/>
  <c r="BF829" i="2"/>
  <c r="AX738" i="2"/>
  <c r="AX873" i="2"/>
  <c r="BG605" i="2"/>
  <c r="AY898" i="2"/>
  <c r="BG1065" i="2"/>
  <c r="BG623" i="2"/>
  <c r="BD873" i="2"/>
  <c r="BD415" i="2"/>
  <c r="BF796" i="2"/>
  <c r="AV1032" i="2"/>
  <c r="AV370" i="2"/>
  <c r="BE337" i="2"/>
  <c r="BE347" i="2"/>
  <c r="AU553" i="2"/>
  <c r="AW511" i="2"/>
  <c r="BF1018" i="2"/>
  <c r="AX992" i="2"/>
  <c r="BF1120" i="2"/>
  <c r="AX1072" i="2"/>
  <c r="AX949" i="2"/>
  <c r="AW983" i="2"/>
  <c r="AW375" i="2"/>
  <c r="AW1167" i="2"/>
  <c r="AY741" i="2"/>
  <c r="BF1041" i="2"/>
  <c r="BF808" i="2"/>
  <c r="AX1064" i="2"/>
  <c r="AX1016" i="2"/>
  <c r="BF637" i="2"/>
  <c r="AX584" i="2"/>
  <c r="AX962" i="2"/>
  <c r="BG584" i="2"/>
  <c r="BG880" i="2"/>
  <c r="BG1035" i="2"/>
  <c r="BD24" i="2"/>
  <c r="BF616" i="2"/>
  <c r="BF1185" i="2"/>
  <c r="AW769" i="2"/>
  <c r="AX802" i="2"/>
  <c r="AX1051" i="2"/>
  <c r="BF925" i="2"/>
  <c r="BF1014" i="2"/>
  <c r="AV702" i="2"/>
  <c r="BD536" i="2"/>
  <c r="AU879" i="2"/>
  <c r="AY854" i="2"/>
  <c r="AU462" i="2"/>
  <c r="AW289" i="2"/>
  <c r="AV399" i="2"/>
  <c r="AU302" i="2"/>
  <c r="BE399" i="2"/>
  <c r="AU337" i="2"/>
  <c r="BE379" i="2"/>
  <c r="BE263" i="2"/>
  <c r="AW595" i="2"/>
  <c r="AU567" i="2"/>
  <c r="AV567" i="2"/>
  <c r="AU749" i="2"/>
  <c r="AU677" i="2"/>
  <c r="AV677" i="2"/>
  <c r="AY1162" i="2"/>
  <c r="AY640" i="2"/>
  <c r="AY962" i="2"/>
  <c r="AX1101" i="2"/>
  <c r="BF705" i="2"/>
  <c r="BD15" i="2"/>
  <c r="AX984" i="2"/>
  <c r="BF998" i="2"/>
  <c r="AX1093" i="2"/>
  <c r="AX1149" i="2"/>
  <c r="AX1066" i="2"/>
  <c r="AX1111" i="2"/>
  <c r="BF1125" i="2"/>
  <c r="AU785" i="2"/>
  <c r="AW773" i="2"/>
  <c r="BH456" i="2"/>
  <c r="BE508" i="2"/>
  <c r="BH451" i="2"/>
  <c r="AU722" i="2"/>
  <c r="AX789" i="2"/>
  <c r="AY881" i="2"/>
  <c r="BG736" i="2"/>
  <c r="AV388" i="2"/>
  <c r="AY908" i="2"/>
  <c r="AW441" i="2"/>
  <c r="AX1144" i="2"/>
  <c r="AX1134" i="2"/>
  <c r="AX920" i="2"/>
  <c r="BD963" i="2"/>
  <c r="AX986" i="2"/>
  <c r="BD915" i="2"/>
  <c r="BD787" i="2"/>
  <c r="BE579" i="2"/>
  <c r="AX1210" i="2"/>
  <c r="AX1067" i="2"/>
  <c r="AY1025" i="2"/>
  <c r="BD376" i="2"/>
  <c r="AW372" i="2"/>
  <c r="BG1172" i="2"/>
  <c r="AW414" i="2"/>
  <c r="BF736" i="2"/>
  <c r="AX741" i="2"/>
  <c r="AY810" i="2"/>
  <c r="AW334" i="2"/>
  <c r="BG645" i="2"/>
  <c r="BE642" i="2"/>
  <c r="AX1052" i="2"/>
  <c r="BE414" i="2"/>
  <c r="BF640" i="2"/>
  <c r="BF1049" i="2"/>
  <c r="AX811" i="2"/>
  <c r="BD1025" i="2"/>
  <c r="BD881" i="2"/>
  <c r="AW1067" i="2"/>
  <c r="AW617" i="2"/>
  <c r="AV544" i="2"/>
  <c r="AU902" i="2"/>
  <c r="BF778" i="2"/>
  <c r="AX733" i="2"/>
  <c r="BF246" i="2"/>
  <c r="AX499" i="2"/>
  <c r="AY174" i="2"/>
  <c r="BF327" i="2"/>
  <c r="AX649" i="2"/>
  <c r="AX879" i="2"/>
  <c r="AY736" i="2"/>
  <c r="BF1022" i="2"/>
  <c r="BF952" i="2"/>
  <c r="AX1200" i="2"/>
  <c r="AX1114" i="2"/>
  <c r="BF1012" i="2"/>
  <c r="BF1074" i="2"/>
  <c r="BF951" i="2"/>
  <c r="BF848" i="2"/>
  <c r="BF914" i="2"/>
  <c r="BF783" i="2"/>
  <c r="AX975" i="2"/>
  <c r="BG1091" i="2"/>
  <c r="BE120" i="2"/>
  <c r="BE334" i="2"/>
  <c r="AY897" i="2"/>
  <c r="BF862" i="2"/>
  <c r="BG716" i="2"/>
  <c r="BF891" i="2"/>
  <c r="AX1027" i="2"/>
  <c r="BF1178" i="2"/>
  <c r="BF1190" i="2"/>
  <c r="BF1013" i="2"/>
  <c r="BF1055" i="2"/>
  <c r="BG849" i="2"/>
  <c r="AX1117" i="2"/>
  <c r="BF978" i="2"/>
  <c r="AX1110" i="2"/>
  <c r="AX926" i="2"/>
  <c r="AX1001" i="2"/>
  <c r="BF1166" i="2"/>
  <c r="BF1015" i="2"/>
  <c r="BF950" i="2"/>
  <c r="AU334" i="2"/>
  <c r="BE135" i="2"/>
  <c r="AW536" i="2"/>
  <c r="BF852" i="2"/>
  <c r="AU1007" i="2"/>
  <c r="AV414" i="2"/>
  <c r="AX1116" i="2"/>
  <c r="AX778" i="2"/>
  <c r="AY926" i="2"/>
  <c r="BF626" i="2"/>
  <c r="BD1211" i="2"/>
  <c r="AX1211" i="2"/>
  <c r="BF1211" i="2"/>
  <c r="AX609" i="2"/>
  <c r="BF609" i="2"/>
  <c r="AY680" i="2"/>
  <c r="BG680" i="2"/>
  <c r="AX680" i="2"/>
  <c r="AX644" i="2"/>
  <c r="AY644" i="2"/>
  <c r="BF644" i="2"/>
  <c r="AY837" i="2"/>
  <c r="BF837" i="2"/>
  <c r="BG837" i="2"/>
  <c r="AX837" i="2"/>
  <c r="AX799" i="2"/>
  <c r="BF799" i="2"/>
  <c r="BF843" i="2"/>
  <c r="BG843" i="2"/>
  <c r="AX843" i="2"/>
  <c r="AX629" i="2"/>
  <c r="BF629" i="2"/>
  <c r="BF1176" i="2"/>
  <c r="AY1176" i="2"/>
  <c r="AX1176" i="2"/>
  <c r="BF1043" i="2"/>
  <c r="BG1043" i="2"/>
  <c r="BF1056" i="2"/>
  <c r="AX1056" i="2"/>
  <c r="BF795" i="2"/>
  <c r="AX795" i="2"/>
  <c r="BG1196" i="2"/>
  <c r="AY1196" i="2"/>
  <c r="AW916" i="2"/>
  <c r="AX916" i="2"/>
  <c r="BF916" i="2"/>
  <c r="AX1047" i="2"/>
  <c r="BF1047" i="2"/>
  <c r="BF921" i="2"/>
  <c r="BG921" i="2"/>
  <c r="AX921" i="2"/>
  <c r="BG1062" i="2"/>
  <c r="AY1062" i="2"/>
  <c r="AX1062" i="2"/>
  <c r="AX991" i="2"/>
  <c r="BF991" i="2"/>
  <c r="AW965" i="2"/>
  <c r="AX868" i="2"/>
  <c r="BF868" i="2"/>
  <c r="BF1194" i="2"/>
  <c r="AX1194" i="2"/>
  <c r="BG1123" i="2"/>
  <c r="BF1123" i="2"/>
  <c r="AX901" i="2"/>
  <c r="BF901" i="2"/>
  <c r="BG919" i="2"/>
  <c r="AX919" i="2"/>
  <c r="BF824" i="2"/>
  <c r="AX824" i="2"/>
  <c r="BF844" i="2"/>
  <c r="AX844" i="2"/>
  <c r="AX1104" i="2"/>
  <c r="BF1104" i="2"/>
  <c r="AX1170" i="2"/>
  <c r="BF1170" i="2"/>
  <c r="AX1182" i="2"/>
  <c r="BF1182" i="2"/>
  <c r="BF1099" i="2"/>
  <c r="AX1099" i="2"/>
  <c r="BG1015" i="2"/>
  <c r="AY1015" i="2"/>
  <c r="AY987" i="2"/>
  <c r="BG987" i="2"/>
  <c r="AX987" i="2"/>
  <c r="AX1020" i="2"/>
  <c r="BF1020" i="2"/>
  <c r="BD900" i="2"/>
  <c r="BF900" i="2"/>
  <c r="AX900" i="2"/>
  <c r="AX1046" i="2"/>
  <c r="BF1046" i="2"/>
  <c r="BF1058" i="2"/>
  <c r="AY1058" i="2"/>
  <c r="AX1058" i="2"/>
  <c r="AV681" i="2"/>
  <c r="AX681" i="2"/>
  <c r="BF681" i="2"/>
  <c r="AU681" i="2"/>
  <c r="BF227" i="2"/>
  <c r="AX227" i="2"/>
  <c r="BE227" i="2"/>
  <c r="BE242" i="2"/>
  <c r="BD242" i="2"/>
  <c r="BG242" i="2"/>
  <c r="AW403" i="2"/>
  <c r="BF403" i="2"/>
  <c r="AX403" i="2"/>
  <c r="BF1200" i="2"/>
  <c r="AX1029" i="2"/>
  <c r="AX1151" i="2"/>
  <c r="BF1151" i="2"/>
  <c r="BF1001" i="2"/>
  <c r="BD1001" i="2"/>
  <c r="BG1001" i="2"/>
  <c r="BD1128" i="2"/>
  <c r="AX1128" i="2"/>
  <c r="BG1128" i="2"/>
  <c r="AY1128" i="2"/>
  <c r="AW854" i="2"/>
  <c r="AX854" i="2"/>
  <c r="BF854" i="2"/>
  <c r="BD758" i="2"/>
  <c r="BG758" i="2"/>
  <c r="BF758" i="2"/>
  <c r="AX758" i="2"/>
  <c r="BD684" i="2"/>
  <c r="BG684" i="2"/>
  <c r="AY684" i="2"/>
  <c r="BE710" i="2"/>
  <c r="AX710" i="2"/>
  <c r="BF710" i="2"/>
  <c r="AX634" i="2"/>
  <c r="BF634" i="2"/>
  <c r="BF412" i="2"/>
  <c r="AX412" i="2"/>
  <c r="AY542" i="2"/>
  <c r="BF542" i="2"/>
  <c r="BF352" i="2"/>
  <c r="AV352" i="2"/>
  <c r="AX886" i="2"/>
  <c r="BF886" i="2"/>
  <c r="AX1009" i="2"/>
  <c r="BF1009" i="2"/>
  <c r="BF841" i="2"/>
  <c r="AX841" i="2"/>
  <c r="AX1121" i="2"/>
  <c r="BF1121" i="2"/>
  <c r="BF698" i="2"/>
  <c r="AX698" i="2"/>
  <c r="BF857" i="2"/>
  <c r="AX857" i="2"/>
  <c r="BF712" i="2"/>
  <c r="BG712" i="2"/>
  <c r="BF560" i="2"/>
  <c r="BE560" i="2"/>
  <c r="AY690" i="2"/>
  <c r="AX690" i="2"/>
  <c r="BD690" i="2"/>
  <c r="AY834" i="2"/>
  <c r="AX834" i="2"/>
  <c r="BG834" i="2"/>
  <c r="BF834" i="2"/>
  <c r="AW526" i="2"/>
  <c r="BF526" i="2"/>
  <c r="AX526" i="2"/>
  <c r="BG200" i="2"/>
  <c r="BF200" i="2"/>
  <c r="AX731" i="2"/>
  <c r="BF731" i="2"/>
  <c r="AX610" i="2"/>
  <c r="BF610" i="2"/>
  <c r="AX145" i="2"/>
  <c r="AX328" i="2"/>
  <c r="BF328" i="2"/>
  <c r="BE214" i="2"/>
  <c r="BG214" i="2"/>
  <c r="BF214" i="2"/>
  <c r="AX71" i="2"/>
  <c r="AV368" i="2"/>
  <c r="AU368" i="2"/>
  <c r="BF368" i="2"/>
  <c r="AW368" i="2"/>
  <c r="AX368" i="2"/>
  <c r="AV428" i="2"/>
  <c r="AU428" i="2"/>
  <c r="AX428" i="2"/>
  <c r="BE426" i="2"/>
  <c r="BF426" i="2"/>
  <c r="BG426" i="2"/>
  <c r="BD426" i="2"/>
  <c r="AY426" i="2"/>
  <c r="AX426" i="2"/>
  <c r="AY454" i="2"/>
  <c r="AX454" i="2"/>
  <c r="AW454" i="2"/>
  <c r="BF454" i="2"/>
  <c r="AU431" i="2"/>
  <c r="AV431" i="2"/>
  <c r="AW431" i="2"/>
  <c r="AX431" i="2"/>
  <c r="BE431" i="2"/>
  <c r="BF133" i="2"/>
  <c r="AX142" i="2"/>
  <c r="BF142" i="2"/>
  <c r="AY483" i="2"/>
  <c r="BF483" i="2"/>
  <c r="BD483" i="2"/>
  <c r="BG483" i="2"/>
  <c r="AV965" i="2"/>
  <c r="AU965" i="2"/>
  <c r="AX965" i="2"/>
  <c r="BF965" i="2"/>
  <c r="BE235" i="2"/>
  <c r="AX235" i="2"/>
  <c r="BD235" i="2"/>
  <c r="BF235" i="2"/>
  <c r="BG235" i="2"/>
  <c r="AV561" i="2"/>
  <c r="BF561" i="2"/>
  <c r="BG561" i="2"/>
  <c r="AU561" i="2"/>
  <c r="BE561" i="2"/>
  <c r="AW561" i="2"/>
  <c r="BD561" i="2"/>
  <c r="AY561" i="2"/>
  <c r="AV522" i="2"/>
  <c r="BD522" i="2"/>
  <c r="AY522" i="2"/>
  <c r="BF522" i="2"/>
  <c r="AW277" i="2"/>
  <c r="BE277" i="2"/>
  <c r="AY277" i="2"/>
  <c r="BG277" i="2"/>
  <c r="BF277" i="2"/>
  <c r="AX277" i="2"/>
  <c r="AX636" i="2"/>
  <c r="BF636" i="2"/>
  <c r="BF286" i="2"/>
  <c r="AW286" i="2"/>
  <c r="AX286" i="2"/>
  <c r="AY286" i="2"/>
  <c r="BD286" i="2"/>
  <c r="BG286" i="2"/>
  <c r="BE286" i="2"/>
  <c r="AU655" i="2"/>
  <c r="AV655" i="2"/>
  <c r="BG655" i="2"/>
  <c r="AX655" i="2"/>
  <c r="BD655" i="2"/>
  <c r="BF655" i="2"/>
  <c r="AY655" i="2"/>
  <c r="AV693" i="2"/>
  <c r="AU693" i="2"/>
  <c r="AX693" i="2"/>
  <c r="BF693" i="2"/>
  <c r="AV733" i="2"/>
  <c r="AU733" i="2"/>
  <c r="AV572" i="2"/>
  <c r="AU572" i="2"/>
  <c r="BE572" i="2"/>
  <c r="AX572" i="2"/>
  <c r="BF572" i="2"/>
  <c r="AW572" i="2"/>
  <c r="AW362" i="2"/>
  <c r="BE362" i="2"/>
  <c r="AX362" i="2"/>
  <c r="BF362" i="2"/>
  <c r="AU342" i="2"/>
  <c r="AV342" i="2"/>
  <c r="AX342" i="2"/>
  <c r="BF342" i="2"/>
  <c r="AY383" i="2"/>
  <c r="BD383" i="2"/>
  <c r="BE383" i="2"/>
  <c r="BF383" i="2"/>
  <c r="AW383" i="2"/>
  <c r="BF255" i="2"/>
  <c r="BE255" i="2"/>
  <c r="AX255" i="2"/>
  <c r="AU387" i="2"/>
  <c r="AV387" i="2"/>
  <c r="AX387" i="2"/>
  <c r="AW387" i="2"/>
  <c r="BF387" i="2"/>
  <c r="AU438" i="2"/>
  <c r="AV438" i="2"/>
  <c r="AX438" i="2"/>
  <c r="BE438" i="2"/>
  <c r="AW438" i="2"/>
  <c r="BD438" i="2"/>
  <c r="BF438" i="2"/>
  <c r="AU492" i="2"/>
  <c r="AV492" i="2"/>
  <c r="BD492" i="2"/>
  <c r="AX492" i="2"/>
  <c r="BF492" i="2"/>
  <c r="BE492" i="2"/>
  <c r="AX78" i="2"/>
  <c r="AW472" i="2"/>
  <c r="BD472" i="2"/>
  <c r="AY472" i="2"/>
  <c r="BG472" i="2"/>
  <c r="BF472" i="2"/>
  <c r="AX472" i="2"/>
  <c r="BE450" i="2"/>
  <c r="AX450" i="2"/>
  <c r="AW450" i="2"/>
  <c r="BG450" i="2"/>
  <c r="BD450" i="2"/>
  <c r="BF450" i="2"/>
  <c r="AY496" i="2"/>
  <c r="AX496" i="2"/>
  <c r="BE496" i="2"/>
  <c r="BF502" i="2"/>
  <c r="AW502" i="2"/>
  <c r="AX502" i="2"/>
  <c r="AX755" i="2"/>
  <c r="AW755" i="2"/>
  <c r="AV606" i="2"/>
  <c r="AU606" i="2"/>
  <c r="AW606" i="2"/>
  <c r="BF144" i="2"/>
  <c r="BD144" i="2"/>
  <c r="AY306" i="2"/>
  <c r="BF306" i="2"/>
  <c r="AW306" i="2"/>
  <c r="BG306" i="2"/>
  <c r="BE306" i="2"/>
  <c r="AX306" i="2"/>
  <c r="AV905" i="2"/>
  <c r="AX905" i="2"/>
  <c r="AU905" i="2"/>
  <c r="BF905" i="2"/>
  <c r="AW650" i="2"/>
  <c r="AY650" i="2"/>
  <c r="BE143" i="2"/>
  <c r="BF143" i="2"/>
  <c r="BD143" i="2"/>
  <c r="AU331" i="2"/>
  <c r="BE331" i="2"/>
  <c r="BF331" i="2"/>
  <c r="AV331" i="2"/>
  <c r="AX331" i="2"/>
  <c r="AX256" i="2"/>
  <c r="BE256" i="2"/>
  <c r="BF256" i="2"/>
  <c r="BF128" i="2"/>
  <c r="BE128" i="2"/>
  <c r="BF220" i="2"/>
  <c r="BE220" i="2"/>
  <c r="BG257" i="2"/>
  <c r="AX257" i="2"/>
  <c r="BF257" i="2"/>
  <c r="AV386" i="2"/>
  <c r="AU386" i="2"/>
  <c r="AX386" i="2"/>
  <c r="BE386" i="2"/>
  <c r="AW386" i="2"/>
  <c r="BF386" i="2"/>
  <c r="BF53" i="2"/>
  <c r="BD432" i="2"/>
  <c r="BF432" i="2"/>
  <c r="AW432" i="2"/>
  <c r="AX432" i="2"/>
  <c r="AY432" i="2"/>
  <c r="AV437" i="2"/>
  <c r="AU437" i="2"/>
  <c r="BF231" i="2"/>
  <c r="BF550" i="2"/>
  <c r="AX550" i="2"/>
  <c r="BF774" i="2"/>
  <c r="AY774" i="2"/>
  <c r="AX774" i="2"/>
  <c r="BF716" i="2"/>
  <c r="AY921" i="2"/>
  <c r="BF887" i="2"/>
  <c r="AX887" i="2"/>
  <c r="BD887" i="2"/>
  <c r="AY887" i="2"/>
  <c r="AY787" i="2"/>
  <c r="BG787" i="2"/>
  <c r="AX876" i="2"/>
  <c r="BG876" i="2"/>
  <c r="BF876" i="2"/>
  <c r="AY589" i="2"/>
  <c r="BF589" i="2"/>
  <c r="AX589" i="2"/>
  <c r="BG589" i="2"/>
  <c r="BF939" i="2"/>
  <c r="AX939" i="2"/>
  <c r="AY766" i="2"/>
  <c r="BF766" i="2"/>
  <c r="BD766" i="2"/>
  <c r="AX766" i="2"/>
  <c r="AW492" i="2"/>
  <c r="BF126" i="2"/>
  <c r="BG126" i="2"/>
  <c r="BE126" i="2"/>
  <c r="BD126" i="2"/>
  <c r="BE186" i="2"/>
  <c r="BF186" i="2"/>
  <c r="AX230" i="2"/>
  <c r="BF230" i="2"/>
  <c r="AV757" i="2"/>
  <c r="AU757" i="2"/>
  <c r="BF322" i="2"/>
  <c r="AY322" i="2"/>
  <c r="AX322" i="2"/>
  <c r="BF274" i="2"/>
  <c r="AV439" i="2"/>
  <c r="AU439" i="2"/>
  <c r="BF439" i="2"/>
  <c r="BE428" i="2"/>
  <c r="AV487" i="2"/>
  <c r="AU487" i="2"/>
  <c r="AW487" i="2"/>
  <c r="BF487" i="2"/>
  <c r="BE487" i="2"/>
  <c r="BG487" i="2"/>
  <c r="AX487" i="2"/>
  <c r="BF48" i="2"/>
  <c r="BF325" i="2"/>
  <c r="AX325" i="2"/>
  <c r="BD325" i="2"/>
  <c r="AY325" i="2"/>
  <c r="BG92" i="2"/>
  <c r="AX92" i="2"/>
  <c r="AY92" i="2"/>
  <c r="BF92" i="2"/>
  <c r="AY922" i="2"/>
  <c r="AW956" i="2"/>
  <c r="AX813" i="2"/>
  <c r="AX1098" i="2"/>
  <c r="BE144" i="2"/>
  <c r="AU518" i="2"/>
  <c r="AV518" i="2"/>
  <c r="AV556" i="2"/>
  <c r="AU556" i="2"/>
  <c r="AW490" i="2"/>
  <c r="AV490" i="2"/>
  <c r="AU490" i="2"/>
  <c r="AU709" i="2"/>
  <c r="AV709" i="2"/>
  <c r="BE119" i="2"/>
  <c r="BE319" i="2"/>
  <c r="AV319" i="2"/>
  <c r="AV394" i="2"/>
  <c r="AU394" i="2"/>
  <c r="AV374" i="2"/>
  <c r="BE374" i="2"/>
  <c r="AU374" i="2"/>
  <c r="BF374" i="2"/>
  <c r="AW374" i="2"/>
  <c r="AU418" i="2"/>
  <c r="AV418" i="2"/>
  <c r="AV423" i="2"/>
  <c r="AU423" i="2"/>
  <c r="AX238" i="2"/>
  <c r="BE198" i="2"/>
  <c r="AV336" i="2"/>
  <c r="AU336" i="2"/>
  <c r="AU396" i="2"/>
  <c r="AV396" i="2"/>
  <c r="AV389" i="2"/>
  <c r="AU389" i="2"/>
  <c r="BE389" i="2"/>
  <c r="AW389" i="2"/>
  <c r="AV422" i="2"/>
  <c r="AU422" i="2"/>
  <c r="BE142" i="2"/>
  <c r="AY1107" i="2"/>
  <c r="BF1197" i="2"/>
  <c r="AX1205" i="2"/>
  <c r="AX1129" i="2"/>
  <c r="BF1052" i="2"/>
  <c r="AX1012" i="2"/>
  <c r="BG783" i="2"/>
  <c r="BG1165" i="2"/>
  <c r="AY1193" i="2"/>
  <c r="AX1039" i="2"/>
  <c r="BF1203" i="2"/>
  <c r="BE655" i="2"/>
  <c r="AV545" i="2"/>
  <c r="AU545" i="2"/>
  <c r="AV506" i="2"/>
  <c r="AU506" i="2"/>
  <c r="BE261" i="2"/>
  <c r="AV306" i="2"/>
  <c r="AU306" i="2"/>
  <c r="AU351" i="2"/>
  <c r="BE351" i="2"/>
  <c r="AW351" i="2"/>
  <c r="AV595" i="2"/>
  <c r="AU595" i="2"/>
  <c r="AU538" i="2"/>
  <c r="AV538" i="2"/>
  <c r="AU524" i="2"/>
  <c r="AV524" i="2"/>
  <c r="AV481" i="2"/>
  <c r="AU481" i="2"/>
  <c r="BE481" i="2"/>
  <c r="AV638" i="2"/>
  <c r="AU638" i="2"/>
  <c r="AU637" i="2"/>
  <c r="AV637" i="2"/>
  <c r="AW354" i="2"/>
  <c r="AV597" i="2"/>
  <c r="AU597" i="2"/>
  <c r="AV309" i="2"/>
  <c r="AU309" i="2"/>
  <c r="AV409" i="2"/>
  <c r="AU409" i="2"/>
  <c r="AU443" i="2"/>
  <c r="AV443" i="2"/>
  <c r="AV816" i="2"/>
  <c r="AU816" i="2"/>
  <c r="AU707" i="2"/>
  <c r="AV707" i="2"/>
  <c r="BE707" i="2"/>
  <c r="AW707" i="2"/>
  <c r="AV649" i="2"/>
  <c r="AU649" i="2"/>
  <c r="AV571" i="2"/>
  <c r="AU571" i="2"/>
  <c r="AV933" i="2"/>
  <c r="AU933" i="2"/>
  <c r="AU311" i="2"/>
  <c r="AV311" i="2"/>
  <c r="AV467" i="2"/>
  <c r="AU467" i="2"/>
  <c r="AV445" i="2"/>
  <c r="AU445" i="2"/>
  <c r="BE445" i="2"/>
  <c r="AU491" i="2"/>
  <c r="AV491" i="2"/>
  <c r="AV695" i="2"/>
  <c r="AU695" i="2"/>
  <c r="AU1021" i="2"/>
  <c r="AV1021" i="2"/>
  <c r="BE133" i="2"/>
  <c r="AV529" i="2"/>
  <c r="AU529" i="2"/>
  <c r="AV495" i="2"/>
  <c r="AU495" i="2"/>
  <c r="AV587" i="2"/>
  <c r="AU587" i="2"/>
  <c r="AW278" i="2"/>
  <c r="BG951" i="2"/>
  <c r="AX794" i="2"/>
  <c r="AX768" i="2"/>
  <c r="AX1145" i="2"/>
  <c r="BF926" i="2"/>
  <c r="AU661" i="2"/>
  <c r="BE650" i="2"/>
  <c r="AV482" i="2"/>
  <c r="AV401" i="2"/>
  <c r="AU401" i="2"/>
  <c r="AW401" i="2"/>
  <c r="AV971" i="2"/>
  <c r="AU971" i="2"/>
  <c r="AU646" i="2"/>
  <c r="AV646" i="2"/>
  <c r="AW646" i="2"/>
  <c r="AV298" i="2"/>
  <c r="AU298" i="2"/>
  <c r="AU751" i="2"/>
  <c r="AV751" i="2"/>
  <c r="AV343" i="2"/>
  <c r="AU343" i="2"/>
  <c r="BE21" i="2"/>
  <c r="AV505" i="2"/>
  <c r="AU505" i="2"/>
  <c r="AV543" i="2"/>
  <c r="AU543" i="2"/>
  <c r="AV745" i="2"/>
  <c r="AU745" i="2"/>
  <c r="BE199" i="2"/>
  <c r="BE418" i="2"/>
  <c r="AV615" i="2"/>
  <c r="AU615" i="2"/>
  <c r="AU554" i="2"/>
  <c r="AV554" i="2"/>
  <c r="AU762" i="2"/>
  <c r="AV762" i="2"/>
  <c r="AU303" i="2"/>
  <c r="AV303" i="2"/>
  <c r="AV838" i="2"/>
  <c r="AU838" i="2"/>
  <c r="AY975" i="2"/>
  <c r="AX1045" i="2"/>
  <c r="AY1133" i="2"/>
  <c r="AX1115" i="2"/>
  <c r="AX1074" i="2"/>
  <c r="AX1119" i="2"/>
  <c r="BG1200" i="2"/>
  <c r="BG950" i="2"/>
  <c r="BE755" i="2"/>
  <c r="AW791" i="2"/>
  <c r="BD948" i="2"/>
  <c r="AU366" i="2"/>
  <c r="BE366" i="2"/>
  <c r="AU379" i="2"/>
  <c r="AW379" i="2"/>
  <c r="AV625" i="2"/>
  <c r="AU625" i="2"/>
  <c r="AU330" i="2"/>
  <c r="AW330" i="2"/>
  <c r="AV330" i="2"/>
  <c r="AU375" i="2"/>
  <c r="AV375" i="2"/>
  <c r="BE375" i="2"/>
  <c r="BE325" i="2"/>
  <c r="AW325" i="2"/>
  <c r="AV426" i="2"/>
  <c r="AW426" i="2"/>
  <c r="AV450" i="2"/>
  <c r="AU450" i="2"/>
  <c r="BE94" i="2"/>
  <c r="AW455" i="2"/>
  <c r="AV455" i="2"/>
  <c r="AU455" i="2"/>
  <c r="AW570" i="2"/>
  <c r="AU570" i="2"/>
  <c r="AV570" i="2"/>
  <c r="BE570" i="2"/>
  <c r="AV530" i="2"/>
  <c r="AU530" i="2"/>
  <c r="AV756" i="2"/>
  <c r="AU756" i="2"/>
  <c r="AX74" i="2"/>
  <c r="BE127" i="2"/>
  <c r="AU614" i="2"/>
  <c r="AV614" i="2"/>
  <c r="AU335" i="2"/>
  <c r="AV335" i="2"/>
  <c r="AV564" i="2"/>
  <c r="AV369" i="2"/>
  <c r="AU369" i="2"/>
  <c r="AW369" i="2"/>
  <c r="AU1028" i="2"/>
  <c r="AV1028" i="2"/>
  <c r="AU362" i="2"/>
  <c r="AV362" i="2"/>
  <c r="AV617" i="2"/>
  <c r="AU617" i="2"/>
  <c r="AV578" i="2"/>
  <c r="AU578" i="2"/>
  <c r="AW578" i="2"/>
  <c r="AW428" i="2"/>
  <c r="BE518" i="2"/>
  <c r="BE491" i="2"/>
  <c r="AU474" i="2"/>
  <c r="AV474" i="2"/>
  <c r="AV322" i="2"/>
  <c r="AU322" i="2"/>
  <c r="AV367" i="2"/>
  <c r="AU367" i="2"/>
  <c r="BE681" i="2"/>
  <c r="AV458" i="2"/>
  <c r="AV884" i="2"/>
  <c r="AU884" i="2"/>
  <c r="AU293" i="2"/>
  <c r="AV293" i="2"/>
  <c r="AV417" i="2"/>
  <c r="AU417" i="2"/>
  <c r="AU441" i="2"/>
  <c r="AV441" i="2"/>
  <c r="AU446" i="2"/>
  <c r="AV446" i="2"/>
  <c r="AV477" i="2"/>
  <c r="AU477" i="2"/>
  <c r="AV310" i="2"/>
  <c r="AU310" i="2"/>
  <c r="AV1035" i="2"/>
  <c r="AU1035" i="2"/>
  <c r="AV304" i="2"/>
  <c r="AU304" i="2"/>
  <c r="AV923" i="2"/>
  <c r="AU923" i="2"/>
  <c r="AU435" i="2"/>
  <c r="AV435" i="2"/>
  <c r="AU459" i="2"/>
  <c r="AV459" i="2"/>
  <c r="AV354" i="2"/>
  <c r="AU354" i="2"/>
  <c r="AU395" i="2"/>
  <c r="AV395" i="2"/>
  <c r="BE311" i="2"/>
  <c r="BD851" i="2"/>
  <c r="BF851" i="2"/>
  <c r="AZ851" i="2"/>
  <c r="BA851" i="2"/>
  <c r="BH851" i="2"/>
  <c r="BB851" i="2"/>
  <c r="AX851" i="2"/>
  <c r="BC627" i="2"/>
  <c r="BA627" i="2"/>
  <c r="BB627" i="2"/>
  <c r="BF627" i="2"/>
  <c r="BH627" i="2"/>
  <c r="BG627" i="2"/>
  <c r="AY627" i="2"/>
  <c r="BE607" i="2"/>
  <c r="BH607" i="2"/>
  <c r="AZ607" i="2"/>
  <c r="BF607" i="2"/>
  <c r="BG686" i="2"/>
  <c r="BH686" i="2"/>
  <c r="BF686" i="2"/>
  <c r="AZ686" i="2"/>
  <c r="AZ104" i="2"/>
  <c r="BA104" i="2"/>
  <c r="BF839" i="2"/>
  <c r="AZ839" i="2"/>
  <c r="BB839" i="2"/>
  <c r="BD839" i="2"/>
  <c r="BA839" i="2"/>
  <c r="BH839" i="2"/>
  <c r="BC839" i="2"/>
  <c r="BG621" i="2"/>
  <c r="BA621" i="2"/>
  <c r="AW621" i="2"/>
  <c r="BC621" i="2"/>
  <c r="AY621" i="2"/>
  <c r="BH621" i="2"/>
  <c r="AZ621" i="2"/>
  <c r="AX600" i="2"/>
  <c r="BF600" i="2"/>
  <c r="BC600" i="2"/>
  <c r="BA600" i="2"/>
  <c r="BG600" i="2"/>
  <c r="AZ600" i="2"/>
  <c r="AY600" i="2"/>
  <c r="AX678" i="2"/>
  <c r="AY678" i="2"/>
  <c r="BD678" i="2"/>
  <c r="BG678" i="2"/>
  <c r="BF678" i="2"/>
  <c r="AZ678" i="2"/>
  <c r="BH678" i="2"/>
  <c r="BA678" i="2"/>
  <c r="BB678" i="2"/>
  <c r="BF96" i="2"/>
  <c r="BG96" i="2"/>
  <c r="BH96" i="2"/>
  <c r="AY96" i="2"/>
  <c r="AX823" i="2"/>
  <c r="BF823" i="2"/>
  <c r="BH823" i="2"/>
  <c r="BA823" i="2"/>
  <c r="AW823" i="2"/>
  <c r="BC823" i="2"/>
  <c r="AY823" i="2"/>
  <c r="AZ823" i="2"/>
  <c r="BG823" i="2"/>
  <c r="BB823" i="2"/>
  <c r="BF615" i="2"/>
  <c r="BB615" i="2"/>
  <c r="AZ615" i="2"/>
  <c r="BG615" i="2"/>
  <c r="BH615" i="2"/>
  <c r="BA615" i="2"/>
  <c r="BF594" i="2"/>
  <c r="BH594" i="2"/>
  <c r="AZ594" i="2"/>
  <c r="BG594" i="2"/>
  <c r="AX670" i="2"/>
  <c r="BG670" i="2"/>
  <c r="AZ670" i="2"/>
  <c r="BE670" i="2"/>
  <c r="BH670" i="2"/>
  <c r="BA670" i="2"/>
  <c r="AW670" i="2"/>
  <c r="BB670" i="2"/>
  <c r="BF670" i="2"/>
  <c r="AY670" i="2"/>
  <c r="AX88" i="2"/>
  <c r="BH79" i="2"/>
  <c r="BB622" i="2"/>
  <c r="AX622" i="2"/>
  <c r="BF622" i="2"/>
  <c r="BC622" i="2"/>
  <c r="AZ622" i="2"/>
  <c r="BA622" i="2"/>
  <c r="AY404" i="2"/>
  <c r="BF404" i="2"/>
  <c r="BA404" i="2"/>
  <c r="BH404" i="2"/>
  <c r="AZ404" i="2"/>
  <c r="BB404" i="2"/>
  <c r="BC404" i="2"/>
  <c r="BA818" i="2"/>
  <c r="AY818" i="2"/>
  <c r="BH818" i="2"/>
  <c r="BF818" i="2"/>
  <c r="BC818" i="2"/>
  <c r="AY344" i="2"/>
  <c r="BF344" i="2"/>
  <c r="AZ344" i="2"/>
  <c r="BC344" i="2"/>
  <c r="BH344" i="2"/>
  <c r="AX618" i="2"/>
  <c r="BD618" i="2"/>
  <c r="BH618" i="2"/>
  <c r="BF400" i="2"/>
  <c r="BG400" i="2"/>
  <c r="BA400" i="2"/>
  <c r="AY400" i="2"/>
  <c r="BH400" i="2"/>
  <c r="BD400" i="2"/>
  <c r="BB803" i="2"/>
  <c r="BG803" i="2"/>
  <c r="AZ803" i="2"/>
  <c r="AY803" i="2"/>
  <c r="BH803" i="2"/>
  <c r="BA803" i="2"/>
  <c r="AW803" i="2"/>
  <c r="BC803" i="2"/>
  <c r="AY340" i="2"/>
  <c r="BA340" i="2"/>
  <c r="BG340" i="2"/>
  <c r="BD340" i="2"/>
  <c r="BC340" i="2"/>
  <c r="BF340" i="2"/>
  <c r="BD770" i="2"/>
  <c r="BH770" i="2"/>
  <c r="BB770" i="2"/>
  <c r="BA770" i="2"/>
  <c r="BC770" i="2"/>
  <c r="AX590" i="2"/>
  <c r="BH590" i="2"/>
  <c r="BE590" i="2"/>
  <c r="AY590" i="2"/>
  <c r="AZ590" i="2"/>
  <c r="BF590" i="2"/>
  <c r="BG590" i="2"/>
  <c r="BA590" i="2"/>
  <c r="BF488" i="2"/>
  <c r="BE488" i="2"/>
  <c r="BH488" i="2"/>
  <c r="BB488" i="2"/>
  <c r="AZ488" i="2"/>
  <c r="BA488" i="2"/>
  <c r="BG488" i="2"/>
  <c r="BC488" i="2"/>
  <c r="BF539" i="2"/>
  <c r="BH539" i="2"/>
  <c r="BA539" i="2"/>
  <c r="BB539" i="2"/>
  <c r="AY539" i="2"/>
  <c r="BG539" i="2"/>
  <c r="BC539" i="2"/>
  <c r="AY434" i="2"/>
  <c r="BD434" i="2"/>
  <c r="BF434" i="2"/>
  <c r="BA434" i="2"/>
  <c r="BG434" i="2"/>
  <c r="BE434" i="2"/>
  <c r="BC434" i="2"/>
  <c r="BF56" i="2"/>
  <c r="BA56" i="2"/>
  <c r="BG56" i="2"/>
  <c r="AX56" i="2"/>
  <c r="BH56" i="2"/>
  <c r="BE56" i="2"/>
  <c r="BE47" i="2"/>
  <c r="BF47" i="2"/>
  <c r="BH47" i="2"/>
  <c r="BD47" i="2"/>
  <c r="AY1054" i="2"/>
  <c r="AZ1054" i="2"/>
  <c r="BH1054" i="2"/>
  <c r="BB1054" i="2"/>
  <c r="BD1054" i="2"/>
  <c r="BF1054" i="2"/>
  <c r="BE96" i="2"/>
  <c r="BC851" i="2"/>
  <c r="BC400" i="2"/>
  <c r="BC615" i="2"/>
  <c r="BD56" i="2"/>
  <c r="BE627" i="2"/>
  <c r="BB1195" i="2"/>
  <c r="BH1195" i="2"/>
  <c r="AW434" i="2"/>
  <c r="BB512" i="2"/>
  <c r="AW512" i="2"/>
  <c r="BG512" i="2"/>
  <c r="BF512" i="2"/>
  <c r="BH512" i="2"/>
  <c r="BE512" i="2"/>
  <c r="BC512" i="2"/>
  <c r="BF563" i="2"/>
  <c r="BE563" i="2"/>
  <c r="AZ563" i="2"/>
  <c r="AW563" i="2"/>
  <c r="BD563" i="2"/>
  <c r="AY563" i="2"/>
  <c r="BA563" i="2"/>
  <c r="BE461" i="2"/>
  <c r="BH461" i="2"/>
  <c r="AZ461" i="2"/>
  <c r="BB461" i="2"/>
  <c r="AY461" i="2"/>
  <c r="BG461" i="2"/>
  <c r="BC461" i="2"/>
  <c r="BF461" i="2"/>
  <c r="AX456" i="2"/>
  <c r="BC456" i="2"/>
  <c r="AZ456" i="2"/>
  <c r="BG456" i="2"/>
  <c r="BB456" i="2"/>
  <c r="BF456" i="2"/>
  <c r="BB831" i="2"/>
  <c r="BH831" i="2"/>
  <c r="BE831" i="2"/>
  <c r="BA831" i="2"/>
  <c r="BC831" i="2"/>
  <c r="BF508" i="2"/>
  <c r="BH508" i="2"/>
  <c r="BA508" i="2"/>
  <c r="AW508" i="2"/>
  <c r="BG508" i="2"/>
  <c r="AZ508" i="2"/>
  <c r="AY508" i="2"/>
  <c r="BB508" i="2"/>
  <c r="BC508" i="2"/>
  <c r="BD508" i="2"/>
  <c r="AX559" i="2"/>
  <c r="BG559" i="2"/>
  <c r="AW559" i="2"/>
  <c r="BE559" i="2"/>
  <c r="AY559" i="2"/>
  <c r="AZ559" i="2"/>
  <c r="BF559" i="2"/>
  <c r="BA559" i="2"/>
  <c r="AX457" i="2"/>
  <c r="BB457" i="2"/>
  <c r="BA457" i="2"/>
  <c r="BF457" i="2"/>
  <c r="BC457" i="2"/>
  <c r="BG457" i="2"/>
  <c r="BF451" i="2"/>
  <c r="BC451" i="2"/>
  <c r="AY451" i="2"/>
  <c r="BG451" i="2"/>
  <c r="BA791" i="2"/>
  <c r="BB791" i="2"/>
  <c r="BC791" i="2"/>
  <c r="BG791" i="2"/>
  <c r="BF791" i="2"/>
  <c r="AY791" i="2"/>
  <c r="AZ791" i="2"/>
  <c r="BH791" i="2"/>
  <c r="AZ504" i="2"/>
  <c r="BH504" i="2"/>
  <c r="BB504" i="2"/>
  <c r="BA504" i="2"/>
  <c r="AX504" i="2"/>
  <c r="BF504" i="2"/>
  <c r="BF555" i="2"/>
  <c r="BH555" i="2"/>
  <c r="BB555" i="2"/>
  <c r="AZ555" i="2"/>
  <c r="BA555" i="2"/>
  <c r="BC555" i="2"/>
  <c r="BF452" i="2"/>
  <c r="BA452" i="2"/>
  <c r="AW452" i="2"/>
  <c r="AY452" i="2"/>
  <c r="BH452" i="2"/>
  <c r="BD452" i="2"/>
  <c r="BC452" i="2"/>
  <c r="AY447" i="2"/>
  <c r="BG447" i="2"/>
  <c r="BH447" i="2"/>
  <c r="BB447" i="2"/>
  <c r="BC447" i="2"/>
  <c r="AZ447" i="2"/>
  <c r="BA447" i="2"/>
  <c r="AX814" i="2"/>
  <c r="BF814" i="2"/>
  <c r="BH814" i="2"/>
  <c r="BG814" i="2"/>
  <c r="AY814" i="2"/>
  <c r="BA814" i="2"/>
  <c r="BB814" i="2"/>
  <c r="BA724" i="2"/>
  <c r="BD724" i="2"/>
  <c r="BB724" i="2"/>
  <c r="AZ724" i="2"/>
  <c r="BH724" i="2"/>
  <c r="BH977" i="2"/>
  <c r="BB977" i="2"/>
  <c r="BA977" i="2"/>
  <c r="AZ977" i="2"/>
  <c r="AY534" i="2"/>
  <c r="AX534" i="2"/>
  <c r="BG534" i="2"/>
  <c r="AZ534" i="2"/>
  <c r="BF534" i="2"/>
  <c r="BB534" i="2"/>
  <c r="BD534" i="2"/>
  <c r="BA534" i="2"/>
  <c r="AX169" i="2"/>
  <c r="BH169" i="2"/>
  <c r="AZ169" i="2"/>
  <c r="BF169" i="2"/>
  <c r="BA169" i="2"/>
  <c r="AX807" i="2"/>
  <c r="BF807" i="2"/>
  <c r="BC807" i="2"/>
  <c r="AZ807" i="2"/>
  <c r="BD807" i="2"/>
  <c r="AY807" i="2"/>
  <c r="BG807" i="2"/>
  <c r="AX715" i="2"/>
  <c r="BF715" i="2"/>
  <c r="AZ715" i="2"/>
  <c r="BA715" i="2"/>
  <c r="BG715" i="2"/>
  <c r="BH715" i="2"/>
  <c r="BC715" i="2"/>
  <c r="BF948" i="2"/>
  <c r="AY948" i="2"/>
  <c r="AX948" i="2"/>
  <c r="BB948" i="2"/>
  <c r="AZ948" i="2"/>
  <c r="BC948" i="2"/>
  <c r="BG948" i="2"/>
  <c r="BA948" i="2"/>
  <c r="BF530" i="2"/>
  <c r="AX530" i="2"/>
  <c r="BH530" i="2"/>
  <c r="BG530" i="2"/>
  <c r="BC530" i="2"/>
  <c r="BA530" i="2"/>
  <c r="AY530" i="2"/>
  <c r="AX161" i="2"/>
  <c r="BF161" i="2"/>
  <c r="AZ161" i="2"/>
  <c r="BG161" i="2"/>
  <c r="AX739" i="2"/>
  <c r="BF739" i="2"/>
  <c r="BA739" i="2"/>
  <c r="BG739" i="2"/>
  <c r="BB739" i="2"/>
  <c r="BE739" i="2"/>
  <c r="AY739" i="2"/>
  <c r="BH739" i="2"/>
  <c r="AZ739" i="2"/>
  <c r="BC739" i="2"/>
  <c r="BF573" i="2"/>
  <c r="AX573" i="2"/>
  <c r="BH573" i="2"/>
  <c r="BA573" i="2"/>
  <c r="BE573" i="2"/>
  <c r="BC573" i="2"/>
  <c r="AY573" i="2"/>
  <c r="AZ573" i="2"/>
  <c r="AX642" i="2"/>
  <c r="AY642" i="2"/>
  <c r="BA642" i="2"/>
  <c r="AZ642" i="2"/>
  <c r="BF642" i="2"/>
  <c r="BG642" i="2"/>
  <c r="BC642" i="2"/>
  <c r="AW642" i="2"/>
  <c r="AX429" i="2"/>
  <c r="BG429" i="2"/>
  <c r="AW429" i="2"/>
  <c r="BE429" i="2"/>
  <c r="BF429" i="2"/>
  <c r="BB429" i="2"/>
  <c r="BD739" i="2"/>
  <c r="BC559" i="2"/>
  <c r="BD818" i="2"/>
  <c r="BD607" i="2"/>
  <c r="BD977" i="2"/>
  <c r="BB600" i="2"/>
  <c r="BB340" i="2"/>
  <c r="BB715" i="2"/>
  <c r="BE615" i="2"/>
  <c r="BA1054" i="2"/>
  <c r="BA47" i="2"/>
  <c r="BA607" i="2"/>
  <c r="AZ618" i="2"/>
  <c r="AZ530" i="2"/>
  <c r="BG47" i="2"/>
  <c r="AY512" i="2"/>
  <c r="AY839" i="2"/>
  <c r="BF724" i="2"/>
  <c r="BC594" i="2"/>
  <c r="BC678" i="2"/>
  <c r="BC563" i="2"/>
  <c r="BD404" i="2"/>
  <c r="BB642" i="2"/>
  <c r="BE814" i="2"/>
  <c r="BE530" i="2"/>
  <c r="BB618" i="2"/>
  <c r="BB434" i="2"/>
  <c r="BB807" i="2"/>
  <c r="BB594" i="2"/>
  <c r="BB88" i="2"/>
  <c r="BE539" i="2"/>
  <c r="BH457" i="2"/>
  <c r="AZ457" i="2"/>
  <c r="BA686" i="2"/>
  <c r="BH948" i="2"/>
  <c r="BH534" i="2"/>
  <c r="BH340" i="2"/>
  <c r="BH429" i="2"/>
  <c r="AZ434" i="2"/>
  <c r="AZ47" i="2"/>
  <c r="AZ452" i="2"/>
  <c r="BG563" i="2"/>
  <c r="BD461" i="2"/>
  <c r="BD823" i="2"/>
  <c r="BD642" i="2"/>
  <c r="BD512" i="2"/>
  <c r="BD814" i="2"/>
  <c r="BC618" i="2"/>
  <c r="BC429" i="2"/>
  <c r="BD447" i="2"/>
  <c r="BD831" i="2"/>
  <c r="BB686" i="2"/>
  <c r="BB344" i="2"/>
  <c r="AW615" i="2"/>
  <c r="BA461" i="2"/>
  <c r="BA429" i="2"/>
  <c r="BH807" i="2"/>
  <c r="AZ340" i="2"/>
  <c r="AZ400" i="2"/>
  <c r="AZ512" i="2"/>
  <c r="AZ627" i="2"/>
  <c r="AZ429" i="2"/>
  <c r="AX434" i="2"/>
  <c r="BG839" i="2"/>
  <c r="AY488" i="2"/>
  <c r="BF447" i="2"/>
  <c r="BE621" i="2"/>
  <c r="AW451" i="2"/>
  <c r="BD451" i="2"/>
  <c r="BD456" i="2"/>
  <c r="BC686" i="2"/>
  <c r="BC724" i="2"/>
  <c r="BC607" i="2"/>
  <c r="BB573" i="2"/>
  <c r="BB451" i="2"/>
  <c r="BB607" i="2"/>
  <c r="AW590" i="2"/>
  <c r="BA512" i="2"/>
  <c r="BA451" i="2"/>
  <c r="BH161" i="2"/>
  <c r="BA594" i="2"/>
  <c r="BH434" i="2"/>
  <c r="AZ770" i="2"/>
  <c r="AZ814" i="2"/>
  <c r="BG618" i="2"/>
  <c r="BG344" i="2"/>
  <c r="BG452" i="2"/>
  <c r="AY615" i="2"/>
  <c r="AX594" i="2"/>
  <c r="BD539" i="2"/>
  <c r="BD627" i="2"/>
  <c r="BE451" i="2"/>
  <c r="BE791" i="2"/>
  <c r="AW457" i="2"/>
  <c r="BD488" i="2"/>
  <c r="BD530" i="2"/>
  <c r="BC670" i="2"/>
  <c r="BC504" i="2"/>
  <c r="BE600" i="2"/>
  <c r="AW739" i="2"/>
  <c r="AW627" i="2"/>
  <c r="BB452" i="2"/>
  <c r="AW530" i="2"/>
  <c r="AW488" i="2"/>
  <c r="BA807" i="2"/>
  <c r="BA456" i="2"/>
  <c r="BH642" i="2"/>
  <c r="BH559" i="2"/>
  <c r="AZ818" i="2"/>
  <c r="AZ539" i="2"/>
  <c r="BF618" i="2"/>
  <c r="BC977" i="2"/>
  <c r="BD621" i="2"/>
  <c r="BD457" i="2"/>
  <c r="AZ451" i="2"/>
  <c r="BD573" i="2"/>
  <c r="BD670" i="2"/>
  <c r="BC1054" i="2"/>
  <c r="BC590" i="2"/>
  <c r="BD686" i="2"/>
  <c r="BD429" i="2"/>
  <c r="BB590" i="2"/>
  <c r="BB621" i="2"/>
  <c r="BB563" i="2"/>
  <c r="BB400" i="2"/>
  <c r="BH88" i="2"/>
  <c r="BH622" i="2"/>
  <c r="BG1054" i="2"/>
  <c r="AY429" i="2"/>
  <c r="AY769" i="2"/>
  <c r="BF1144" i="2"/>
  <c r="BF1205" i="2"/>
  <c r="AX769" i="2"/>
  <c r="AX1105" i="2"/>
  <c r="BF1105" i="2"/>
  <c r="AX1100" i="2"/>
  <c r="BF1100" i="2"/>
  <c r="AX861" i="2"/>
  <c r="BF861" i="2"/>
  <c r="AX1063" i="2"/>
  <c r="BF1063" i="2"/>
  <c r="BG782" i="2"/>
  <c r="AX782" i="2"/>
  <c r="AX664" i="2"/>
  <c r="BF664" i="2"/>
  <c r="AX936" i="2"/>
  <c r="BF936" i="2"/>
  <c r="AX954" i="2"/>
  <c r="BF954" i="2"/>
  <c r="BG885" i="2"/>
  <c r="AX885" i="2"/>
  <c r="AX756" i="2"/>
  <c r="BF756" i="2"/>
  <c r="BG932" i="2"/>
  <c r="AX932" i="2"/>
  <c r="BF932" i="2"/>
  <c r="AX832" i="2"/>
  <c r="BF832" i="2"/>
  <c r="BF1107" i="2"/>
  <c r="AX1107" i="2"/>
  <c r="BF776" i="2"/>
  <c r="AX776" i="2"/>
  <c r="BF1153" i="2"/>
  <c r="AX1153" i="2"/>
  <c r="AX1209" i="2"/>
  <c r="BF1209" i="2"/>
  <c r="BG1126" i="2"/>
  <c r="AY1126" i="2"/>
  <c r="BF1138" i="2"/>
  <c r="AX1138" i="2"/>
  <c r="BG925" i="2"/>
  <c r="AY925" i="2"/>
  <c r="AX925" i="2"/>
  <c r="AX825" i="2"/>
  <c r="BF825" i="2"/>
  <c r="BF907" i="2"/>
  <c r="AY907" i="2"/>
  <c r="AY847" i="2"/>
  <c r="BG847" i="2"/>
  <c r="BD1165" i="2"/>
  <c r="AY1165" i="2"/>
  <c r="BF1165" i="2"/>
  <c r="BG922" i="2"/>
  <c r="AX922" i="2"/>
  <c r="AW775" i="2"/>
  <c r="BF775" i="2"/>
  <c r="AX775" i="2"/>
  <c r="BG723" i="2"/>
  <c r="BF723" i="2"/>
  <c r="BD723" i="2"/>
  <c r="BF1136" i="2"/>
  <c r="AX1136" i="2"/>
  <c r="BG1136" i="2"/>
  <c r="BD652" i="2"/>
  <c r="AY652" i="2"/>
  <c r="BF652" i="2"/>
  <c r="BG652" i="2"/>
  <c r="BD966" i="2"/>
  <c r="AX966" i="2"/>
  <c r="BF966" i="2"/>
  <c r="AX1097" i="2"/>
  <c r="AY1097" i="2"/>
  <c r="BF1097" i="2"/>
  <c r="BG1097" i="2"/>
  <c r="AX908" i="2"/>
  <c r="BF908" i="2"/>
  <c r="AX760" i="2"/>
  <c r="BF760" i="2"/>
  <c r="AV416" i="2"/>
  <c r="AU416" i="2"/>
  <c r="BG416" i="2"/>
  <c r="AX546" i="2"/>
  <c r="BF546" i="2"/>
  <c r="AW546" i="2"/>
  <c r="AU356" i="2"/>
  <c r="BF356" i="2"/>
  <c r="BE193" i="2"/>
  <c r="BD193" i="2"/>
  <c r="BF193" i="2"/>
  <c r="AX897" i="2"/>
  <c r="BF897" i="2"/>
  <c r="AX630" i="2"/>
  <c r="BF630" i="2"/>
  <c r="AX746" i="2"/>
  <c r="BF746" i="2"/>
  <c r="AY862" i="2"/>
  <c r="BD862" i="2"/>
  <c r="BG862" i="2"/>
  <c r="BG542" i="2"/>
  <c r="BD542" i="2"/>
  <c r="AU352" i="2"/>
  <c r="AX352" i="2"/>
  <c r="BG626" i="2"/>
  <c r="AY626" i="2"/>
  <c r="AY735" i="2"/>
  <c r="AX735" i="2"/>
  <c r="BD735" i="2"/>
  <c r="BF735" i="2"/>
  <c r="AX408" i="2"/>
  <c r="BD408" i="2"/>
  <c r="BF408" i="2"/>
  <c r="AY408" i="2"/>
  <c r="BD1009" i="2"/>
  <c r="AY1009" i="2"/>
  <c r="BG1009" i="2"/>
  <c r="AY841" i="2"/>
  <c r="BD841" i="2"/>
  <c r="BG841" i="2"/>
  <c r="BF538" i="2"/>
  <c r="AX538" i="2"/>
  <c r="AX348" i="2"/>
  <c r="BD348" i="2"/>
  <c r="BG348" i="2"/>
  <c r="AY348" i="2"/>
  <c r="BF177" i="2"/>
  <c r="BD716" i="2"/>
  <c r="AY716" i="2"/>
  <c r="AX565" i="2"/>
  <c r="BF565" i="2"/>
  <c r="AX638" i="2"/>
  <c r="BF638" i="2"/>
  <c r="BD857" i="2"/>
  <c r="BG857" i="2"/>
  <c r="BG525" i="2"/>
  <c r="AX525" i="2"/>
  <c r="AW525" i="2"/>
  <c r="AY712" i="2"/>
  <c r="AX712" i="2"/>
  <c r="AX560" i="2"/>
  <c r="AY560" i="2"/>
  <c r="BF690" i="2"/>
  <c r="BG690" i="2"/>
  <c r="AX631" i="2"/>
  <c r="BE631" i="2"/>
  <c r="AY517" i="2"/>
  <c r="AX517" i="2"/>
  <c r="BE517" i="2"/>
  <c r="AX699" i="2"/>
  <c r="BF699" i="2"/>
  <c r="BF392" i="2"/>
  <c r="AX392" i="2"/>
  <c r="AX891" i="2"/>
  <c r="AX767" i="2"/>
  <c r="BF767" i="2"/>
  <c r="BE522" i="2"/>
  <c r="AX522" i="2"/>
  <c r="AW522" i="2"/>
  <c r="BG522" i="2"/>
  <c r="BD332" i="2"/>
  <c r="AW332" i="2"/>
  <c r="AX332" i="2"/>
  <c r="BF332" i="2"/>
  <c r="BE145" i="2"/>
  <c r="BG145" i="2"/>
  <c r="AY776" i="2"/>
  <c r="AY885" i="2"/>
  <c r="AY1105" i="2"/>
  <c r="AY664" i="2"/>
  <c r="BF1126" i="2"/>
  <c r="BF782" i="2"/>
  <c r="BF885" i="2"/>
  <c r="BF1039" i="2"/>
  <c r="BF929" i="2"/>
  <c r="AX956" i="2"/>
  <c r="AV356" i="2"/>
  <c r="BF1002" i="2"/>
  <c r="AX1013" i="2"/>
  <c r="BF580" i="2"/>
  <c r="BF1027" i="2"/>
  <c r="BF769" i="2"/>
  <c r="AX1178" i="2"/>
  <c r="AX1185" i="2"/>
  <c r="AY957" i="2"/>
  <c r="BF957" i="2"/>
  <c r="AX957" i="2"/>
  <c r="AX1201" i="2"/>
  <c r="BF1201" i="2"/>
  <c r="AW727" i="2"/>
  <c r="BF727" i="2"/>
  <c r="BG1088" i="2"/>
  <c r="AX1088" i="2"/>
  <c r="AX865" i="2"/>
  <c r="BF865" i="2"/>
  <c r="AY1101" i="2"/>
  <c r="BG1101" i="2"/>
  <c r="AX947" i="2"/>
  <c r="BF947" i="2"/>
  <c r="AX985" i="2"/>
  <c r="BF985" i="2"/>
  <c r="AX809" i="2"/>
  <c r="BF809" i="2"/>
  <c r="AX1147" i="2"/>
  <c r="BF1147" i="2"/>
  <c r="AY966" i="2"/>
  <c r="AX978" i="2"/>
  <c r="AX752" i="2"/>
  <c r="BF752" i="2"/>
  <c r="AX1181" i="2"/>
  <c r="BF1181" i="2"/>
  <c r="BG728" i="2"/>
  <c r="BF728" i="2"/>
  <c r="BD728" i="2"/>
  <c r="AX1032" i="2"/>
  <c r="BF1032" i="2"/>
  <c r="AY1003" i="2"/>
  <c r="BG1003" i="2"/>
  <c r="BG967" i="2"/>
  <c r="AX967" i="2"/>
  <c r="BG883" i="2"/>
  <c r="AX883" i="2"/>
  <c r="AY883" i="2"/>
  <c r="AX797" i="2"/>
  <c r="AY797" i="2"/>
  <c r="BD797" i="2"/>
  <c r="BF1206" i="2"/>
  <c r="AX1206" i="2"/>
  <c r="BF1135" i="2"/>
  <c r="AX1135" i="2"/>
  <c r="BF953" i="2"/>
  <c r="AX953" i="2"/>
  <c r="AX764" i="2"/>
  <c r="BF764" i="2"/>
  <c r="BF893" i="2"/>
  <c r="AY723" i="2"/>
  <c r="BD1088" i="2"/>
  <c r="BD834" i="2"/>
  <c r="BG1095" i="2"/>
  <c r="AV1063" i="2"/>
  <c r="AU1063" i="2"/>
  <c r="AW731" i="2"/>
  <c r="BG1176" i="2"/>
  <c r="BD1114" i="2"/>
  <c r="BD1062" i="2"/>
  <c r="AX729" i="2"/>
  <c r="AX872" i="2"/>
  <c r="AY1168" i="2"/>
  <c r="BD1016" i="2"/>
  <c r="BD950" i="2"/>
  <c r="AY859" i="2"/>
  <c r="AY725" i="2"/>
  <c r="AX1140" i="2"/>
  <c r="BF990" i="2"/>
  <c r="BF1031" i="2"/>
  <c r="AY770" i="2"/>
  <c r="BG904" i="2"/>
  <c r="BF931" i="2"/>
  <c r="AX940" i="2"/>
  <c r="AX840" i="2"/>
  <c r="AX860" i="2"/>
  <c r="AX930" i="2"/>
  <c r="BF1115" i="2"/>
  <c r="AX945" i="2"/>
  <c r="AX864" i="2"/>
  <c r="AX1156" i="2"/>
  <c r="AX1190" i="2"/>
  <c r="BF1119" i="2"/>
  <c r="AX803" i="2"/>
  <c r="BF720" i="2"/>
  <c r="AX1055" i="2"/>
  <c r="AY995" i="2"/>
  <c r="AX1042" i="2"/>
  <c r="AX1054" i="2"/>
  <c r="AX1087" i="2"/>
  <c r="AX828" i="2"/>
  <c r="AX765" i="2"/>
  <c r="AX918" i="2"/>
  <c r="AX1174" i="2"/>
  <c r="AX1103" i="2"/>
  <c r="BE1009" i="2"/>
  <c r="BB1207" i="2"/>
  <c r="BA1207" i="2"/>
  <c r="BA1191" i="2"/>
  <c r="BG1137" i="2"/>
  <c r="AY951" i="2"/>
  <c r="AY1137" i="2"/>
  <c r="AY869" i="2"/>
  <c r="AX931" i="2"/>
  <c r="BF794" i="2"/>
  <c r="BF803" i="2"/>
  <c r="BF944" i="2"/>
  <c r="BF869" i="2"/>
  <c r="BF945" i="2"/>
  <c r="AX1125" i="2"/>
  <c r="AX447" i="2"/>
  <c r="AX770" i="2"/>
  <c r="AX997" i="2"/>
  <c r="BD842" i="2"/>
  <c r="BG842" i="2"/>
  <c r="AY870" i="2"/>
  <c r="BF870" i="2"/>
  <c r="BD870" i="2"/>
  <c r="BG870" i="2"/>
  <c r="BF984" i="2"/>
  <c r="BF915" i="2"/>
  <c r="BF871" i="2"/>
  <c r="BF859" i="2"/>
  <c r="BF1116" i="2"/>
  <c r="BF864" i="2"/>
  <c r="AX924" i="2"/>
  <c r="AX869" i="2"/>
  <c r="AY601" i="2"/>
  <c r="BG725" i="2"/>
  <c r="BG924" i="2"/>
  <c r="BD1036" i="2"/>
  <c r="BG1036" i="2"/>
  <c r="AX1036" i="2"/>
  <c r="BG616" i="2"/>
  <c r="AY616" i="2"/>
  <c r="AX616" i="2"/>
  <c r="AY852" i="2"/>
  <c r="BG852" i="2"/>
  <c r="BG1190" i="2"/>
  <c r="AY1190" i="2"/>
  <c r="AX859" i="2"/>
  <c r="AY1197" i="2"/>
  <c r="BG1197" i="2"/>
  <c r="AX1197" i="2"/>
  <c r="AX780" i="2"/>
  <c r="AY780" i="2"/>
  <c r="BG1129" i="2"/>
  <c r="AY1129" i="2"/>
  <c r="AX952" i="2"/>
  <c r="BG952" i="2"/>
  <c r="AY849" i="2"/>
  <c r="AX849" i="2"/>
  <c r="AX990" i="2"/>
  <c r="BD907" i="2"/>
  <c r="BG907" i="2"/>
  <c r="AY783" i="2"/>
  <c r="AX783" i="2"/>
  <c r="BD783" i="2"/>
  <c r="BD988" i="2"/>
  <c r="BG988" i="2"/>
  <c r="AY988" i="2"/>
  <c r="BG1193" i="2"/>
  <c r="AX1193" i="2"/>
  <c r="AX1122" i="2"/>
  <c r="BG1122" i="2"/>
  <c r="AY1122" i="2"/>
  <c r="AZ1191" i="2"/>
  <c r="BH1207" i="2"/>
  <c r="BG770" i="2"/>
  <c r="BG859" i="2"/>
  <c r="AY768" i="2"/>
  <c r="BF601" i="2"/>
  <c r="BF930" i="2"/>
  <c r="BF1145" i="2"/>
  <c r="BF1140" i="2"/>
  <c r="BF1103" i="2"/>
  <c r="BF828" i="2"/>
  <c r="BF860" i="2"/>
  <c r="BF912" i="2"/>
  <c r="BG779" i="2"/>
  <c r="BD819" i="2"/>
  <c r="AY819" i="2"/>
  <c r="BG819" i="2"/>
  <c r="BE743" i="2"/>
  <c r="AX743" i="2"/>
  <c r="BF743" i="2"/>
  <c r="BD931" i="2"/>
  <c r="BG931" i="2"/>
  <c r="AY998" i="2"/>
  <c r="AX998" i="2"/>
  <c r="BD998" i="2"/>
  <c r="BG998" i="2"/>
  <c r="AY915" i="2"/>
  <c r="AX915" i="2"/>
  <c r="BG777" i="2"/>
  <c r="AX777" i="2"/>
  <c r="AX781" i="2"/>
  <c r="AY781" i="2"/>
  <c r="BF781" i="2"/>
  <c r="AW720" i="2"/>
  <c r="AX720" i="2"/>
  <c r="BG995" i="2"/>
  <c r="AX995" i="2"/>
  <c r="BG848" i="2"/>
  <c r="AX848" i="2"/>
  <c r="AY1186" i="2"/>
  <c r="AX1186" i="2"/>
  <c r="AU851" i="2"/>
  <c r="AV851" i="2"/>
  <c r="AY851" i="2"/>
  <c r="BG851" i="2"/>
  <c r="AX627" i="2"/>
  <c r="AV627" i="2"/>
  <c r="AU627" i="2"/>
  <c r="AV512" i="2"/>
  <c r="AU512" i="2"/>
  <c r="AX512" i="2"/>
  <c r="AX607" i="2"/>
  <c r="BG607" i="2"/>
  <c r="AY607" i="2"/>
  <c r="AV563" i="2"/>
  <c r="AU563" i="2"/>
  <c r="BE686" i="2"/>
  <c r="AW686" i="2"/>
  <c r="AY686" i="2"/>
  <c r="AX686" i="2"/>
  <c r="AV461" i="2"/>
  <c r="AU461" i="2"/>
  <c r="BE456" i="2"/>
  <c r="AW456" i="2"/>
  <c r="AV839" i="2"/>
  <c r="AW839" i="2"/>
  <c r="BE839" i="2"/>
  <c r="AV621" i="2"/>
  <c r="AU621" i="2"/>
  <c r="BF621" i="2"/>
  <c r="AX621" i="2"/>
  <c r="AV508" i="2"/>
  <c r="AU508" i="2"/>
  <c r="AX508" i="2"/>
  <c r="AV559" i="2"/>
  <c r="AU559" i="2"/>
  <c r="BE678" i="2"/>
  <c r="AW678" i="2"/>
  <c r="AV451" i="2"/>
  <c r="AU451" i="2"/>
  <c r="AV823" i="2"/>
  <c r="AU823" i="2"/>
  <c r="BD615" i="2"/>
  <c r="AX615" i="2"/>
  <c r="AU504" i="2"/>
  <c r="BE504" i="2"/>
  <c r="AW504" i="2"/>
  <c r="AV504" i="2"/>
  <c r="BG504" i="2"/>
  <c r="AV594" i="2"/>
  <c r="AW594" i="2"/>
  <c r="BE594" i="2"/>
  <c r="AU594" i="2"/>
  <c r="AY594" i="2"/>
  <c r="BD594" i="2"/>
  <c r="AW555" i="2"/>
  <c r="AV555" i="2"/>
  <c r="AU555" i="2"/>
  <c r="BD555" i="2"/>
  <c r="AY555" i="2"/>
  <c r="BG555" i="2"/>
  <c r="BE555" i="2"/>
  <c r="AX555" i="2"/>
  <c r="AX452" i="2"/>
  <c r="BE452" i="2"/>
  <c r="BF88" i="2"/>
  <c r="BG79" i="2"/>
  <c r="BE79" i="2"/>
  <c r="AX79" i="2"/>
  <c r="BF79" i="2"/>
  <c r="BD79" i="2"/>
  <c r="BE622" i="2"/>
  <c r="AV622" i="2"/>
  <c r="AU622" i="2"/>
  <c r="AW622" i="2"/>
  <c r="BD622" i="2"/>
  <c r="AY622" i="2"/>
  <c r="AV724" i="2"/>
  <c r="BE724" i="2"/>
  <c r="AW724" i="2"/>
  <c r="AU724" i="2"/>
  <c r="AY724" i="2"/>
  <c r="BG724" i="2"/>
  <c r="AX724" i="2"/>
  <c r="AV404" i="2"/>
  <c r="AU404" i="2"/>
  <c r="BE404" i="2"/>
  <c r="AW404" i="2"/>
  <c r="AV977" i="2"/>
  <c r="AU977" i="2"/>
  <c r="AX977" i="2"/>
  <c r="BG977" i="2"/>
  <c r="AU818" i="2"/>
  <c r="BE818" i="2"/>
  <c r="AW818" i="2"/>
  <c r="AV818" i="2"/>
  <c r="BG818" i="2"/>
  <c r="AX818" i="2"/>
  <c r="AV344" i="2"/>
  <c r="AU344" i="2"/>
  <c r="BE344" i="2"/>
  <c r="AW344" i="2"/>
  <c r="AX344" i="2"/>
  <c r="BD344" i="2"/>
  <c r="BD169" i="2"/>
  <c r="BG169" i="2"/>
  <c r="BE169" i="2"/>
  <c r="AV618" i="2"/>
  <c r="AU618" i="2"/>
  <c r="AY618" i="2"/>
  <c r="AW618" i="2"/>
  <c r="BE618" i="2"/>
  <c r="BD715" i="2"/>
  <c r="AW715" i="2"/>
  <c r="BE715" i="2"/>
  <c r="AY715" i="2"/>
  <c r="AU400" i="2"/>
  <c r="AV400" i="2"/>
  <c r="BE400" i="2"/>
  <c r="AX400" i="2"/>
  <c r="AW400" i="2"/>
  <c r="AV948" i="2"/>
  <c r="AU948" i="2"/>
  <c r="AU340" i="2"/>
  <c r="AV340" i="2"/>
  <c r="BE340" i="2"/>
  <c r="AX340" i="2"/>
  <c r="AW340" i="2"/>
  <c r="AU770" i="2"/>
  <c r="AV770" i="2"/>
  <c r="AU739" i="2"/>
  <c r="AV739" i="2"/>
  <c r="AV590" i="2"/>
  <c r="AU590" i="2"/>
  <c r="AU488" i="2"/>
  <c r="AV488" i="2"/>
  <c r="AX488" i="2"/>
  <c r="AU573" i="2"/>
  <c r="AV573" i="2"/>
  <c r="AW573" i="2"/>
  <c r="BG573" i="2"/>
  <c r="AW539" i="2"/>
  <c r="AV539" i="2"/>
  <c r="AU539" i="2"/>
  <c r="AX539" i="2"/>
  <c r="AY1140" i="2"/>
  <c r="AX819" i="2"/>
  <c r="BF725" i="2"/>
  <c r="BF940" i="2"/>
  <c r="BF904" i="2"/>
  <c r="AX912" i="2"/>
  <c r="AX980" i="2"/>
  <c r="AX951" i="2"/>
  <c r="AX871" i="2"/>
  <c r="BF977" i="2"/>
  <c r="BG404" i="2"/>
  <c r="BG912" i="2"/>
  <c r="BD705" i="2"/>
  <c r="BG705" i="2"/>
  <c r="BD801" i="2"/>
  <c r="BG801" i="2"/>
  <c r="AY801" i="2"/>
  <c r="AX801" i="2"/>
  <c r="BD669" i="2"/>
  <c r="AY669" i="2"/>
  <c r="AX896" i="2"/>
  <c r="AY896" i="2"/>
  <c r="AX791" i="2"/>
  <c r="AY1088" i="2"/>
  <c r="BF1088" i="2"/>
  <c r="BD975" i="2"/>
  <c r="BG975" i="2"/>
  <c r="BD1030" i="2"/>
  <c r="AX1030" i="2"/>
  <c r="BF1030" i="2"/>
  <c r="BG1030" i="2"/>
  <c r="AY1030" i="2"/>
  <c r="AX904" i="2"/>
  <c r="AU839" i="2"/>
  <c r="BG871" i="2"/>
  <c r="AY794" i="2"/>
  <c r="AY986" i="2"/>
  <c r="AY1116" i="2"/>
  <c r="AY672" i="2"/>
  <c r="BF840" i="2"/>
  <c r="BF1093" i="2"/>
  <c r="BF770" i="2"/>
  <c r="BF1149" i="2"/>
  <c r="AX404" i="2"/>
  <c r="AX839" i="2"/>
  <c r="AX563" i="2"/>
  <c r="AY848" i="2"/>
  <c r="AY504" i="2"/>
  <c r="BG88" i="2"/>
  <c r="AY932" i="2"/>
  <c r="BD922" i="2"/>
  <c r="BF819" i="2"/>
  <c r="BF777" i="2"/>
  <c r="BF1137" i="2"/>
  <c r="AX461" i="2"/>
  <c r="AX451" i="2"/>
  <c r="AY977" i="2"/>
  <c r="BG622" i="2"/>
  <c r="BG1186" i="2"/>
  <c r="BD504" i="2"/>
  <c r="AY1123" i="2"/>
  <c r="AX1123" i="2"/>
  <c r="AX725" i="2"/>
  <c r="AY984" i="2"/>
  <c r="BF986" i="2"/>
  <c r="BG929" i="2"/>
  <c r="AX929" i="2"/>
  <c r="AY714" i="2"/>
  <c r="AX714" i="2"/>
  <c r="AW625" i="2"/>
  <c r="AX625" i="2"/>
  <c r="AY950" i="2"/>
  <c r="BE528" i="2"/>
  <c r="BE524" i="2"/>
  <c r="AW677" i="2"/>
  <c r="AV581" i="2"/>
  <c r="AU706" i="2"/>
  <c r="AV706" i="2"/>
  <c r="AU579" i="2"/>
  <c r="AV579" i="2"/>
  <c r="AU480" i="2"/>
  <c r="AV480" i="2"/>
  <c r="AV531" i="2"/>
  <c r="AU531" i="2"/>
  <c r="AU419" i="2"/>
  <c r="AV419" i="2"/>
  <c r="AV900" i="2"/>
  <c r="AU900" i="2"/>
  <c r="AV574" i="2"/>
  <c r="AU574" i="2"/>
  <c r="AU476" i="2"/>
  <c r="AV476" i="2"/>
  <c r="AU527" i="2"/>
  <c r="AV527" i="2"/>
  <c r="AU698" i="2"/>
  <c r="AV698" i="2"/>
  <c r="AU472" i="2"/>
  <c r="AV472" i="2"/>
  <c r="BE556" i="2"/>
  <c r="AW556" i="2"/>
  <c r="AU523" i="2"/>
  <c r="BE523" i="2"/>
  <c r="AW523" i="2"/>
  <c r="AV523" i="2"/>
  <c r="BE415" i="2"/>
  <c r="AV415" i="2"/>
  <c r="AW415" i="2"/>
  <c r="AU415" i="2"/>
  <c r="BE24" i="2"/>
  <c r="BE410" i="2"/>
  <c r="AU410" i="2"/>
  <c r="AV410" i="2"/>
  <c r="AW410" i="2"/>
  <c r="AX410" i="2"/>
  <c r="AV664" i="2"/>
  <c r="AU664" i="2"/>
  <c r="AU983" i="2"/>
  <c r="AV983" i="2"/>
  <c r="AW786" i="2"/>
  <c r="AU786" i="2"/>
  <c r="BE786" i="2"/>
  <c r="AV786" i="2"/>
  <c r="BE711" i="2"/>
  <c r="AU711" i="2"/>
  <c r="AV711" i="2"/>
  <c r="AW711" i="2"/>
  <c r="AW312" i="2"/>
  <c r="AV312" i="2"/>
  <c r="BE312" i="2"/>
  <c r="AU312" i="2"/>
  <c r="AU628" i="2"/>
  <c r="AV628" i="2"/>
  <c r="AV1064" i="2"/>
  <c r="AU1064" i="2"/>
  <c r="BE703" i="2"/>
  <c r="AU703" i="2"/>
  <c r="AV703" i="2"/>
  <c r="AV969" i="2"/>
  <c r="AU969" i="2"/>
  <c r="AU308" i="2"/>
  <c r="AV308" i="2"/>
  <c r="BE308" i="2"/>
  <c r="AV854" i="2"/>
  <c r="AU854" i="2"/>
  <c r="AU748" i="2"/>
  <c r="AV748" i="2"/>
  <c r="AV674" i="2"/>
  <c r="AU674" i="2"/>
  <c r="BE674" i="2"/>
  <c r="AU456" i="2"/>
  <c r="AV456" i="2"/>
  <c r="AV507" i="2"/>
  <c r="AU507" i="2"/>
  <c r="AU591" i="2"/>
  <c r="BE591" i="2"/>
  <c r="AV591" i="2"/>
  <c r="AV397" i="2"/>
  <c r="AU397" i="2"/>
  <c r="BE472" i="2"/>
  <c r="AV927" i="2"/>
  <c r="AU927" i="2"/>
  <c r="AU448" i="2"/>
  <c r="AV448" i="2"/>
  <c r="BE257" i="2"/>
  <c r="AV662" i="2"/>
  <c r="AU662" i="2"/>
  <c r="AU444" i="2"/>
  <c r="AV444" i="2"/>
  <c r="AU384" i="2"/>
  <c r="AV384" i="2"/>
  <c r="AV658" i="2"/>
  <c r="BE658" i="2"/>
  <c r="AW658" i="2"/>
  <c r="AU658" i="2"/>
  <c r="AV870" i="2"/>
  <c r="AU870" i="2"/>
  <c r="AU440" i="2"/>
  <c r="AV440" i="2"/>
  <c r="BE1084" i="2"/>
  <c r="AU1084" i="2"/>
  <c r="AW1084" i="2"/>
  <c r="AV1084" i="2"/>
  <c r="BE380" i="2"/>
  <c r="AX380" i="2"/>
  <c r="AW380" i="2"/>
  <c r="AU380" i="2"/>
  <c r="AV380" i="2"/>
  <c r="AV1082" i="2"/>
  <c r="AU1082" i="2"/>
  <c r="AU607" i="2"/>
  <c r="AV607" i="2"/>
  <c r="AU790" i="2"/>
  <c r="AV790" i="2"/>
  <c r="AV697" i="2"/>
  <c r="AU697" i="2"/>
  <c r="AV1136" i="2"/>
  <c r="AU1136" i="2"/>
  <c r="AU605" i="2"/>
  <c r="AV605" i="2"/>
  <c r="AU830" i="2"/>
  <c r="AV830" i="2"/>
  <c r="AU601" i="2"/>
  <c r="AV601" i="2"/>
  <c r="AV773" i="2"/>
  <c r="AU773" i="2"/>
  <c r="AU689" i="2"/>
  <c r="AV689" i="2"/>
  <c r="AU609" i="2"/>
  <c r="AV609" i="2"/>
  <c r="AV642" i="2"/>
  <c r="AU642" i="2"/>
  <c r="AV792" i="2"/>
  <c r="AU792" i="2"/>
  <c r="AV424" i="2"/>
  <c r="AU424" i="2"/>
  <c r="AV944" i="2"/>
  <c r="AU944" i="2"/>
  <c r="BE554" i="2"/>
  <c r="AX554" i="2"/>
  <c r="AW554" i="2"/>
  <c r="AV364" i="2"/>
  <c r="AU364" i="2"/>
  <c r="BE775" i="2"/>
  <c r="BE773" i="2"/>
  <c r="AU499" i="2"/>
  <c r="AU634" i="2"/>
  <c r="AV634" i="2"/>
  <c r="AU760" i="2"/>
  <c r="AV760" i="2"/>
  <c r="AV1096" i="2"/>
  <c r="AU1096" i="2"/>
  <c r="AU630" i="2"/>
  <c r="AV630" i="2"/>
  <c r="AV412" i="2"/>
  <c r="AU412" i="2"/>
  <c r="AV1048" i="2"/>
  <c r="AU1048" i="2"/>
  <c r="AV862" i="2"/>
  <c r="AU862" i="2"/>
  <c r="AU886" i="2"/>
  <c r="AV886" i="2"/>
  <c r="BE626" i="2"/>
  <c r="AV626" i="2"/>
  <c r="AU626" i="2"/>
  <c r="AW626" i="2"/>
  <c r="AX626" i="2"/>
  <c r="AU408" i="2"/>
  <c r="AW408" i="2"/>
  <c r="BE408" i="2"/>
  <c r="AV408" i="2"/>
  <c r="AV841" i="2"/>
  <c r="AU841" i="2"/>
  <c r="AU348" i="2"/>
  <c r="AW348" i="2"/>
  <c r="AV348" i="2"/>
  <c r="BE348" i="2"/>
  <c r="AV1121" i="2"/>
  <c r="AU1121" i="2"/>
  <c r="AV725" i="2"/>
  <c r="AU725" i="2"/>
  <c r="AU857" i="2"/>
  <c r="AV857" i="2"/>
  <c r="AW534" i="2"/>
  <c r="AU534" i="2"/>
  <c r="AV534" i="2"/>
  <c r="BE534" i="2"/>
  <c r="AU525" i="2"/>
  <c r="AV525" i="2"/>
  <c r="BE525" i="2"/>
  <c r="AU715" i="2"/>
  <c r="AV715" i="2"/>
  <c r="AV560" i="2"/>
  <c r="AU560" i="2"/>
  <c r="AW560" i="2"/>
  <c r="AV631" i="2"/>
  <c r="AU631" i="2"/>
  <c r="AU526" i="2"/>
  <c r="AV526" i="2"/>
  <c r="BE526" i="2"/>
  <c r="BE200" i="2"/>
  <c r="AV517" i="2"/>
  <c r="AU517" i="2"/>
  <c r="AW517" i="2"/>
  <c r="AU731" i="2"/>
  <c r="AV731" i="2"/>
  <c r="AV610" i="2"/>
  <c r="AU610" i="2"/>
  <c r="AV392" i="2"/>
  <c r="AU392" i="2"/>
  <c r="AU891" i="2"/>
  <c r="AV891" i="2"/>
  <c r="AU767" i="2"/>
  <c r="AV767" i="2"/>
  <c r="BE332" i="2"/>
  <c r="AU332" i="2"/>
  <c r="AV332" i="2"/>
  <c r="BE440" i="2"/>
  <c r="BG1133" i="2"/>
  <c r="BG966" i="2"/>
  <c r="AU1009" i="2"/>
  <c r="AU960" i="2"/>
  <c r="AV602" i="2"/>
  <c r="AU602" i="2"/>
  <c r="AU1104" i="2"/>
  <c r="AV1104" i="2"/>
  <c r="AU741" i="2"/>
  <c r="AV741" i="2"/>
  <c r="AU324" i="2"/>
  <c r="AV324" i="2"/>
  <c r="AV684" i="2"/>
  <c r="AU684" i="2"/>
  <c r="AV598" i="2"/>
  <c r="AU598" i="2"/>
  <c r="AU822" i="2"/>
  <c r="AV822" i="2"/>
  <c r="AV730" i="2"/>
  <c r="AU730" i="2"/>
  <c r="AU320" i="2"/>
  <c r="AV320" i="2"/>
  <c r="AV1016" i="2"/>
  <c r="AU1016" i="2"/>
  <c r="AV805" i="2"/>
  <c r="AU805" i="2"/>
  <c r="AW719" i="2"/>
  <c r="AU719" i="2"/>
  <c r="BE719" i="2"/>
  <c r="AV719" i="2"/>
  <c r="BD316" i="2"/>
  <c r="AW316" i="2"/>
  <c r="AU316" i="2"/>
  <c r="AV316" i="2"/>
  <c r="BE316" i="2"/>
  <c r="AU1128" i="2"/>
  <c r="AV1128" i="2"/>
  <c r="AW659" i="2"/>
  <c r="AU659" i="2"/>
  <c r="BE659" i="2"/>
  <c r="AV659" i="2"/>
  <c r="AU532" i="2"/>
  <c r="AV532" i="2"/>
  <c r="BE532" i="2"/>
  <c r="AW532" i="2"/>
  <c r="AU728" i="2"/>
  <c r="AV728" i="2"/>
  <c r="AV653" i="2"/>
  <c r="AU653" i="2"/>
  <c r="AU528" i="2"/>
  <c r="AV528" i="2"/>
  <c r="BE479" i="2"/>
  <c r="AV479" i="2"/>
  <c r="AU479" i="2"/>
  <c r="AV620" i="2"/>
  <c r="BE620" i="2"/>
  <c r="AU620" i="2"/>
  <c r="AW620" i="2"/>
  <c r="AU991" i="2"/>
  <c r="AV991" i="2"/>
  <c r="AV639" i="2"/>
  <c r="AU639" i="2"/>
  <c r="AV895" i="2"/>
  <c r="AU895" i="2"/>
  <c r="AU743" i="2"/>
  <c r="AV743" i="2"/>
  <c r="AU687" i="2"/>
  <c r="AV687" i="2"/>
  <c r="AV784" i="2"/>
  <c r="AU784" i="2"/>
  <c r="AU300" i="2"/>
  <c r="AV300" i="2"/>
  <c r="AU727" i="2"/>
  <c r="AV727" i="2"/>
  <c r="BE767" i="2"/>
  <c r="AW655" i="2"/>
  <c r="BD1133" i="2"/>
  <c r="AV1009" i="2"/>
  <c r="AW440" i="2"/>
  <c r="BE689" i="2"/>
  <c r="BB942" i="2"/>
  <c r="AV846" i="2"/>
  <c r="AU846" i="2"/>
  <c r="AU671" i="2"/>
  <c r="AV671" i="2"/>
  <c r="AV292" i="2"/>
  <c r="AU292" i="2"/>
  <c r="AV901" i="2"/>
  <c r="AU901" i="2"/>
  <c r="AU825" i="2"/>
  <c r="AV825" i="2"/>
  <c r="AU713" i="2"/>
  <c r="AV713" i="2"/>
  <c r="AU663" i="2"/>
  <c r="AV663" i="2"/>
  <c r="AV641" i="2"/>
  <c r="AU641" i="2"/>
  <c r="AU1023" i="2"/>
  <c r="AV1023" i="2"/>
  <c r="AU873" i="2"/>
  <c r="AV873" i="2"/>
  <c r="AW614" i="2"/>
  <c r="BE614" i="2"/>
  <c r="AV705" i="2"/>
  <c r="AU705" i="2"/>
  <c r="AW280" i="2"/>
  <c r="BE280" i="2"/>
  <c r="AV623" i="2"/>
  <c r="AU623" i="2"/>
  <c r="BE623" i="2"/>
  <c r="AW623" i="2"/>
  <c r="AW500" i="2"/>
  <c r="AU500" i="2"/>
  <c r="BE500" i="2"/>
  <c r="AV500" i="2"/>
  <c r="AV589" i="2"/>
  <c r="AU589" i="2"/>
  <c r="AV551" i="2"/>
  <c r="AU551" i="2"/>
  <c r="AV447" i="2"/>
  <c r="AU447" i="2"/>
  <c r="BE447" i="2"/>
  <c r="AW447" i="2"/>
  <c r="AU442" i="2"/>
  <c r="AV442" i="2"/>
  <c r="BE442" i="2"/>
  <c r="AV778" i="2"/>
  <c r="AU778" i="2"/>
  <c r="AU496" i="2"/>
  <c r="AV496" i="2"/>
  <c r="BE583" i="2"/>
  <c r="AV583" i="2"/>
  <c r="AU583" i="2"/>
  <c r="AV547" i="2"/>
  <c r="AU547" i="2"/>
  <c r="AW547" i="2"/>
  <c r="AU793" i="2"/>
  <c r="AV793" i="2"/>
  <c r="AU744" i="2"/>
  <c r="AV744" i="2"/>
  <c r="AV673" i="2"/>
  <c r="AU673" i="2"/>
  <c r="AV996" i="2"/>
  <c r="AU996" i="2"/>
  <c r="AV577" i="2"/>
  <c r="AU577" i="2"/>
  <c r="AW424" i="2"/>
  <c r="BG781" i="2"/>
  <c r="BD1197" i="2"/>
  <c r="BD1126" i="2"/>
  <c r="BD1168" i="2"/>
  <c r="BD1123" i="2"/>
  <c r="BD1182" i="2"/>
  <c r="AW1009" i="2"/>
  <c r="AW681" i="2"/>
  <c r="BE854" i="2"/>
  <c r="BE571" i="2"/>
  <c r="AU657" i="2"/>
  <c r="AV657" i="2"/>
  <c r="AV937" i="2"/>
  <c r="AU937" i="2"/>
  <c r="AU549" i="2"/>
  <c r="AV549" i="2"/>
  <c r="AV1153" i="2"/>
  <c r="AU1153" i="2"/>
  <c r="AV746" i="2"/>
  <c r="AU746" i="2"/>
  <c r="AU906" i="2"/>
  <c r="AV906" i="2"/>
  <c r="AU550" i="2"/>
  <c r="AV550" i="2"/>
  <c r="AU735" i="2"/>
  <c r="BE735" i="2"/>
  <c r="AW735" i="2"/>
  <c r="AV735" i="2"/>
  <c r="AV569" i="2"/>
  <c r="AU569" i="2"/>
  <c r="AV880" i="2"/>
  <c r="AU880" i="2"/>
  <c r="AV542" i="2"/>
  <c r="BE542" i="2"/>
  <c r="AW542" i="2"/>
  <c r="AU542" i="2"/>
  <c r="AU533" i="2"/>
  <c r="AV533" i="2"/>
  <c r="BE533" i="2"/>
  <c r="AW533" i="2"/>
  <c r="AV869" i="2"/>
  <c r="AU869" i="2"/>
  <c r="AU686" i="2"/>
  <c r="AV686" i="2"/>
  <c r="AU468" i="2"/>
  <c r="AV468" i="2"/>
  <c r="AW468" i="2"/>
  <c r="BE468" i="2"/>
  <c r="AW519" i="2"/>
  <c r="AV519" i="2"/>
  <c r="BE519" i="2"/>
  <c r="AU519" i="2"/>
  <c r="AV682" i="2"/>
  <c r="BE682" i="2"/>
  <c r="AU682" i="2"/>
  <c r="AV1059" i="2"/>
  <c r="AU1059" i="2"/>
  <c r="AU464" i="2"/>
  <c r="AV464" i="2"/>
  <c r="AV515" i="2"/>
  <c r="AU515" i="2"/>
  <c r="AV603" i="2"/>
  <c r="AU603" i="2"/>
  <c r="BE603" i="2"/>
  <c r="BE406" i="2"/>
  <c r="AU406" i="2"/>
  <c r="AV406" i="2"/>
  <c r="AU699" i="2"/>
  <c r="AV699" i="2"/>
  <c r="AU552" i="2"/>
  <c r="AV552" i="2"/>
  <c r="BE552" i="2"/>
  <c r="AU798" i="2"/>
  <c r="AV798" i="2"/>
  <c r="AU510" i="2"/>
  <c r="AV510" i="2"/>
  <c r="BE510" i="2"/>
  <c r="AU502" i="2"/>
  <c r="AV502" i="2"/>
  <c r="BE956" i="2"/>
  <c r="AW689" i="2"/>
  <c r="AW607" i="2"/>
  <c r="AV558" i="2"/>
  <c r="AU683" i="2"/>
  <c r="AV683" i="2"/>
  <c r="AV675" i="2"/>
  <c r="AU675" i="2"/>
  <c r="AV540" i="2"/>
  <c r="AU540" i="2"/>
  <c r="AU651" i="2"/>
  <c r="AV651" i="2"/>
  <c r="AV599" i="2"/>
  <c r="AU599" i="2"/>
  <c r="AV493" i="2"/>
  <c r="AU493" i="2"/>
  <c r="AU667" i="2"/>
  <c r="AV667" i="2"/>
  <c r="BE667" i="2"/>
  <c r="AW667" i="2"/>
  <c r="AU536" i="2"/>
  <c r="AV536" i="2"/>
  <c r="AV645" i="2"/>
  <c r="AU645" i="2"/>
  <c r="AV483" i="2"/>
  <c r="AU483" i="2"/>
  <c r="BE483" i="2"/>
  <c r="AW483" i="2"/>
  <c r="AV654" i="2"/>
  <c r="BE654" i="2"/>
  <c r="AW654" i="2"/>
  <c r="AU654" i="2"/>
  <c r="AU849" i="2"/>
  <c r="AV849" i="2"/>
  <c r="AW436" i="2"/>
  <c r="AU436" i="2"/>
  <c r="BE436" i="2"/>
  <c r="AV436" i="2"/>
  <c r="AV1043" i="2"/>
  <c r="AU1043" i="2"/>
  <c r="AU566" i="2"/>
  <c r="AV566" i="2"/>
  <c r="AW566" i="2"/>
  <c r="BE566" i="2"/>
  <c r="AW376" i="2"/>
  <c r="AU376" i="2"/>
  <c r="BE376" i="2"/>
  <c r="AV376" i="2"/>
  <c r="AU650" i="2"/>
  <c r="AV650" i="2"/>
  <c r="BE432" i="2"/>
  <c r="AV432" i="2"/>
  <c r="AU432" i="2"/>
  <c r="AV1008" i="2"/>
  <c r="AU1008" i="2"/>
  <c r="AU372" i="2"/>
  <c r="AV372" i="2"/>
  <c r="BE372" i="2"/>
  <c r="AU520" i="2"/>
  <c r="AV520" i="2"/>
  <c r="AV619" i="2"/>
  <c r="AU619" i="2"/>
  <c r="BE619" i="2"/>
  <c r="AU470" i="2"/>
  <c r="AV470" i="2"/>
  <c r="AV465" i="2"/>
  <c r="AU465" i="2"/>
  <c r="AW496" i="2"/>
  <c r="BE805" i="2"/>
  <c r="AW805" i="2"/>
  <c r="AX805" i="2"/>
  <c r="BF805" i="2"/>
  <c r="AZ805" i="2"/>
  <c r="BD805" i="2"/>
  <c r="BG805" i="2"/>
  <c r="AY805" i="2"/>
  <c r="AY722" i="2"/>
  <c r="BF722" i="2"/>
  <c r="BG722" i="2"/>
  <c r="AX722" i="2"/>
  <c r="AU604" i="2"/>
  <c r="AV604" i="2"/>
  <c r="BE604" i="2"/>
  <c r="AX604" i="2"/>
  <c r="BH604" i="2"/>
  <c r="BG604" i="2"/>
  <c r="AY604" i="2"/>
  <c r="AY892" i="2"/>
  <c r="BH892" i="2"/>
  <c r="AX892" i="2"/>
  <c r="BG892" i="2"/>
  <c r="BF892" i="2"/>
  <c r="BG1028" i="2"/>
  <c r="BF1028" i="2"/>
  <c r="AX1028" i="2"/>
  <c r="AY1028" i="2"/>
  <c r="AV700" i="2"/>
  <c r="AU700" i="2"/>
  <c r="AX700" i="2"/>
  <c r="BF700" i="2"/>
  <c r="AW700" i="2"/>
  <c r="BF1157" i="2"/>
  <c r="AX1157" i="2"/>
  <c r="AY1157" i="2"/>
  <c r="AZ1157" i="2"/>
  <c r="BG1157" i="2"/>
  <c r="AX836" i="2"/>
  <c r="BD836" i="2"/>
  <c r="BF836" i="2"/>
  <c r="AY836" i="2"/>
  <c r="BG836" i="2"/>
  <c r="AX585" i="2"/>
  <c r="AY585" i="2"/>
  <c r="AZ585" i="2"/>
  <c r="BF585" i="2"/>
  <c r="BG585" i="2"/>
  <c r="AV928" i="2"/>
  <c r="AU928" i="2"/>
  <c r="BF928" i="2"/>
  <c r="AY928" i="2"/>
  <c r="AX928" i="2"/>
  <c r="AU761" i="2"/>
  <c r="AV761" i="2"/>
  <c r="BF761" i="2"/>
  <c r="AX761" i="2"/>
  <c r="AY761" i="2"/>
  <c r="BG761" i="2"/>
  <c r="AW757" i="2"/>
  <c r="BE757" i="2"/>
  <c r="AX757" i="2"/>
  <c r="BG757" i="2"/>
  <c r="BD757" i="2"/>
  <c r="BF757" i="2"/>
  <c r="AZ757" i="2"/>
  <c r="BE709" i="2"/>
  <c r="AW709" i="2"/>
  <c r="BG709" i="2"/>
  <c r="BD709" i="2"/>
  <c r="AX709" i="2"/>
  <c r="BF709" i="2"/>
  <c r="AY709" i="2"/>
  <c r="AU592" i="2"/>
  <c r="AV592" i="2"/>
  <c r="BG592" i="2"/>
  <c r="AY592" i="2"/>
  <c r="AX592" i="2"/>
  <c r="AY863" i="2"/>
  <c r="AZ863" i="2"/>
  <c r="BH863" i="2"/>
  <c r="AX863" i="2"/>
  <c r="BF863" i="2"/>
  <c r="AV1169" i="2"/>
  <c r="AU1169" i="2"/>
  <c r="BF1169" i="2"/>
  <c r="AY1169" i="2"/>
  <c r="BG1169" i="2"/>
  <c r="AU911" i="2"/>
  <c r="AV911" i="2"/>
  <c r="AY911" i="2"/>
  <c r="AZ911" i="2"/>
  <c r="BF911" i="2"/>
  <c r="BG911" i="2"/>
  <c r="AX911" i="2"/>
  <c r="AV688" i="2"/>
  <c r="AU688" i="2"/>
  <c r="BG688" i="2"/>
  <c r="AX688" i="2"/>
  <c r="AY688" i="2"/>
  <c r="AV1076" i="2"/>
  <c r="BF1076" i="2"/>
  <c r="AU1076" i="2"/>
  <c r="AW1076" i="2"/>
  <c r="BE1076" i="2"/>
  <c r="AY1076" i="2"/>
  <c r="AX1076" i="2"/>
  <c r="BD1076" i="2"/>
  <c r="BG1076" i="2"/>
  <c r="AZ1076" i="2"/>
  <c r="BD911" i="2"/>
  <c r="BB1169" i="2"/>
  <c r="BB722" i="2"/>
  <c r="AW585" i="2"/>
  <c r="AW1169" i="2"/>
  <c r="BA836" i="2"/>
  <c r="AZ1028" i="2"/>
  <c r="AZ688" i="2"/>
  <c r="BH700" i="2"/>
  <c r="BH592" i="2"/>
  <c r="BG928" i="2"/>
  <c r="BG942" i="2"/>
  <c r="AY942" i="2"/>
  <c r="AX1127" i="2"/>
  <c r="AY1127" i="2"/>
  <c r="BG1127" i="2"/>
  <c r="BD1127" i="2"/>
  <c r="BF1127" i="2"/>
  <c r="AY894" i="2"/>
  <c r="AX894" i="2"/>
  <c r="BF894" i="2"/>
  <c r="AY804" i="2"/>
  <c r="AX804" i="2"/>
  <c r="AY964" i="2"/>
  <c r="AX964" i="2"/>
  <c r="BF964" i="2"/>
  <c r="BG964" i="2"/>
  <c r="AZ964" i="2"/>
  <c r="BF577" i="2"/>
  <c r="BG577" i="2"/>
  <c r="AX577" i="2"/>
  <c r="AY577" i="2"/>
  <c r="AZ648" i="2"/>
  <c r="BF648" i="2"/>
  <c r="BG648" i="2"/>
  <c r="AY648" i="2"/>
  <c r="AX648" i="2"/>
  <c r="BG1089" i="2"/>
  <c r="BF1089" i="2"/>
  <c r="AX1089" i="2"/>
  <c r="AY1089" i="2"/>
  <c r="AZ1089" i="2"/>
  <c r="AZ1060" i="2"/>
  <c r="AX1060" i="2"/>
  <c r="AY1060" i="2"/>
  <c r="AY853" i="2"/>
  <c r="BG853" i="2"/>
  <c r="BF853" i="2"/>
  <c r="AX853" i="2"/>
  <c r="AY1024" i="2"/>
  <c r="BF1024" i="2"/>
  <c r="AX1024" i="2"/>
  <c r="AY612" i="2"/>
  <c r="AX612" i="2"/>
  <c r="BG612" i="2"/>
  <c r="BF612" i="2"/>
  <c r="AY696" i="2"/>
  <c r="BG696" i="2"/>
  <c r="AX696" i="2"/>
  <c r="BD696" i="2"/>
  <c r="AZ696" i="2"/>
  <c r="AX1130" i="2"/>
  <c r="AY1130" i="2"/>
  <c r="AZ1130" i="2"/>
  <c r="AZ1120" i="2"/>
  <c r="AX1120" i="2"/>
  <c r="BD1120" i="2"/>
  <c r="BG1120" i="2"/>
  <c r="AY1120" i="2"/>
  <c r="BD697" i="2"/>
  <c r="BF697" i="2"/>
  <c r="AY697" i="2"/>
  <c r="AX697" i="2"/>
  <c r="AX788" i="2"/>
  <c r="BG788" i="2"/>
  <c r="BF788" i="2"/>
  <c r="AZ788" i="2"/>
  <c r="AY788" i="2"/>
  <c r="AY972" i="2"/>
  <c r="AX972" i="2"/>
  <c r="BF972" i="2"/>
  <c r="BH972" i="2"/>
  <c r="BF934" i="2"/>
  <c r="AX934" i="2"/>
  <c r="AY934" i="2"/>
  <c r="BG934" i="2"/>
  <c r="BF974" i="2"/>
  <c r="BG974" i="2"/>
  <c r="BH974" i="2"/>
  <c r="AY974" i="2"/>
  <c r="AZ974" i="2"/>
  <c r="AY888" i="2"/>
  <c r="AZ888" i="2"/>
  <c r="BH888" i="2"/>
  <c r="AX888" i="2"/>
  <c r="BF888" i="2"/>
  <c r="BD888" i="2"/>
  <c r="BG888" i="2"/>
  <c r="BG1072" i="2"/>
  <c r="AY1072" i="2"/>
  <c r="BF1072" i="2"/>
  <c r="AY597" i="2"/>
  <c r="BG597" i="2"/>
  <c r="AZ597" i="2"/>
  <c r="BH597" i="2"/>
  <c r="BF597" i="2"/>
  <c r="AX800" i="2"/>
  <c r="AY800" i="2"/>
  <c r="BG800" i="2"/>
  <c r="BF800" i="2"/>
  <c r="BF1208" i="2"/>
  <c r="AX1208" i="2"/>
  <c r="AY1208" i="2"/>
  <c r="AZ1208" i="2"/>
  <c r="BG1208" i="2"/>
  <c r="BE737" i="2"/>
  <c r="AX737" i="2"/>
  <c r="BF737" i="2"/>
  <c r="AY737" i="2"/>
  <c r="AZ737" i="2"/>
  <c r="BH1048" i="2"/>
  <c r="AX1048" i="2"/>
  <c r="BG1048" i="2"/>
  <c r="AY890" i="2"/>
  <c r="BG890" i="2"/>
  <c r="AX890" i="2"/>
  <c r="AY1146" i="2"/>
  <c r="BF1146" i="2"/>
  <c r="AZ1146" i="2"/>
  <c r="AX1146" i="2"/>
  <c r="BG1146" i="2"/>
  <c r="AX1158" i="2"/>
  <c r="AY1158" i="2"/>
  <c r="BF1158" i="2"/>
  <c r="BG1158" i="2"/>
  <c r="BD1158" i="2"/>
  <c r="BG1075" i="2"/>
  <c r="BF1075" i="2"/>
  <c r="AY1075" i="2"/>
  <c r="AX1075" i="2"/>
  <c r="BG754" i="2"/>
  <c r="AY754" i="2"/>
  <c r="BH754" i="2"/>
  <c r="BF754" i="2"/>
  <c r="AX754" i="2"/>
  <c r="AZ827" i="2"/>
  <c r="BG827" i="2"/>
  <c r="AY827" i="2"/>
  <c r="BF827" i="2"/>
  <c r="BF744" i="2"/>
  <c r="AX744" i="2"/>
  <c r="BF1061" i="2"/>
  <c r="AX1061" i="2"/>
  <c r="AZ1061" i="2"/>
  <c r="AY1061" i="2"/>
  <c r="BG1061" i="2"/>
  <c r="AX1112" i="2"/>
  <c r="AY1112" i="2"/>
  <c r="AZ1112" i="2"/>
  <c r="BF1112" i="2"/>
  <c r="BG1112" i="2"/>
  <c r="BH1112" i="2"/>
  <c r="AX958" i="2"/>
  <c r="BF958" i="2"/>
  <c r="BG958" i="2"/>
  <c r="AY958" i="2"/>
  <c r="BH1173" i="2"/>
  <c r="BG1173" i="2"/>
  <c r="AX1173" i="2"/>
  <c r="AY1102" i="2"/>
  <c r="AZ1102" i="2"/>
  <c r="AX1102" i="2"/>
  <c r="BH1102" i="2"/>
  <c r="AX1019" i="2"/>
  <c r="BF1019" i="2"/>
  <c r="BG1019" i="2"/>
  <c r="AY1019" i="2"/>
  <c r="AZ1019" i="2"/>
  <c r="BF831" i="2"/>
  <c r="AZ831" i="2"/>
  <c r="AY831" i="2"/>
  <c r="AX831" i="2"/>
  <c r="BD748" i="2"/>
  <c r="AX748" i="2"/>
  <c r="BG748" i="2"/>
  <c r="AZ748" i="2"/>
  <c r="AY748" i="2"/>
  <c r="BF748" i="2"/>
  <c r="BD1069" i="2"/>
  <c r="AY1069" i="2"/>
  <c r="BG1069" i="2"/>
  <c r="BF1069" i="2"/>
  <c r="AY1124" i="2"/>
  <c r="AX1124" i="2"/>
  <c r="BG1124" i="2"/>
  <c r="AY1177" i="2"/>
  <c r="AX1177" i="2"/>
  <c r="BF1177" i="2"/>
  <c r="BF1094" i="2"/>
  <c r="AY1094" i="2"/>
  <c r="BH1094" i="2"/>
  <c r="BG1094" i="2"/>
  <c r="AX1106" i="2"/>
  <c r="AY1106" i="2"/>
  <c r="BF1106" i="2"/>
  <c r="AZ1106" i="2"/>
  <c r="BH1106" i="2"/>
  <c r="BG1023" i="2"/>
  <c r="AX1023" i="2"/>
  <c r="AY1023" i="2"/>
  <c r="BH1023" i="2"/>
  <c r="BF1023" i="2"/>
  <c r="AW821" i="2"/>
  <c r="BH821" i="2"/>
  <c r="AY821" i="2"/>
  <c r="AX821" i="2"/>
  <c r="AX1073" i="2"/>
  <c r="AZ1073" i="2"/>
  <c r="BF1073" i="2"/>
  <c r="BG1073" i="2"/>
  <c r="BE999" i="2"/>
  <c r="AZ999" i="2"/>
  <c r="BF999" i="2"/>
  <c r="BG999" i="2"/>
  <c r="AZ882" i="2"/>
  <c r="BG882" i="2"/>
  <c r="BF882" i="2"/>
  <c r="AY882" i="2"/>
  <c r="AX909" i="2"/>
  <c r="BF909" i="2"/>
  <c r="BG909" i="2"/>
  <c r="AY909" i="2"/>
  <c r="BF817" i="2"/>
  <c r="BD817" i="2"/>
  <c r="BG817" i="2"/>
  <c r="AY817" i="2"/>
  <c r="AX817" i="2"/>
  <c r="BH1053" i="2"/>
  <c r="BG1053" i="2"/>
  <c r="AZ1053" i="2"/>
  <c r="AX1053" i="2"/>
  <c r="BF1053" i="2"/>
  <c r="AY1053" i="2"/>
  <c r="AZ970" i="2"/>
  <c r="BF970" i="2"/>
  <c r="BG970" i="2"/>
  <c r="AY970" i="2"/>
  <c r="BF982" i="2"/>
  <c r="AY982" i="2"/>
  <c r="BG982" i="2"/>
  <c r="BF899" i="2"/>
  <c r="BG899" i="2"/>
  <c r="AZ899" i="2"/>
  <c r="AX899" i="2"/>
  <c r="AY899" i="2"/>
  <c r="AY989" i="2"/>
  <c r="BG989" i="2"/>
  <c r="AX989" i="2"/>
  <c r="BF989" i="2"/>
  <c r="AY961" i="2"/>
  <c r="BD961" i="2"/>
  <c r="BF961" i="2"/>
  <c r="BG961" i="2"/>
  <c r="AX856" i="2"/>
  <c r="AY856" i="2"/>
  <c r="BF856" i="2"/>
  <c r="BG856" i="2"/>
  <c r="AY877" i="2"/>
  <c r="AZ877" i="2"/>
  <c r="AX877" i="2"/>
  <c r="BG877" i="2"/>
  <c r="BE793" i="2"/>
  <c r="AX793" i="2"/>
  <c r="AY793" i="2"/>
  <c r="BG793" i="2"/>
  <c r="BF793" i="2"/>
  <c r="AZ793" i="2"/>
  <c r="AY1188" i="2"/>
  <c r="BG1188" i="2"/>
  <c r="AX1188" i="2"/>
  <c r="AX946" i="2"/>
  <c r="AY946" i="2"/>
  <c r="BD946" i="2"/>
  <c r="BG946" i="2"/>
  <c r="AX1202" i="2"/>
  <c r="AY1202" i="2"/>
  <c r="BG1202" i="2"/>
  <c r="AZ1202" i="2"/>
  <c r="AX875" i="2"/>
  <c r="AY875" i="2"/>
  <c r="AZ875" i="2"/>
  <c r="BF875" i="2"/>
  <c r="BH875" i="2"/>
  <c r="AY1172" i="2"/>
  <c r="AX1172" i="2"/>
  <c r="BD815" i="2"/>
  <c r="AX815" i="2"/>
  <c r="BF815" i="2"/>
  <c r="BG815" i="2"/>
  <c r="AY815" i="2"/>
  <c r="AY732" i="2"/>
  <c r="BF732" i="2"/>
  <c r="AX732" i="2"/>
  <c r="AX1037" i="2"/>
  <c r="BF1037" i="2"/>
  <c r="AY1037" i="2"/>
  <c r="BG1037" i="2"/>
  <c r="BD1037" i="2"/>
  <c r="BF1080" i="2"/>
  <c r="AX1080" i="2"/>
  <c r="BG1080" i="2"/>
  <c r="AY1080" i="2"/>
  <c r="BF942" i="2"/>
  <c r="AX942" i="2"/>
  <c r="AY1161" i="2"/>
  <c r="BF1161" i="2"/>
  <c r="AX1161" i="2"/>
  <c r="BG1161" i="2"/>
  <c r="BH1078" i="2"/>
  <c r="AX1078" i="2"/>
  <c r="BG1078" i="2"/>
  <c r="BF1078" i="2"/>
  <c r="AY1078" i="2"/>
  <c r="AZ1078" i="2"/>
  <c r="AX1090" i="2"/>
  <c r="AZ1090" i="2"/>
  <c r="BG1090" i="2"/>
  <c r="AY1090" i="2"/>
  <c r="BF1090" i="2"/>
  <c r="AY1007" i="2"/>
  <c r="BG1007" i="2"/>
  <c r="BF1007" i="2"/>
  <c r="AZ1007" i="2"/>
  <c r="AY1131" i="2"/>
  <c r="BF1131" i="2"/>
  <c r="BG1131" i="2"/>
  <c r="AX1131" i="2"/>
  <c r="BE700" i="2"/>
  <c r="BD863" i="2"/>
  <c r="BC911" i="2"/>
  <c r="BB1028" i="2"/>
  <c r="BB585" i="2"/>
  <c r="BB757" i="2"/>
  <c r="BE836" i="2"/>
  <c r="BA892" i="2"/>
  <c r="BA911" i="2"/>
  <c r="BA700" i="2"/>
  <c r="BA757" i="2"/>
  <c r="BA709" i="2"/>
  <c r="BH709" i="2"/>
  <c r="AX1169" i="2"/>
  <c r="BF804" i="2"/>
  <c r="BF1048" i="2"/>
  <c r="BF1173" i="2"/>
  <c r="AX1007" i="2"/>
  <c r="AX597" i="2"/>
  <c r="AX970" i="2"/>
  <c r="BD1163" i="2"/>
  <c r="BC1169" i="2"/>
  <c r="BD700" i="2"/>
  <c r="BB688" i="2"/>
  <c r="BB863" i="2"/>
  <c r="BB836" i="2"/>
  <c r="BB1163" i="2"/>
  <c r="BB911" i="2"/>
  <c r="BA688" i="2"/>
  <c r="BA1163" i="2"/>
  <c r="BA1169" i="2"/>
  <c r="BA592" i="2"/>
  <c r="AZ592" i="2"/>
  <c r="BH805" i="2"/>
  <c r="BH1157" i="2"/>
  <c r="BH1169" i="2"/>
  <c r="BH757" i="2"/>
  <c r="AZ709" i="2"/>
  <c r="AW1163" i="2"/>
  <c r="BE1163" i="2"/>
  <c r="BE928" i="2"/>
  <c r="BC942" i="2"/>
  <c r="BC585" i="2"/>
  <c r="BB604" i="2"/>
  <c r="BE722" i="2"/>
  <c r="BE688" i="2"/>
  <c r="BE1169" i="2"/>
  <c r="BB761" i="2"/>
  <c r="BA1028" i="2"/>
  <c r="BA942" i="2"/>
  <c r="BA805" i="2"/>
  <c r="BH761" i="2"/>
  <c r="BH1028" i="2"/>
  <c r="BG894" i="2"/>
  <c r="BG737" i="2"/>
  <c r="BG863" i="2"/>
  <c r="AY744" i="2"/>
  <c r="BF890" i="2"/>
  <c r="AX827" i="2"/>
  <c r="BG1024" i="2"/>
  <c r="BD1028" i="2"/>
  <c r="AW928" i="2"/>
  <c r="AW722" i="2"/>
  <c r="BD604" i="2"/>
  <c r="BC805" i="2"/>
  <c r="BC1157" i="2"/>
  <c r="BC757" i="2"/>
  <c r="BB700" i="2"/>
  <c r="BB928" i="2"/>
  <c r="AW604" i="2"/>
  <c r="BA604" i="2"/>
  <c r="BA585" i="2"/>
  <c r="AZ892" i="2"/>
  <c r="AZ722" i="2"/>
  <c r="BA1076" i="2"/>
  <c r="BH942" i="2"/>
  <c r="BH928" i="2"/>
  <c r="BH836" i="2"/>
  <c r="BH688" i="2"/>
  <c r="BF592" i="2"/>
  <c r="BG1060" i="2"/>
  <c r="BG831" i="2"/>
  <c r="AY757" i="2"/>
  <c r="AY700" i="2"/>
  <c r="AY1173" i="2"/>
  <c r="BF877" i="2"/>
  <c r="BF696" i="2"/>
  <c r="AX961" i="2"/>
  <c r="BD1094" i="2"/>
  <c r="BD1024" i="2"/>
  <c r="AW688" i="2"/>
  <c r="AW1028" i="2"/>
  <c r="BD592" i="2"/>
  <c r="BC761" i="2"/>
  <c r="BC836" i="2"/>
  <c r="BC604" i="2"/>
  <c r="BC688" i="2"/>
  <c r="BC592" i="2"/>
  <c r="BC722" i="2"/>
  <c r="BC1028" i="2"/>
  <c r="BB592" i="2"/>
  <c r="BB892" i="2"/>
  <c r="BA1157" i="2"/>
  <c r="AZ928" i="2"/>
  <c r="AZ1169" i="2"/>
  <c r="BH722" i="2"/>
  <c r="AZ761" i="2"/>
  <c r="AZ604" i="2"/>
  <c r="BG1130" i="2"/>
  <c r="BF688" i="2"/>
  <c r="BD892" i="2"/>
  <c r="BD722" i="2"/>
  <c r="BC863" i="2"/>
  <c r="BD942" i="2"/>
  <c r="BB1157" i="2"/>
  <c r="BA928" i="2"/>
  <c r="BA863" i="2"/>
  <c r="BA722" i="2"/>
  <c r="BF604" i="2"/>
  <c r="BG804" i="2"/>
  <c r="BF1188" i="2"/>
  <c r="BF1202" i="2"/>
  <c r="BF1130" i="2"/>
  <c r="BE653" i="2"/>
  <c r="AU893" i="2"/>
  <c r="AV893" i="2"/>
  <c r="AU1192" i="2"/>
  <c r="AV1192" i="2"/>
  <c r="AV808" i="2"/>
  <c r="AU808" i="2"/>
  <c r="AV656" i="2"/>
  <c r="AU656" i="2"/>
  <c r="AU979" i="2"/>
  <c r="AV979" i="2"/>
  <c r="AV935" i="2"/>
  <c r="AU935" i="2"/>
  <c r="AV972" i="2"/>
  <c r="AU972" i="2"/>
  <c r="AV806" i="2"/>
  <c r="AU806" i="2"/>
  <c r="AU718" i="2"/>
  <c r="BE718" i="2"/>
  <c r="AW718" i="2"/>
  <c r="AV718" i="2"/>
  <c r="AU840" i="2"/>
  <c r="AV840" i="2"/>
  <c r="BE645" i="2"/>
  <c r="AW645" i="2"/>
  <c r="AV1051" i="2"/>
  <c r="AU1051" i="2"/>
  <c r="AU804" i="2"/>
  <c r="AV804" i="2"/>
  <c r="AU764" i="2"/>
  <c r="AV764" i="2"/>
  <c r="AU632" i="2"/>
  <c r="AV632" i="2"/>
  <c r="AY931" i="2"/>
  <c r="BE625" i="2"/>
  <c r="BE593" i="2"/>
  <c r="AW593" i="2"/>
  <c r="AV949" i="2"/>
  <c r="AU949" i="2"/>
  <c r="AV772" i="2"/>
  <c r="AU772" i="2"/>
  <c r="AU600" i="2"/>
  <c r="AV600" i="2"/>
  <c r="AW600" i="2"/>
  <c r="AV1194" i="2"/>
  <c r="AU1194" i="2"/>
  <c r="AV1204" i="2"/>
  <c r="AU1204" i="2"/>
  <c r="AV917" i="2"/>
  <c r="AW917" i="2"/>
  <c r="AU917" i="2"/>
  <c r="BE917" i="2"/>
  <c r="AU755" i="2"/>
  <c r="AV755" i="2"/>
  <c r="AU588" i="2"/>
  <c r="AW588" i="2"/>
  <c r="AV588" i="2"/>
  <c r="BE588" i="2"/>
  <c r="AV997" i="2"/>
  <c r="AU997" i="2"/>
  <c r="BE842" i="2"/>
  <c r="AX842" i="2"/>
  <c r="AV842" i="2"/>
  <c r="AU842" i="2"/>
  <c r="AW842" i="2"/>
  <c r="AV729" i="2"/>
  <c r="AU729" i="2"/>
  <c r="AU872" i="2"/>
  <c r="AV872" i="2"/>
  <c r="AU1168" i="2"/>
  <c r="AV1168" i="2"/>
  <c r="AU817" i="2"/>
  <c r="AV817" i="2"/>
  <c r="BE870" i="2"/>
  <c r="AW870" i="2"/>
  <c r="AU763" i="2"/>
  <c r="AV763" i="2"/>
  <c r="AV929" i="2"/>
  <c r="AU929" i="2"/>
  <c r="AU800" i="2"/>
  <c r="AV800" i="2"/>
  <c r="AU714" i="2"/>
  <c r="AV714" i="2"/>
  <c r="BE714" i="2"/>
  <c r="BE649" i="2"/>
  <c r="AU787" i="2"/>
  <c r="AX787" i="2"/>
  <c r="AV787" i="2"/>
  <c r="AW787" i="2"/>
  <c r="BE787" i="2"/>
  <c r="AU752" i="2"/>
  <c r="AV752" i="2"/>
  <c r="AU694" i="2"/>
  <c r="AV694" i="2"/>
  <c r="BE589" i="2"/>
  <c r="AW589" i="2"/>
  <c r="AU939" i="2"/>
  <c r="AV939" i="2"/>
  <c r="AU766" i="2"/>
  <c r="AV766" i="2"/>
  <c r="BE766" i="2"/>
  <c r="AW766" i="2"/>
  <c r="AV1001" i="2"/>
  <c r="AU1001" i="2"/>
  <c r="AU696" i="2"/>
  <c r="AV696" i="2"/>
  <c r="AW1128" i="2"/>
  <c r="BE1128" i="2"/>
  <c r="AV1178" i="2"/>
  <c r="AU1178" i="2"/>
  <c r="AV736" i="2"/>
  <c r="AU736" i="2"/>
  <c r="AV875" i="2"/>
  <c r="AU875" i="2"/>
  <c r="AV750" i="2"/>
  <c r="BE750" i="2"/>
  <c r="AW750" i="2"/>
  <c r="AU750" i="2"/>
  <c r="AZ1155" i="2"/>
  <c r="AW714" i="2"/>
  <c r="AV970" i="2"/>
  <c r="AU970" i="2"/>
  <c r="AU922" i="2"/>
  <c r="AV922" i="2"/>
  <c r="AV956" i="2"/>
  <c r="AU956" i="2"/>
  <c r="AV813" i="2"/>
  <c r="AU813" i="2"/>
  <c r="AW723" i="2"/>
  <c r="AV723" i="2"/>
  <c r="AU723" i="2"/>
  <c r="BE723" i="2"/>
  <c r="AW1136" i="2"/>
  <c r="BE1136" i="2"/>
  <c r="AU652" i="2"/>
  <c r="AV652" i="2"/>
  <c r="AW652" i="2"/>
  <c r="BE652" i="2"/>
  <c r="AU966" i="2"/>
  <c r="AV966" i="2"/>
  <c r="AV758" i="2"/>
  <c r="BE758" i="2"/>
  <c r="AW758" i="2"/>
  <c r="AU758" i="2"/>
  <c r="BF684" i="2"/>
  <c r="AW684" i="2"/>
  <c r="BE684" i="2"/>
  <c r="AU855" i="2"/>
  <c r="AV855" i="2"/>
  <c r="AV950" i="2"/>
  <c r="AU950" i="2"/>
  <c r="AU710" i="2"/>
  <c r="AV710" i="2"/>
  <c r="AW710" i="2"/>
  <c r="AV1040" i="2"/>
  <c r="AU1040" i="2"/>
  <c r="AW716" i="2"/>
  <c r="AU716" i="2"/>
  <c r="AV716" i="2"/>
  <c r="BE716" i="2"/>
  <c r="AX716" i="2"/>
  <c r="AV1210" i="2"/>
  <c r="AU1210" i="2"/>
  <c r="AV775" i="2"/>
  <c r="AU775" i="2"/>
  <c r="AU690" i="2"/>
  <c r="AV690" i="2"/>
  <c r="BE690" i="2"/>
  <c r="AW690" i="2"/>
  <c r="AU596" i="2"/>
  <c r="AV596" i="2"/>
  <c r="AU692" i="2"/>
  <c r="AV692" i="2"/>
  <c r="AU1098" i="2"/>
  <c r="AV1098" i="2"/>
  <c r="AV820" i="2"/>
  <c r="AU820" i="2"/>
  <c r="AV720" i="2"/>
  <c r="AU720" i="2"/>
  <c r="BD1089" i="2"/>
  <c r="BD995" i="2"/>
  <c r="BD1145" i="2"/>
  <c r="BD987" i="2"/>
  <c r="BD1058" i="2"/>
  <c r="AV1041" i="2"/>
  <c r="AU1041" i="2"/>
  <c r="AU814" i="2"/>
  <c r="AW814" i="2"/>
  <c r="AV814" i="2"/>
  <c r="AV660" i="2"/>
  <c r="AU660" i="2"/>
  <c r="AU890" i="2"/>
  <c r="AV890" i="2"/>
  <c r="AV769" i="2"/>
  <c r="AU769" i="2"/>
  <c r="AV856" i="2"/>
  <c r="AU856" i="2"/>
  <c r="AU1067" i="2"/>
  <c r="AV1067" i="2"/>
  <c r="AV810" i="2"/>
  <c r="AU810" i="2"/>
  <c r="BE810" i="2"/>
  <c r="AW810" i="2"/>
  <c r="AU1092" i="2"/>
  <c r="AV1092" i="2"/>
  <c r="AU636" i="2"/>
  <c r="AV636" i="2"/>
  <c r="AW790" i="2"/>
  <c r="BE790" i="2"/>
  <c r="AU737" i="2"/>
  <c r="AV737" i="2"/>
  <c r="BA1167" i="2"/>
  <c r="BH1167" i="2"/>
  <c r="AZ1171" i="2"/>
  <c r="BE1167" i="2"/>
  <c r="BC1167" i="2"/>
  <c r="BH1155" i="2"/>
  <c r="BB1155" i="2"/>
  <c r="BB1167" i="2"/>
  <c r="BA1155" i="2"/>
  <c r="BD1176" i="2"/>
  <c r="BC1155" i="2"/>
  <c r="D2" i="1"/>
  <c r="AW874" i="2"/>
  <c r="BE804" i="2"/>
  <c r="AW804" i="2"/>
  <c r="AV964" i="2"/>
  <c r="AU964" i="2"/>
  <c r="AW964" i="2"/>
  <c r="BE577" i="2"/>
  <c r="AW577" i="2"/>
  <c r="AU648" i="2"/>
  <c r="AV648" i="2"/>
  <c r="AW648" i="2"/>
  <c r="BE648" i="2"/>
  <c r="AW1089" i="2"/>
  <c r="AV1089" i="2"/>
  <c r="AU1089" i="2"/>
  <c r="BE1089" i="2"/>
  <c r="AU1060" i="2"/>
  <c r="BE1060" i="2"/>
  <c r="AW1060" i="2"/>
  <c r="AV1060" i="2"/>
  <c r="AU853" i="2"/>
  <c r="BE853" i="2"/>
  <c r="BD853" i="2"/>
  <c r="AW853" i="2"/>
  <c r="AV853" i="2"/>
  <c r="AU612" i="2"/>
  <c r="AV612" i="2"/>
  <c r="BE612" i="2"/>
  <c r="AW612" i="2"/>
  <c r="AU1130" i="2"/>
  <c r="AV1130" i="2"/>
  <c r="AW697" i="2"/>
  <c r="BE697" i="2"/>
  <c r="AW788" i="2"/>
  <c r="BE788" i="2"/>
  <c r="AU788" i="2"/>
  <c r="AV788" i="2"/>
  <c r="AW934" i="2"/>
  <c r="AU934" i="2"/>
  <c r="AV934" i="2"/>
  <c r="BE934" i="2"/>
  <c r="AU1072" i="2"/>
  <c r="AV1072" i="2"/>
  <c r="BE597" i="2"/>
  <c r="AW597" i="2"/>
  <c r="BE890" i="2"/>
  <c r="AW890" i="2"/>
  <c r="AV1158" i="2"/>
  <c r="BE1158" i="2"/>
  <c r="AU1158" i="2"/>
  <c r="AW1158" i="2"/>
  <c r="AU754" i="2"/>
  <c r="BE754" i="2"/>
  <c r="AV754" i="2"/>
  <c r="AV827" i="2"/>
  <c r="AU827" i="2"/>
  <c r="AV1112" i="2"/>
  <c r="AU1112" i="2"/>
  <c r="AU958" i="2"/>
  <c r="AV958" i="2"/>
  <c r="AU1173" i="2"/>
  <c r="AV1173" i="2"/>
  <c r="AU1102" i="2"/>
  <c r="AV1102" i="2"/>
  <c r="AV831" i="2"/>
  <c r="AW831" i="2"/>
  <c r="AU831" i="2"/>
  <c r="BE748" i="2"/>
  <c r="AW748" i="2"/>
  <c r="AV1177" i="2"/>
  <c r="AU1177" i="2"/>
  <c r="AU1106" i="2"/>
  <c r="AV1106" i="2"/>
  <c r="AU821" i="2"/>
  <c r="AV821" i="2"/>
  <c r="AV999" i="2"/>
  <c r="AU999" i="2"/>
  <c r="AV882" i="2"/>
  <c r="AW882" i="2"/>
  <c r="AU882" i="2"/>
  <c r="AU909" i="2"/>
  <c r="AW909" i="2"/>
  <c r="AV909" i="2"/>
  <c r="BE909" i="2"/>
  <c r="BE817" i="2"/>
  <c r="AW817" i="2"/>
  <c r="AV1053" i="2"/>
  <c r="AU1053" i="2"/>
  <c r="BE1053" i="2"/>
  <c r="AW1053" i="2"/>
  <c r="AV982" i="2"/>
  <c r="AU982" i="2"/>
  <c r="AW982" i="2"/>
  <c r="BE982" i="2"/>
  <c r="AV989" i="2"/>
  <c r="AU989" i="2"/>
  <c r="BE989" i="2"/>
  <c r="AW989" i="2"/>
  <c r="BE961" i="2"/>
  <c r="AW961" i="2"/>
  <c r="AV961" i="2"/>
  <c r="AU961" i="2"/>
  <c r="AU877" i="2"/>
  <c r="AV877" i="2"/>
  <c r="BE877" i="2"/>
  <c r="AW877" i="2"/>
  <c r="AV1188" i="2"/>
  <c r="AU1188" i="2"/>
  <c r="BE1188" i="2"/>
  <c r="AW1188" i="2"/>
  <c r="AU815" i="2"/>
  <c r="AV815" i="2"/>
  <c r="BE815" i="2"/>
  <c r="AW815" i="2"/>
  <c r="AW1037" i="2"/>
  <c r="BE1037" i="2"/>
  <c r="AU1037" i="2"/>
  <c r="AV1037" i="2"/>
  <c r="AW1080" i="2"/>
  <c r="BE1080" i="2"/>
  <c r="AU1080" i="2"/>
  <c r="AV1080" i="2"/>
  <c r="AV942" i="2"/>
  <c r="BE942" i="2"/>
  <c r="AU942" i="2"/>
  <c r="AW942" i="2"/>
  <c r="BE1161" i="2"/>
  <c r="AW1161" i="2"/>
  <c r="AV1161" i="2"/>
  <c r="AU1161" i="2"/>
  <c r="AU1090" i="2"/>
  <c r="AV1090" i="2"/>
  <c r="BE1090" i="2"/>
  <c r="AW1090" i="2"/>
  <c r="AW1007" i="2"/>
  <c r="BE1007" i="2"/>
  <c r="AU1131" i="2"/>
  <c r="AV1131" i="2"/>
  <c r="AU1105" i="2"/>
  <c r="AV1105" i="2"/>
  <c r="AU861" i="2"/>
  <c r="AV861" i="2"/>
  <c r="AW1036" i="2"/>
  <c r="AU1036" i="2"/>
  <c r="BE1036" i="2"/>
  <c r="AV1036" i="2"/>
  <c r="BE616" i="2"/>
  <c r="AW616" i="2"/>
  <c r="AV616" i="2"/>
  <c r="AU616" i="2"/>
  <c r="BE1063" i="2"/>
  <c r="AW1063" i="2"/>
  <c r="AU1027" i="2"/>
  <c r="BE1027" i="2"/>
  <c r="AV1027" i="2"/>
  <c r="AW1027" i="2"/>
  <c r="AU892" i="2"/>
  <c r="AV892" i="2"/>
  <c r="AU782" i="2"/>
  <c r="AW782" i="2"/>
  <c r="AV782" i="2"/>
  <c r="BE782" i="2"/>
  <c r="BE929" i="2"/>
  <c r="AW929" i="2"/>
  <c r="AU580" i="2"/>
  <c r="AW580" i="2"/>
  <c r="AV580" i="2"/>
  <c r="BE580" i="2"/>
  <c r="AU1002" i="2"/>
  <c r="AV1002" i="2"/>
  <c r="AU936" i="2"/>
  <c r="BE936" i="2"/>
  <c r="AV936" i="2"/>
  <c r="AV954" i="2"/>
  <c r="AU954" i="2"/>
  <c r="BE954" i="2"/>
  <c r="AV742" i="2"/>
  <c r="BE742" i="2"/>
  <c r="AU742" i="2"/>
  <c r="AW742" i="2"/>
  <c r="AU885" i="2"/>
  <c r="BE885" i="2"/>
  <c r="AW885" i="2"/>
  <c r="AV885" i="2"/>
  <c r="AU1185" i="2"/>
  <c r="BE1185" i="2"/>
  <c r="AV1185" i="2"/>
  <c r="AW1185" i="2"/>
  <c r="AW756" i="2"/>
  <c r="BE756" i="2"/>
  <c r="AU932" i="2"/>
  <c r="AW932" i="2"/>
  <c r="BE932" i="2"/>
  <c r="AV932" i="2"/>
  <c r="BD852" i="2"/>
  <c r="BE852" i="2"/>
  <c r="AW852" i="2"/>
  <c r="AV852" i="2"/>
  <c r="AX852" i="2"/>
  <c r="AU852" i="2"/>
  <c r="BF1124" i="2"/>
  <c r="BE1124" i="2"/>
  <c r="AW1124" i="2"/>
  <c r="AV1124" i="2"/>
  <c r="AU1124" i="2"/>
  <c r="BE922" i="2"/>
  <c r="AW922" i="2"/>
  <c r="AW1178" i="2"/>
  <c r="BE1178" i="2"/>
  <c r="AU1190" i="2"/>
  <c r="BE1190" i="2"/>
  <c r="AW1190" i="2"/>
  <c r="AV1190" i="2"/>
  <c r="AU802" i="2"/>
  <c r="AV802" i="2"/>
  <c r="AU859" i="2"/>
  <c r="AV859" i="2"/>
  <c r="AW1008" i="2"/>
  <c r="BE1008" i="2"/>
  <c r="AU1205" i="2"/>
  <c r="AW1205" i="2"/>
  <c r="AV1205" i="2"/>
  <c r="AU1134" i="2"/>
  <c r="AV1134" i="2"/>
  <c r="AW863" i="2"/>
  <c r="AV863" i="2"/>
  <c r="BE863" i="2"/>
  <c r="AU863" i="2"/>
  <c r="AW1153" i="2"/>
  <c r="BE1153" i="2"/>
  <c r="AU1208" i="2"/>
  <c r="AV1208" i="2"/>
  <c r="AV1013" i="2"/>
  <c r="AU1013" i="2"/>
  <c r="AV1209" i="2"/>
  <c r="BE1209" i="2"/>
  <c r="AU1209" i="2"/>
  <c r="AU1138" i="2"/>
  <c r="AW1138" i="2"/>
  <c r="AV1138" i="2"/>
  <c r="AV889" i="2"/>
  <c r="AU889" i="2"/>
  <c r="AV1052" i="2"/>
  <c r="AU1052" i="2"/>
  <c r="AV952" i="2"/>
  <c r="AU952" i="2"/>
  <c r="BE952" i="2"/>
  <c r="AW952" i="2"/>
  <c r="BE849" i="2"/>
  <c r="AW849" i="2"/>
  <c r="AV1085" i="2"/>
  <c r="AU1085" i="2"/>
  <c r="AU1014" i="2"/>
  <c r="BE1014" i="2"/>
  <c r="AV1014" i="2"/>
  <c r="AV920" i="2"/>
  <c r="BE920" i="2"/>
  <c r="AW920" i="2"/>
  <c r="AU920" i="2"/>
  <c r="AV1061" i="2"/>
  <c r="AU1061" i="2"/>
  <c r="BE1061" i="2"/>
  <c r="AW1061" i="2"/>
  <c r="AW990" i="2"/>
  <c r="BE990" i="2"/>
  <c r="AV990" i="2"/>
  <c r="AU990" i="2"/>
  <c r="AU847" i="2"/>
  <c r="AV847" i="2"/>
  <c r="AW847" i="2"/>
  <c r="BE847" i="2"/>
  <c r="AX988" i="2"/>
  <c r="AW988" i="2"/>
  <c r="AV988" i="2"/>
  <c r="AU988" i="2"/>
  <c r="BE988" i="2"/>
  <c r="AU1193" i="2"/>
  <c r="BE1193" i="2"/>
  <c r="AW1193" i="2"/>
  <c r="AV1193" i="2"/>
  <c r="BE1122" i="2"/>
  <c r="AW1122" i="2"/>
  <c r="BF1122" i="2"/>
  <c r="AV1122" i="2"/>
  <c r="AU1122" i="2"/>
  <c r="BH1163" i="2"/>
  <c r="BD1124" i="2"/>
  <c r="BD1190" i="2"/>
  <c r="AU913" i="2"/>
  <c r="BE913" i="2"/>
  <c r="AV913" i="2"/>
  <c r="AW913" i="2"/>
  <c r="AV789" i="2"/>
  <c r="AU789" i="2"/>
  <c r="AW789" i="2"/>
  <c r="BE789" i="2"/>
  <c r="AU584" i="2"/>
  <c r="AV584" i="2"/>
  <c r="AW584" i="2"/>
  <c r="BE584" i="2"/>
  <c r="AW807" i="2"/>
  <c r="AV807" i="2"/>
  <c r="BE807" i="2"/>
  <c r="AU807" i="2"/>
  <c r="BE738" i="2"/>
  <c r="AW738" i="2"/>
  <c r="AW851" i="2"/>
  <c r="BE851" i="2"/>
  <c r="AU1132" i="2"/>
  <c r="AV1132" i="2"/>
  <c r="AU809" i="2"/>
  <c r="AV809" i="2"/>
  <c r="AW809" i="2"/>
  <c r="AW704" i="2"/>
  <c r="AU704" i="2"/>
  <c r="AV704" i="2"/>
  <c r="BE704" i="2"/>
  <c r="AU1057" i="2"/>
  <c r="BE1057" i="2"/>
  <c r="AV1057" i="2"/>
  <c r="AW1057" i="2"/>
  <c r="AU829" i="2"/>
  <c r="BE829" i="2"/>
  <c r="AV829" i="2"/>
  <c r="AW829" i="2"/>
  <c r="BE973" i="2"/>
  <c r="AW973" i="2"/>
  <c r="AV888" i="2"/>
  <c r="AW888" i="2"/>
  <c r="AU888" i="2"/>
  <c r="BE888" i="2"/>
  <c r="BE1210" i="2"/>
  <c r="AW1210" i="2"/>
  <c r="AW862" i="2"/>
  <c r="AX862" i="2"/>
  <c r="BE862" i="2"/>
  <c r="AV897" i="2"/>
  <c r="AU897" i="2"/>
  <c r="AU828" i="2"/>
  <c r="AV828" i="2"/>
  <c r="BE1064" i="2"/>
  <c r="AW1064" i="2"/>
  <c r="AV1166" i="2"/>
  <c r="AU1166" i="2"/>
  <c r="AW1083" i="2"/>
  <c r="BE1083" i="2"/>
  <c r="AU903" i="2"/>
  <c r="AV903" i="2"/>
  <c r="AV832" i="2"/>
  <c r="AU832" i="2"/>
  <c r="AV1170" i="2"/>
  <c r="AU1170" i="2"/>
  <c r="BE1170" i="2"/>
  <c r="AV976" i="2"/>
  <c r="AU976" i="2"/>
  <c r="AW976" i="2"/>
  <c r="AU771" i="2"/>
  <c r="AV771" i="2"/>
  <c r="AW771" i="2"/>
  <c r="AU1000" i="2"/>
  <c r="AV1000" i="2"/>
  <c r="BE1000" i="2"/>
  <c r="AV1117" i="2"/>
  <c r="AU1117" i="2"/>
  <c r="BE1117" i="2"/>
  <c r="AV1046" i="2"/>
  <c r="AU1046" i="2"/>
  <c r="AW1046" i="2"/>
  <c r="AW1079" i="2"/>
  <c r="AV1079" i="2"/>
  <c r="BE1079" i="2"/>
  <c r="AU1079" i="2"/>
  <c r="AV1068" i="2"/>
  <c r="AU1068" i="2"/>
  <c r="BE1068" i="2"/>
  <c r="AW1068" i="2"/>
  <c r="AV963" i="2"/>
  <c r="AU963" i="2"/>
  <c r="BE963" i="2"/>
  <c r="AW963" i="2"/>
  <c r="BE857" i="2"/>
  <c r="AW857" i="2"/>
  <c r="AU1093" i="2"/>
  <c r="BE1093" i="2"/>
  <c r="AW1093" i="2"/>
  <c r="AV1093" i="2"/>
  <c r="AV1022" i="2"/>
  <c r="AU1022" i="2"/>
  <c r="BE1022" i="2"/>
  <c r="AW1022" i="2"/>
  <c r="AW838" i="2"/>
  <c r="BE838" i="2"/>
  <c r="AW881" i="2"/>
  <c r="BE881" i="2"/>
  <c r="AX881" i="2"/>
  <c r="AV881" i="2"/>
  <c r="AU881" i="2"/>
  <c r="AV1196" i="2"/>
  <c r="BE1196" i="2"/>
  <c r="AU1196" i="2"/>
  <c r="AW1196" i="2"/>
  <c r="AV1154" i="2"/>
  <c r="AU1154" i="2"/>
  <c r="BE1154" i="2"/>
  <c r="AX1154" i="2"/>
  <c r="AW1154" i="2"/>
  <c r="AV819" i="2"/>
  <c r="BE819" i="2"/>
  <c r="AW819" i="2"/>
  <c r="AU819" i="2"/>
  <c r="AU1146" i="2"/>
  <c r="BE1146" i="2"/>
  <c r="AV1146" i="2"/>
  <c r="AW1146" i="2"/>
  <c r="BE725" i="2"/>
  <c r="AW725" i="2"/>
  <c r="AW1140" i="2"/>
  <c r="AV1140" i="2"/>
  <c r="AU1140" i="2"/>
  <c r="BE1140" i="2"/>
  <c r="AU794" i="2"/>
  <c r="AW794" i="2"/>
  <c r="AV794" i="2"/>
  <c r="BE794" i="2"/>
  <c r="AW984" i="2"/>
  <c r="BE984" i="2"/>
  <c r="AV984" i="2"/>
  <c r="AU984" i="2"/>
  <c r="AU1116" i="2"/>
  <c r="BE1116" i="2"/>
  <c r="AV1116" i="2"/>
  <c r="AW1116" i="2"/>
  <c r="AW601" i="2"/>
  <c r="BE601" i="2"/>
  <c r="AV672" i="2"/>
  <c r="BE672" i="2"/>
  <c r="AW672" i="2"/>
  <c r="AU672" i="2"/>
  <c r="AW768" i="2"/>
  <c r="AU768" i="2"/>
  <c r="AV768" i="2"/>
  <c r="BE768" i="2"/>
  <c r="AW871" i="2"/>
  <c r="BE871" i="2"/>
  <c r="AU871" i="2"/>
  <c r="AV871" i="2"/>
  <c r="AW770" i="2"/>
  <c r="BE770" i="2"/>
  <c r="AV1024" i="2"/>
  <c r="AU1024" i="2"/>
  <c r="BE1024" i="2"/>
  <c r="AW1024" i="2"/>
  <c r="BE931" i="2"/>
  <c r="AW931" i="2"/>
  <c r="AV931" i="2"/>
  <c r="AU931" i="2"/>
  <c r="AV1069" i="2"/>
  <c r="AU1069" i="2"/>
  <c r="BE1069" i="2"/>
  <c r="AX1069" i="2"/>
  <c r="AW1069" i="2"/>
  <c r="BE998" i="2"/>
  <c r="AU998" i="2"/>
  <c r="AW998" i="2"/>
  <c r="AV998" i="2"/>
  <c r="AU940" i="2"/>
  <c r="AV940" i="2"/>
  <c r="AW840" i="2"/>
  <c r="BE840" i="2"/>
  <c r="AU860" i="2"/>
  <c r="AV860" i="2"/>
  <c r="AV1198" i="2"/>
  <c r="AU1198" i="2"/>
  <c r="AU945" i="2"/>
  <c r="AV945" i="2"/>
  <c r="AV864" i="2"/>
  <c r="AU864" i="2"/>
  <c r="BE864" i="2"/>
  <c r="AU1156" i="2"/>
  <c r="AV1156" i="2"/>
  <c r="BE1156" i="2"/>
  <c r="AU1202" i="2"/>
  <c r="AW1202" i="2"/>
  <c r="AV1202" i="2"/>
  <c r="BE1202" i="2"/>
  <c r="AU803" i="2"/>
  <c r="AV803" i="2"/>
  <c r="BE803" i="2"/>
  <c r="AV1019" i="2"/>
  <c r="AW1019" i="2"/>
  <c r="AU1019" i="2"/>
  <c r="BE1019" i="2"/>
  <c r="AV1055" i="2"/>
  <c r="AU1055" i="2"/>
  <c r="AW1055" i="2"/>
  <c r="AW926" i="2"/>
  <c r="AV926" i="2"/>
  <c r="AU926" i="2"/>
  <c r="AV1149" i="2"/>
  <c r="AU1149" i="2"/>
  <c r="AV1078" i="2"/>
  <c r="AU1078" i="2"/>
  <c r="AW1078" i="2"/>
  <c r="AU1111" i="2"/>
  <c r="BE1111" i="2"/>
  <c r="AW1111" i="2"/>
  <c r="AV1111" i="2"/>
  <c r="AU779" i="2"/>
  <c r="AV779" i="2"/>
  <c r="BE779" i="2"/>
  <c r="AW779" i="2"/>
  <c r="AW1152" i="2"/>
  <c r="AV1152" i="2"/>
  <c r="AU1152" i="2"/>
  <c r="BE1152" i="2"/>
  <c r="AV980" i="2"/>
  <c r="AU980" i="2"/>
  <c r="BE980" i="2"/>
  <c r="AW980" i="2"/>
  <c r="AV894" i="2"/>
  <c r="AU894" i="2"/>
  <c r="BE894" i="2"/>
  <c r="AW894" i="2"/>
  <c r="AV1125" i="2"/>
  <c r="AU1125" i="2"/>
  <c r="BE1125" i="2"/>
  <c r="AW1125" i="2"/>
  <c r="AW1054" i="2"/>
  <c r="AV1054" i="2"/>
  <c r="AU1054" i="2"/>
  <c r="BE1054" i="2"/>
  <c r="BE971" i="2"/>
  <c r="AW971" i="2"/>
  <c r="BE1087" i="2"/>
  <c r="AW1087" i="2"/>
  <c r="AV1087" i="2"/>
  <c r="AU1087" i="2"/>
  <c r="BE912" i="2"/>
  <c r="AW912" i="2"/>
  <c r="AV924" i="2"/>
  <c r="BE924" i="2"/>
  <c r="AU924" i="2"/>
  <c r="AW924" i="2"/>
  <c r="AW848" i="2"/>
  <c r="AV848" i="2"/>
  <c r="AU848" i="2"/>
  <c r="BE848" i="2"/>
  <c r="AV1186" i="2"/>
  <c r="AW1186" i="2"/>
  <c r="BE1186" i="2"/>
  <c r="AU1186" i="2"/>
  <c r="BD929" i="2"/>
  <c r="AV1162" i="2"/>
  <c r="AW1162" i="2"/>
  <c r="AU1162" i="2"/>
  <c r="BF1172" i="2"/>
  <c r="BD1172" i="2"/>
  <c r="BE1172" i="2"/>
  <c r="AW1172" i="2"/>
  <c r="AU1172" i="2"/>
  <c r="AV1172" i="2"/>
  <c r="AW705" i="2"/>
  <c r="BE705" i="2"/>
  <c r="AV801" i="2"/>
  <c r="AU801" i="2"/>
  <c r="AW801" i="2"/>
  <c r="BE801" i="2"/>
  <c r="AU1018" i="2"/>
  <c r="BE1018" i="2"/>
  <c r="AV1018" i="2"/>
  <c r="AW1018" i="2"/>
  <c r="AU957" i="2"/>
  <c r="BE957" i="2"/>
  <c r="AV957" i="2"/>
  <c r="AW957" i="2"/>
  <c r="AW977" i="2"/>
  <c r="BE977" i="2"/>
  <c r="BE669" i="2"/>
  <c r="AW669" i="2"/>
  <c r="AV747" i="2"/>
  <c r="BE747" i="2"/>
  <c r="AW747" i="2"/>
  <c r="AU747" i="2"/>
  <c r="AV896" i="2"/>
  <c r="AW896" i="2"/>
  <c r="AU896" i="2"/>
  <c r="BE896" i="2"/>
  <c r="AV1201" i="2"/>
  <c r="AU1201" i="2"/>
  <c r="AU943" i="2"/>
  <c r="AV943" i="2"/>
  <c r="AW640" i="2"/>
  <c r="AU640" i="2"/>
  <c r="BE640" i="2"/>
  <c r="AV640" i="2"/>
  <c r="AU791" i="2"/>
  <c r="AV791" i="2"/>
  <c r="AV1088" i="2"/>
  <c r="BE1088" i="2"/>
  <c r="AU1088" i="2"/>
  <c r="AW1088" i="2"/>
  <c r="AU946" i="2"/>
  <c r="BE946" i="2"/>
  <c r="BF946" i="2"/>
  <c r="AW946" i="2"/>
  <c r="AV946" i="2"/>
  <c r="AV975" i="2"/>
  <c r="AU975" i="2"/>
  <c r="BE975" i="2"/>
  <c r="AW975" i="2"/>
  <c r="BD1101" i="2"/>
  <c r="AW1101" i="2"/>
  <c r="AV1101" i="2"/>
  <c r="AU1101" i="2"/>
  <c r="BE1101" i="2"/>
  <c r="AW1030" i="2"/>
  <c r="AV1030" i="2"/>
  <c r="AU1030" i="2"/>
  <c r="BE1030" i="2"/>
  <c r="AU985" i="2"/>
  <c r="AV985" i="2"/>
  <c r="BE872" i="2"/>
  <c r="AW872" i="2"/>
  <c r="AV899" i="2"/>
  <c r="AU899" i="2"/>
  <c r="AV1045" i="2"/>
  <c r="AU1045" i="2"/>
  <c r="AU974" i="2"/>
  <c r="AV974" i="2"/>
  <c r="AV992" i="2"/>
  <c r="AU992" i="2"/>
  <c r="AW992" i="2"/>
  <c r="AU904" i="2"/>
  <c r="BE904" i="2"/>
  <c r="AV904" i="2"/>
  <c r="BE813" i="2"/>
  <c r="AW813" i="2"/>
  <c r="AV1049" i="2"/>
  <c r="AU1049" i="2"/>
  <c r="BE1049" i="2"/>
  <c r="AW966" i="2"/>
  <c r="BE966" i="2"/>
  <c r="AV978" i="2"/>
  <c r="AW978" i="2"/>
  <c r="AU978" i="2"/>
  <c r="AV765" i="2"/>
  <c r="AU765" i="2"/>
  <c r="AU835" i="2"/>
  <c r="BE835" i="2"/>
  <c r="AV835" i="2"/>
  <c r="BE969" i="2"/>
  <c r="AW969" i="2"/>
  <c r="AU1181" i="2"/>
  <c r="AW1181" i="2"/>
  <c r="AV1181" i="2"/>
  <c r="BE1181" i="2"/>
  <c r="AV1110" i="2"/>
  <c r="BE1110" i="2"/>
  <c r="AW1110" i="2"/>
  <c r="AU1110" i="2"/>
  <c r="AU1115" i="2"/>
  <c r="BE1115" i="2"/>
  <c r="AV1115" i="2"/>
  <c r="AW1115" i="2"/>
  <c r="AU811" i="2"/>
  <c r="AV811" i="2"/>
  <c r="BE811" i="2"/>
  <c r="AW811" i="2"/>
  <c r="BE728" i="2"/>
  <c r="AW728" i="2"/>
  <c r="AV1071" i="2"/>
  <c r="AW1071" i="2"/>
  <c r="AU1071" i="2"/>
  <c r="BE1071" i="2"/>
  <c r="AW1157" i="2"/>
  <c r="BE1157" i="2"/>
  <c r="BD1157" i="2"/>
  <c r="AV1157" i="2"/>
  <c r="AU1157" i="2"/>
  <c r="AV1086" i="2"/>
  <c r="AU1086" i="2"/>
  <c r="BE1086" i="2"/>
  <c r="AW1086" i="2"/>
  <c r="AW1119" i="2"/>
  <c r="AV1119" i="2"/>
  <c r="AU1119" i="2"/>
  <c r="BE1119" i="2"/>
  <c r="AV1003" i="2"/>
  <c r="AU1003" i="2"/>
  <c r="AW1003" i="2"/>
  <c r="BE1003" i="2"/>
  <c r="AW967" i="2"/>
  <c r="AV967" i="2"/>
  <c r="AU967" i="2"/>
  <c r="BE967" i="2"/>
  <c r="AV883" i="2"/>
  <c r="BE883" i="2"/>
  <c r="AU883" i="2"/>
  <c r="AW883" i="2"/>
  <c r="AW797" i="2"/>
  <c r="BE797" i="2"/>
  <c r="BE950" i="2"/>
  <c r="AW950" i="2"/>
  <c r="AV1034" i="2"/>
  <c r="AU1034" i="2"/>
  <c r="BE1016" i="2"/>
  <c r="AW1016" i="2"/>
  <c r="AV753" i="2"/>
  <c r="AU753" i="2"/>
  <c r="BE753" i="2"/>
  <c r="AW753" i="2"/>
  <c r="AV907" i="2"/>
  <c r="AU907" i="2"/>
  <c r="BE907" i="2"/>
  <c r="AW907" i="2"/>
  <c r="AW637" i="2"/>
  <c r="BE637" i="2"/>
  <c r="AU708" i="2"/>
  <c r="AW708" i="2"/>
  <c r="AV708" i="2"/>
  <c r="BE708" i="2"/>
  <c r="AU826" i="2"/>
  <c r="BE826" i="2"/>
  <c r="AW826" i="2"/>
  <c r="AV826" i="2"/>
  <c r="AV1073" i="2"/>
  <c r="AU1073" i="2"/>
  <c r="AV1031" i="2"/>
  <c r="AU1031" i="2"/>
  <c r="AV837" i="2"/>
  <c r="AU837" i="2"/>
  <c r="BE837" i="2"/>
  <c r="AW837" i="2"/>
  <c r="AW1011" i="2"/>
  <c r="AV1011" i="2"/>
  <c r="AU1011" i="2"/>
  <c r="BE1011" i="2"/>
  <c r="AV608" i="2"/>
  <c r="BE608" i="2"/>
  <c r="AU608" i="2"/>
  <c r="AW608" i="2"/>
  <c r="AW1114" i="2"/>
  <c r="AV1114" i="2"/>
  <c r="AU1114" i="2"/>
  <c r="BE1114" i="2"/>
  <c r="AW1144" i="2"/>
  <c r="AV1144" i="2"/>
  <c r="AU1144" i="2"/>
  <c r="BE1144" i="2"/>
  <c r="BE1025" i="2"/>
  <c r="AW1025" i="2"/>
  <c r="AV1025" i="2"/>
  <c r="AU1025" i="2"/>
  <c r="AW1133" i="2"/>
  <c r="AV1133" i="2"/>
  <c r="AU1133" i="2"/>
  <c r="BE1133" i="2"/>
  <c r="AW1050" i="2"/>
  <c r="BE1050" i="2"/>
  <c r="BE1062" i="2"/>
  <c r="AW1062" i="2"/>
  <c r="AV1062" i="2"/>
  <c r="AU1062" i="2"/>
  <c r="BE1095" i="2"/>
  <c r="AV1095" i="2"/>
  <c r="AU1095" i="2"/>
  <c r="AW1095" i="2"/>
  <c r="AV1108" i="2"/>
  <c r="AU1108" i="2"/>
  <c r="AV914" i="2"/>
  <c r="AU914" i="2"/>
  <c r="AV941" i="2"/>
  <c r="AW941" i="2"/>
  <c r="AU941" i="2"/>
  <c r="BE841" i="2"/>
  <c r="AW841" i="2"/>
  <c r="AV1077" i="2"/>
  <c r="AU1077" i="2"/>
  <c r="AV1006" i="2"/>
  <c r="AU1006" i="2"/>
  <c r="BE923" i="2"/>
  <c r="AW923" i="2"/>
  <c r="AV1044" i="2"/>
  <c r="AU1044" i="2"/>
  <c r="BE1044" i="2"/>
  <c r="AV947" i="2"/>
  <c r="AU947" i="2"/>
  <c r="AV1081" i="2"/>
  <c r="AU1081" i="2"/>
  <c r="AW1010" i="2"/>
  <c r="AV1010" i="2"/>
  <c r="AU1010" i="2"/>
  <c r="BE927" i="2"/>
  <c r="AW927" i="2"/>
  <c r="AU867" i="2"/>
  <c r="AV867" i="2"/>
  <c r="AW784" i="2"/>
  <c r="BE784" i="2"/>
  <c r="AU1164" i="2"/>
  <c r="AV1164" i="2"/>
  <c r="BE1164" i="2"/>
  <c r="AV1020" i="2"/>
  <c r="BE1020" i="2"/>
  <c r="AW1020" i="2"/>
  <c r="AU1020" i="2"/>
  <c r="BE1142" i="2"/>
  <c r="AV1142" i="2"/>
  <c r="AU1142" i="2"/>
  <c r="BE1059" i="2"/>
  <c r="AW1059" i="2"/>
  <c r="AV777" i="2"/>
  <c r="AW777" i="2"/>
  <c r="AU777" i="2"/>
  <c r="BE777" i="2"/>
  <c r="AU843" i="2"/>
  <c r="AV843" i="2"/>
  <c r="BE843" i="2"/>
  <c r="AW843" i="2"/>
  <c r="AV1100" i="2"/>
  <c r="AU1100" i="2"/>
  <c r="BE1100" i="2"/>
  <c r="AW1100" i="2"/>
  <c r="AV981" i="2"/>
  <c r="AU981" i="2"/>
  <c r="BE981" i="2"/>
  <c r="AW981" i="2"/>
  <c r="AV1189" i="2"/>
  <c r="AU1189" i="2"/>
  <c r="BE1189" i="2"/>
  <c r="AW1189" i="2"/>
  <c r="AW1118" i="2"/>
  <c r="AV1118" i="2"/>
  <c r="AU1118" i="2"/>
  <c r="BE1118" i="2"/>
  <c r="BE1035" i="2"/>
  <c r="AX1035" i="2"/>
  <c r="AW1035" i="2"/>
  <c r="AV845" i="2"/>
  <c r="AU845" i="2"/>
  <c r="BE845" i="2"/>
  <c r="AW845" i="2"/>
  <c r="AW1148" i="2"/>
  <c r="AV1148" i="2"/>
  <c r="BE1148" i="2"/>
  <c r="AU1148" i="2"/>
  <c r="AV1017" i="2"/>
  <c r="BE1017" i="2"/>
  <c r="AW1017" i="2"/>
  <c r="AU1017" i="2"/>
  <c r="AW898" i="2"/>
  <c r="AV898" i="2"/>
  <c r="AU898" i="2"/>
  <c r="BE898" i="2"/>
  <c r="AW925" i="2"/>
  <c r="AV925" i="2"/>
  <c r="AU925" i="2"/>
  <c r="BE925" i="2"/>
  <c r="AU1065" i="2"/>
  <c r="BE1065" i="2"/>
  <c r="AV1065" i="2"/>
  <c r="AW1065" i="2"/>
  <c r="BE994" i="2"/>
  <c r="AW994" i="2"/>
  <c r="AV994" i="2"/>
  <c r="AU994" i="2"/>
  <c r="AW911" i="2"/>
  <c r="BE911" i="2"/>
  <c r="AV824" i="2"/>
  <c r="AU824" i="2"/>
  <c r="AU712" i="2"/>
  <c r="AV712" i="2"/>
  <c r="AW712" i="2"/>
  <c r="BE712" i="2"/>
  <c r="AV834" i="2"/>
  <c r="AU834" i="2"/>
  <c r="AW834" i="2"/>
  <c r="BE834" i="2"/>
  <c r="AW930" i="2"/>
  <c r="AV930" i="2"/>
  <c r="AU930" i="2"/>
  <c r="BE930" i="2"/>
  <c r="BE605" i="2"/>
  <c r="AW605" i="2"/>
  <c r="AU676" i="2"/>
  <c r="AV676" i="2"/>
  <c r="BE676" i="2"/>
  <c r="AW676" i="2"/>
  <c r="AU774" i="2"/>
  <c r="AW774" i="2"/>
  <c r="AV774" i="2"/>
  <c r="BE774" i="2"/>
  <c r="BE1001" i="2"/>
  <c r="AW1001" i="2"/>
  <c r="AU887" i="2"/>
  <c r="BE887" i="2"/>
  <c r="AW887" i="2"/>
  <c r="AV887" i="2"/>
  <c r="AW776" i="2"/>
  <c r="AU776" i="2"/>
  <c r="AV776" i="2"/>
  <c r="BE776" i="2"/>
  <c r="AU918" i="2"/>
  <c r="BE918" i="2"/>
  <c r="AV918" i="2"/>
  <c r="AW918" i="2"/>
  <c r="AW576" i="2"/>
  <c r="AU576" i="2"/>
  <c r="BE576" i="2"/>
  <c r="AV576" i="2"/>
  <c r="AW986" i="2"/>
  <c r="AU986" i="2"/>
  <c r="AV986" i="2"/>
  <c r="BE986" i="2"/>
  <c r="AW915" i="2"/>
  <c r="AU915" i="2"/>
  <c r="AV915" i="2"/>
  <c r="BE915" i="2"/>
  <c r="AW933" i="2"/>
  <c r="BE933" i="2"/>
  <c r="AW736" i="2"/>
  <c r="BE736" i="2"/>
  <c r="AW1092" i="2"/>
  <c r="BE1092" i="2"/>
  <c r="BE948" i="2"/>
  <c r="AW948" i="2"/>
  <c r="BE1165" i="2"/>
  <c r="AW1165" i="2"/>
  <c r="AV1165" i="2"/>
  <c r="AU1165" i="2"/>
  <c r="BE1082" i="2"/>
  <c r="AW1082" i="2"/>
  <c r="AW1094" i="2"/>
  <c r="AV1094" i="2"/>
  <c r="AU1094" i="2"/>
  <c r="BE1094" i="2"/>
  <c r="AX1094" i="2"/>
  <c r="AW1135" i="2"/>
  <c r="AV1135" i="2"/>
  <c r="AU1135" i="2"/>
  <c r="BE873" i="2"/>
  <c r="BF873" i="2"/>
  <c r="AW873" i="2"/>
  <c r="AV1109" i="2"/>
  <c r="AU1109" i="2"/>
  <c r="BE1109" i="2"/>
  <c r="AV1038" i="2"/>
  <c r="AU1038" i="2"/>
  <c r="AV1120" i="2"/>
  <c r="BE1120" i="2"/>
  <c r="AW1120" i="2"/>
  <c r="AU1120" i="2"/>
  <c r="AV962" i="2"/>
  <c r="AU962" i="2"/>
  <c r="AV993" i="2"/>
  <c r="AU993" i="2"/>
  <c r="AW993" i="2"/>
  <c r="AV878" i="2"/>
  <c r="AU878" i="2"/>
  <c r="AU1113" i="2"/>
  <c r="AV1113" i="2"/>
  <c r="AW1113" i="2"/>
  <c r="AU1042" i="2"/>
  <c r="BE1042" i="2"/>
  <c r="AV1042" i="2"/>
  <c r="AW1042" i="2"/>
  <c r="AV1075" i="2"/>
  <c r="AU1075" i="2"/>
  <c r="AW1075" i="2"/>
  <c r="BE880" i="2"/>
  <c r="AW880" i="2"/>
  <c r="AU908" i="2"/>
  <c r="AV908" i="2"/>
  <c r="AW908" i="2"/>
  <c r="AW816" i="2"/>
  <c r="BE816" i="2"/>
  <c r="AV836" i="2"/>
  <c r="AU836" i="2"/>
  <c r="AW836" i="2"/>
  <c r="AU1174" i="2"/>
  <c r="AV1174" i="2"/>
  <c r="AW830" i="2"/>
  <c r="BE830" i="2"/>
  <c r="AV876" i="2"/>
  <c r="BE876" i="2"/>
  <c r="AW876" i="2"/>
  <c r="AU876" i="2"/>
  <c r="BE1033" i="2"/>
  <c r="AW1033" i="2"/>
  <c r="AU1150" i="2"/>
  <c r="BE1150" i="2"/>
  <c r="AW1150" i="2"/>
  <c r="AV1150" i="2"/>
  <c r="AV921" i="2"/>
  <c r="AU921" i="2"/>
  <c r="AW921" i="2"/>
  <c r="BE921" i="2"/>
  <c r="AV968" i="2"/>
  <c r="BE968" i="2"/>
  <c r="AU968" i="2"/>
  <c r="AW968" i="2"/>
  <c r="BE1097" i="2"/>
  <c r="AW1097" i="2"/>
  <c r="AV1097" i="2"/>
  <c r="AU1097" i="2"/>
  <c r="AU1026" i="2"/>
  <c r="AW1026" i="2"/>
  <c r="AV1026" i="2"/>
  <c r="BE1026" i="2"/>
  <c r="BD932" i="2"/>
  <c r="AW609" i="2"/>
  <c r="BE609" i="2"/>
  <c r="AW680" i="2"/>
  <c r="AU680" i="2"/>
  <c r="AV680" i="2"/>
  <c r="BE680" i="2"/>
  <c r="AW781" i="2"/>
  <c r="AV781" i="2"/>
  <c r="AU781" i="2"/>
  <c r="BE781" i="2"/>
  <c r="AU953" i="2"/>
  <c r="AV953" i="2"/>
  <c r="AW1200" i="2"/>
  <c r="AV1200" i="2"/>
  <c r="AU1200" i="2"/>
  <c r="BE1200" i="2"/>
  <c r="AU644" i="2"/>
  <c r="AW644" i="2"/>
  <c r="BE644" i="2"/>
  <c r="AV644" i="2"/>
  <c r="AU799" i="2"/>
  <c r="AV799" i="2"/>
  <c r="AV732" i="2"/>
  <c r="BE732" i="2"/>
  <c r="AU732" i="2"/>
  <c r="AW732" i="2"/>
  <c r="AU1029" i="2"/>
  <c r="BE1029" i="2"/>
  <c r="AV1029" i="2"/>
  <c r="AW1029" i="2"/>
  <c r="AV796" i="2"/>
  <c r="AU796" i="2"/>
  <c r="BE1121" i="2"/>
  <c r="AW1121" i="2"/>
  <c r="AV1176" i="2"/>
  <c r="AU1176" i="2"/>
  <c r="AW1176" i="2"/>
  <c r="BE1176" i="2"/>
  <c r="AU995" i="2"/>
  <c r="BE995" i="2"/>
  <c r="BF995" i="2"/>
  <c r="AW995" i="2"/>
  <c r="AV995" i="2"/>
  <c r="AV1197" i="2"/>
  <c r="AW1197" i="2"/>
  <c r="AU1197" i="2"/>
  <c r="BE1197" i="2"/>
  <c r="AU1126" i="2"/>
  <c r="BE1126" i="2"/>
  <c r="AW1126" i="2"/>
  <c r="AV1126" i="2"/>
  <c r="BE1043" i="2"/>
  <c r="AW1043" i="2"/>
  <c r="AU1056" i="2"/>
  <c r="AV1056" i="2"/>
  <c r="AV795" i="2"/>
  <c r="AU795" i="2"/>
  <c r="AV1005" i="2"/>
  <c r="AU1005" i="2"/>
  <c r="AV1039" i="2"/>
  <c r="AU1039" i="2"/>
  <c r="AV1141" i="2"/>
  <c r="AU1141" i="2"/>
  <c r="AV1070" i="2"/>
  <c r="AU1070" i="2"/>
  <c r="AU1103" i="2"/>
  <c r="AV1103" i="2"/>
  <c r="AV1012" i="2"/>
  <c r="AU1012" i="2"/>
  <c r="AW1047" i="2"/>
  <c r="AV1047" i="2"/>
  <c r="BE1047" i="2"/>
  <c r="AU1047" i="2"/>
  <c r="AV1145" i="2"/>
  <c r="AU1145" i="2"/>
  <c r="BE1145" i="2"/>
  <c r="AW1145" i="2"/>
  <c r="AU1074" i="2"/>
  <c r="AV1074" i="2"/>
  <c r="AV1107" i="2"/>
  <c r="AU1107" i="2"/>
  <c r="AV951" i="2"/>
  <c r="BE951" i="2"/>
  <c r="AW951" i="2"/>
  <c r="AU951" i="2"/>
  <c r="AV868" i="2"/>
  <c r="AU868" i="2"/>
  <c r="BE1168" i="2"/>
  <c r="AW1168" i="2"/>
  <c r="AU1206" i="2"/>
  <c r="BE1206" i="2"/>
  <c r="AV1206" i="2"/>
  <c r="AW1206" i="2"/>
  <c r="AV919" i="2"/>
  <c r="AU919" i="2"/>
  <c r="BE919" i="2"/>
  <c r="AW919" i="2"/>
  <c r="AV844" i="2"/>
  <c r="AU844" i="2"/>
  <c r="BE844" i="2"/>
  <c r="AW844" i="2"/>
  <c r="AW761" i="2"/>
  <c r="BE761" i="2"/>
  <c r="AW1182" i="2"/>
  <c r="AV1182" i="2"/>
  <c r="AU1182" i="2"/>
  <c r="BE1182" i="2"/>
  <c r="AU1015" i="2"/>
  <c r="BE1015" i="2"/>
  <c r="AW1015" i="2"/>
  <c r="AV1015" i="2"/>
  <c r="AU783" i="2"/>
  <c r="AV783" i="2"/>
  <c r="AW783" i="2"/>
  <c r="BE783" i="2"/>
  <c r="AV987" i="2"/>
  <c r="BE987" i="2"/>
  <c r="AU987" i="2"/>
  <c r="AW987" i="2"/>
  <c r="AW900" i="2"/>
  <c r="BE900" i="2"/>
  <c r="AU1129" i="2"/>
  <c r="AV1129" i="2"/>
  <c r="BE1129" i="2"/>
  <c r="AW1129" i="2"/>
  <c r="BE1058" i="2"/>
  <c r="AU1058" i="2"/>
  <c r="AW1058" i="2"/>
  <c r="AV1058" i="2"/>
  <c r="AW1091" i="2"/>
  <c r="AU1091" i="2"/>
  <c r="BE1091" i="2"/>
  <c r="AV1091" i="2"/>
  <c r="BD1091" i="2"/>
  <c r="T8" i="1"/>
  <c r="G8" i="1" s="1"/>
  <c r="T7" i="1"/>
  <c r="G7" i="1" s="1"/>
  <c r="BA1159" i="2"/>
  <c r="BE1147" i="2"/>
  <c r="AW1147" i="2"/>
  <c r="AV1147" i="2"/>
  <c r="AU1147" i="2"/>
  <c r="AV1183" i="2"/>
  <c r="AU1183" i="2"/>
  <c r="BE1183" i="2"/>
  <c r="AW1183" i="2"/>
  <c r="AZ1175" i="2"/>
  <c r="AV1123" i="2"/>
  <c r="BE1123" i="2"/>
  <c r="AU1123" i="2"/>
  <c r="AW1123" i="2"/>
  <c r="AV1139" i="2"/>
  <c r="AU1139" i="2"/>
  <c r="BE1139" i="2"/>
  <c r="AW1139" i="2"/>
  <c r="AV1151" i="2"/>
  <c r="AU1151" i="2"/>
  <c r="BE1151" i="2"/>
  <c r="AW1151" i="2"/>
  <c r="AV1211" i="2"/>
  <c r="AU1211" i="2"/>
  <c r="BE1211" i="2"/>
  <c r="AW1211" i="2"/>
  <c r="BE1127" i="2"/>
  <c r="AW1127" i="2"/>
  <c r="AV1127" i="2"/>
  <c r="AU1127" i="2"/>
  <c r="T6" i="1"/>
  <c r="G6" i="1" s="1"/>
  <c r="T11" i="1"/>
  <c r="G11" i="1" s="1"/>
  <c r="T9" i="1"/>
  <c r="G9" i="1" s="1"/>
  <c r="AV1191" i="2"/>
  <c r="AY1191" i="2"/>
  <c r="AU1191" i="2"/>
  <c r="BE1191" i="2"/>
  <c r="AX1191" i="2"/>
  <c r="BG1191" i="2"/>
  <c r="BF1191" i="2"/>
  <c r="BD1191" i="2"/>
  <c r="AW1191" i="2"/>
  <c r="AW1207" i="2"/>
  <c r="AY1207" i="2"/>
  <c r="AV1207" i="2"/>
  <c r="AU1207" i="2"/>
  <c r="BE1207" i="2"/>
  <c r="AX1207" i="2"/>
  <c r="BG1207" i="2"/>
  <c r="BF1207" i="2"/>
  <c r="AU1159" i="2"/>
  <c r="BE1159" i="2"/>
  <c r="AX1159" i="2"/>
  <c r="BG1159" i="2"/>
  <c r="BF1159" i="2"/>
  <c r="AW1159" i="2"/>
  <c r="BD1159" i="2"/>
  <c r="AV1159" i="2"/>
  <c r="AY1159" i="2"/>
  <c r="BG1175" i="2"/>
  <c r="AY1175" i="2"/>
  <c r="AV1175" i="2"/>
  <c r="AU1175" i="2"/>
  <c r="AX1175" i="2"/>
  <c r="BF1175" i="2"/>
  <c r="BE1175" i="2"/>
  <c r="BF1171" i="2"/>
  <c r="AY1171" i="2"/>
  <c r="AV1171" i="2"/>
  <c r="AU1171" i="2"/>
  <c r="BG1171" i="2"/>
  <c r="AX1171" i="2"/>
  <c r="BF1143" i="2"/>
  <c r="BG1143" i="2"/>
  <c r="AY1143" i="2"/>
  <c r="AV1143" i="2"/>
  <c r="AU1143" i="2"/>
  <c r="AX1143" i="2"/>
  <c r="BE1143" i="2"/>
  <c r="AV1199" i="2"/>
  <c r="AU1199" i="2"/>
  <c r="AX1199" i="2"/>
  <c r="BF1199" i="2"/>
  <c r="BG1199" i="2"/>
  <c r="AY1199" i="2"/>
  <c r="AX1187" i="2"/>
  <c r="BF1187" i="2"/>
  <c r="BG1187" i="2"/>
  <c r="AW1187" i="2"/>
  <c r="AY1187" i="2"/>
  <c r="AV1187" i="2"/>
  <c r="AU1187" i="2"/>
  <c r="BE1187" i="2"/>
  <c r="T20" i="1"/>
  <c r="T36" i="1"/>
  <c r="T16" i="1"/>
  <c r="T19" i="1"/>
  <c r="T15" i="1"/>
  <c r="T27" i="1"/>
  <c r="T31" i="1"/>
  <c r="T28" i="1"/>
  <c r="T30" i="1"/>
  <c r="T34" i="1"/>
  <c r="T21" i="1"/>
  <c r="T26" i="1"/>
  <c r="T29" i="1"/>
  <c r="T18" i="1"/>
  <c r="T22" i="1"/>
  <c r="T25" i="1"/>
  <c r="T32" i="1"/>
  <c r="T35" i="1"/>
  <c r="T33" i="1"/>
  <c r="T17" i="1"/>
  <c r="T24" i="1"/>
  <c r="T23" i="1"/>
  <c r="AY1167" i="2"/>
  <c r="AV1167" i="2"/>
  <c r="AU1167" i="2"/>
  <c r="AX1167" i="2"/>
  <c r="BG1167" i="2"/>
  <c r="BF1167" i="2"/>
  <c r="BF1155" i="2"/>
  <c r="BG1155" i="2"/>
  <c r="BD1155" i="2"/>
  <c r="AW1155" i="2"/>
  <c r="BE1155" i="2"/>
  <c r="AV1155" i="2"/>
  <c r="AY1155" i="2"/>
  <c r="AU1155" i="2"/>
  <c r="AX1155" i="2"/>
  <c r="AV1195" i="2"/>
  <c r="AU1195" i="2"/>
  <c r="AX1195" i="2"/>
  <c r="BF1195" i="2"/>
  <c r="BG1195" i="2"/>
  <c r="AY1195" i="2"/>
  <c r="AY1163" i="2"/>
  <c r="AV1163" i="2"/>
  <c r="AU1163" i="2"/>
  <c r="AX1163" i="2"/>
  <c r="BG1163" i="2"/>
  <c r="BF1163" i="2"/>
  <c r="W7" i="1"/>
  <c r="J7" i="1" s="1"/>
  <c r="X20" i="1"/>
  <c r="X34" i="1"/>
  <c r="X33" i="1"/>
  <c r="X15" i="1"/>
  <c r="X18" i="1"/>
  <c r="X25" i="1"/>
  <c r="X21" i="1"/>
  <c r="X30" i="1"/>
  <c r="X32" i="1"/>
  <c r="X36" i="1"/>
  <c r="X24" i="1"/>
  <c r="X23" i="1"/>
  <c r="X26" i="1"/>
  <c r="X19" i="1"/>
  <c r="X35" i="1"/>
  <c r="X27" i="1"/>
  <c r="X28" i="1"/>
  <c r="X29" i="1"/>
  <c r="X16" i="1"/>
  <c r="X31" i="1"/>
  <c r="X17" i="1"/>
  <c r="X22" i="1"/>
  <c r="S10" i="1"/>
  <c r="F10" i="1" s="1"/>
  <c r="W10" i="1"/>
  <c r="J10" i="1" s="1"/>
  <c r="W9" i="1"/>
  <c r="J9" i="1" s="1"/>
  <c r="V23" i="1"/>
  <c r="V19" i="1"/>
  <c r="V20" i="1"/>
  <c r="V36" i="1"/>
  <c r="V25" i="1"/>
  <c r="V31" i="1"/>
  <c r="V35" i="1"/>
  <c r="V21" i="1"/>
  <c r="V28" i="1"/>
  <c r="V26" i="1"/>
  <c r="V16" i="1"/>
  <c r="V32" i="1"/>
  <c r="V18" i="1"/>
  <c r="V24" i="1"/>
  <c r="V15" i="1"/>
  <c r="V33" i="1"/>
  <c r="V29" i="1"/>
  <c r="V17" i="1"/>
  <c r="V27" i="1"/>
  <c r="V34" i="1"/>
  <c r="V30" i="1"/>
  <c r="V22" i="1"/>
  <c r="S9" i="1"/>
  <c r="F9" i="1" s="1"/>
  <c r="R20" i="1"/>
  <c r="R35" i="1"/>
  <c r="R31" i="1"/>
  <c r="R25" i="1"/>
  <c r="R28" i="1"/>
  <c r="R34" i="1"/>
  <c r="R36" i="1"/>
  <c r="R21" i="1"/>
  <c r="R24" i="1"/>
  <c r="R33" i="1"/>
  <c r="R32" i="1"/>
  <c r="R17" i="1"/>
  <c r="R16" i="1"/>
  <c r="R27" i="1"/>
  <c r="R23" i="1"/>
  <c r="R30" i="1"/>
  <c r="R22" i="1"/>
  <c r="R19" i="1"/>
  <c r="R18" i="1"/>
  <c r="R15" i="1"/>
  <c r="R26" i="1"/>
  <c r="R29" i="1"/>
  <c r="S8" i="1"/>
  <c r="F8" i="1" s="1"/>
  <c r="Z20" i="1"/>
  <c r="Z33" i="1"/>
  <c r="Z27" i="1"/>
  <c r="Z24" i="1"/>
  <c r="Z23" i="1"/>
  <c r="Z31" i="1"/>
  <c r="Z16" i="1"/>
  <c r="Z21" i="1"/>
  <c r="Z26" i="1"/>
  <c r="Z17" i="1"/>
  <c r="Z22" i="1"/>
  <c r="Z34" i="1"/>
  <c r="Z36" i="1"/>
  <c r="Z30" i="1"/>
  <c r="Z15" i="1"/>
  <c r="Z29" i="1"/>
  <c r="Z28" i="1"/>
  <c r="Z19" i="1"/>
  <c r="Z25" i="1"/>
  <c r="Z35" i="1"/>
  <c r="Z32" i="1"/>
  <c r="Z18" i="1"/>
  <c r="F11" i="1"/>
  <c r="S20" i="1"/>
  <c r="S27" i="1"/>
  <c r="S22" i="1"/>
  <c r="S33" i="1"/>
  <c r="S17" i="1"/>
  <c r="S19" i="1"/>
  <c r="S35" i="1"/>
  <c r="S36" i="1"/>
  <c r="S18" i="1"/>
  <c r="S32" i="1"/>
  <c r="S29" i="1"/>
  <c r="S15" i="1"/>
  <c r="S25" i="1"/>
  <c r="S21" i="1"/>
  <c r="S34" i="1"/>
  <c r="S24" i="1"/>
  <c r="S26" i="1"/>
  <c r="S23" i="1"/>
  <c r="S31" i="1"/>
  <c r="S16" i="1"/>
  <c r="S28" i="1"/>
  <c r="S30" i="1"/>
  <c r="W20" i="1"/>
  <c r="W19" i="1"/>
  <c r="W18" i="1"/>
  <c r="W34" i="1"/>
  <c r="W15" i="1"/>
  <c r="W25" i="1"/>
  <c r="W21" i="1"/>
  <c r="W22" i="1"/>
  <c r="W32" i="1"/>
  <c r="W30" i="1"/>
  <c r="W23" i="1"/>
  <c r="W29" i="1"/>
  <c r="W36" i="1"/>
  <c r="W24" i="1"/>
  <c r="W31" i="1"/>
  <c r="W33" i="1"/>
  <c r="W35" i="1"/>
  <c r="W26" i="1"/>
  <c r="W17" i="1"/>
  <c r="W28" i="1"/>
  <c r="W16" i="1"/>
  <c r="W27" i="1"/>
  <c r="W8" i="1"/>
  <c r="J8" i="1" s="1"/>
  <c r="Y6" i="1"/>
  <c r="L6" i="1" s="1"/>
  <c r="S7" i="1"/>
  <c r="F7" i="1" s="1"/>
  <c r="Y8" i="1"/>
  <c r="L8" i="1" s="1"/>
  <c r="E7" i="1"/>
  <c r="U11" i="1"/>
  <c r="H11" i="1" s="1"/>
  <c r="U10" i="1"/>
  <c r="H10" i="1" s="1"/>
  <c r="E9" i="1"/>
  <c r="U7" i="1"/>
  <c r="H7" i="1" s="1"/>
  <c r="E8" i="1"/>
  <c r="S6" i="1"/>
  <c r="F6" i="1" s="1"/>
  <c r="Y11" i="1"/>
  <c r="L11" i="1" s="1"/>
  <c r="Y10" i="1"/>
  <c r="L10" i="1" s="1"/>
  <c r="U9" i="1"/>
  <c r="H9" i="1" s="1"/>
  <c r="U6" i="1"/>
  <c r="H6" i="1" s="1"/>
  <c r="E6" i="1"/>
  <c r="Y9" i="1"/>
  <c r="L9" i="1" s="1"/>
  <c r="W6" i="1"/>
  <c r="J6" i="1" s="1"/>
  <c r="P15" i="3" l="1"/>
  <c r="BP1" i="2" s="1"/>
  <c r="Q106" i="1"/>
  <c r="AG98" i="2"/>
  <c r="AH97" i="2"/>
  <c r="AF97" i="2"/>
  <c r="AH98" i="2"/>
  <c r="AF98" i="2"/>
  <c r="AE98" i="2"/>
  <c r="AI97" i="2"/>
  <c r="AE97" i="2"/>
  <c r="AI98" i="2"/>
  <c r="AJ97" i="2"/>
  <c r="Q105" i="1"/>
  <c r="AG97" i="2"/>
  <c r="AJ98" i="2"/>
  <c r="AD291" i="2"/>
  <c r="AD306" i="2"/>
  <c r="AI44" i="2"/>
  <c r="AD303" i="2"/>
  <c r="AD299" i="2"/>
  <c r="AD304" i="2"/>
  <c r="AD302" i="2"/>
  <c r="AD290" i="2"/>
  <c r="AD296" i="2"/>
  <c r="AD300" i="2"/>
  <c r="AD305" i="2"/>
  <c r="AD294" i="2"/>
  <c r="AD301" i="2"/>
  <c r="AD298" i="2"/>
  <c r="AD297" i="2"/>
  <c r="AD289" i="2"/>
  <c r="AD292" i="2"/>
  <c r="AD293" i="2"/>
  <c r="AD295" i="2"/>
  <c r="AI76" i="2"/>
  <c r="AF53" i="2"/>
  <c r="AF81" i="2"/>
  <c r="AG25" i="2"/>
  <c r="AJ22" i="2"/>
  <c r="AH28" i="2"/>
  <c r="AI23" i="2"/>
  <c r="AG64" i="2"/>
  <c r="AJ88" i="2"/>
  <c r="AG59" i="2"/>
  <c r="AI87" i="2"/>
  <c r="AI55" i="2"/>
  <c r="AG80" i="2"/>
  <c r="AF63" i="2"/>
  <c r="AJ90" i="2"/>
  <c r="AG91" i="2"/>
  <c r="AH46" i="2"/>
  <c r="AJ52" i="2"/>
  <c r="AI57" i="2"/>
  <c r="AG89" i="2"/>
  <c r="AJ67" i="2"/>
  <c r="AH75" i="2"/>
  <c r="AJ58" i="2"/>
  <c r="AH41" i="2"/>
  <c r="AH35" i="2"/>
  <c r="AJ45" i="2"/>
  <c r="AG38" i="2"/>
  <c r="AI42" i="2"/>
  <c r="AF31" i="2"/>
  <c r="AJ77" i="2"/>
  <c r="AI74" i="2"/>
  <c r="AF44" i="2"/>
  <c r="AG27" i="2"/>
  <c r="AF76" i="2"/>
  <c r="AG70" i="2"/>
  <c r="AH60" i="2"/>
  <c r="AF95" i="2"/>
  <c r="AH92" i="2"/>
  <c r="AF70" i="2"/>
  <c r="AH78" i="2"/>
  <c r="AF26" i="2"/>
  <c r="AH73" i="2"/>
  <c r="AJ87" i="2"/>
  <c r="AE86" i="2"/>
  <c r="AJ30" i="2"/>
  <c r="AJ37" i="2"/>
  <c r="AJ69" i="2"/>
  <c r="AJ36" i="2"/>
  <c r="AJ80" i="2"/>
  <c r="AJ48" i="2"/>
  <c r="AJ79" i="2"/>
  <c r="AJ55" i="2"/>
  <c r="AJ50" i="2"/>
  <c r="AJ82" i="2"/>
  <c r="AI49" i="2"/>
  <c r="AI65" i="2"/>
  <c r="AI36" i="2"/>
  <c r="AI68" i="2"/>
  <c r="AI89" i="2"/>
  <c r="AI47" i="2"/>
  <c r="AI79" i="2"/>
  <c r="AI34" i="2"/>
  <c r="AI66" i="2"/>
  <c r="AG68" i="2"/>
  <c r="AG36" i="2"/>
  <c r="AG92" i="2"/>
  <c r="AG51" i="2"/>
  <c r="AG83" i="2"/>
  <c r="AG30" i="2"/>
  <c r="AG62" i="2"/>
  <c r="AG94" i="2"/>
  <c r="AG49" i="2"/>
  <c r="AG81" i="2"/>
  <c r="AF23" i="2"/>
  <c r="AF55" i="2"/>
  <c r="AF87" i="2"/>
  <c r="AF62" i="2"/>
  <c r="AF94" i="2"/>
  <c r="AF45" i="2"/>
  <c r="AF41" i="2"/>
  <c r="AF36" i="2"/>
  <c r="AF68" i="2"/>
  <c r="AE31" i="2"/>
  <c r="AE63" i="2"/>
  <c r="AE91" i="2"/>
  <c r="AE46" i="2"/>
  <c r="AE78" i="2"/>
  <c r="AE29" i="2"/>
  <c r="AE61" i="2"/>
  <c r="AE93" i="2"/>
  <c r="AE52" i="2"/>
  <c r="AE84" i="2"/>
  <c r="AH29" i="2"/>
  <c r="AH52" i="2"/>
  <c r="AH84" i="2"/>
  <c r="AH67" i="2"/>
  <c r="AH23" i="2"/>
  <c r="AH42" i="2"/>
  <c r="AH34" i="2"/>
  <c r="AH74" i="2"/>
  <c r="AH65" i="2"/>
  <c r="AJ23" i="2"/>
  <c r="AI45" i="2"/>
  <c r="AE22" i="2"/>
  <c r="AE60" i="2"/>
  <c r="AJ26" i="2"/>
  <c r="AJ41" i="2"/>
  <c r="AJ73" i="2"/>
  <c r="AJ40" i="2"/>
  <c r="AJ84" i="2"/>
  <c r="AJ56" i="2"/>
  <c r="AJ83" i="2"/>
  <c r="AJ63" i="2"/>
  <c r="AJ54" i="2"/>
  <c r="AJ86" i="2"/>
  <c r="AI81" i="2"/>
  <c r="AI29" i="2"/>
  <c r="AI40" i="2"/>
  <c r="AI72" i="2"/>
  <c r="AI93" i="2"/>
  <c r="AI51" i="2"/>
  <c r="AI83" i="2"/>
  <c r="AI38" i="2"/>
  <c r="AI70" i="2"/>
  <c r="AG48" i="2"/>
  <c r="AG28" i="2"/>
  <c r="AG23" i="2"/>
  <c r="AG55" i="2"/>
  <c r="AG87" i="2"/>
  <c r="AG34" i="2"/>
  <c r="AG66" i="2"/>
  <c r="AG21" i="2"/>
  <c r="AG53" i="2"/>
  <c r="AG85" i="2"/>
  <c r="AF27" i="2"/>
  <c r="AF59" i="2"/>
  <c r="AF91" i="2"/>
  <c r="AF66" i="2"/>
  <c r="AF22" i="2"/>
  <c r="AF77" i="2"/>
  <c r="AF49" i="2"/>
  <c r="AF40" i="2"/>
  <c r="AF72" i="2"/>
  <c r="AE59" i="2"/>
  <c r="AE23" i="2"/>
  <c r="AE95" i="2"/>
  <c r="AE50" i="2"/>
  <c r="AE82" i="2"/>
  <c r="AE33" i="2"/>
  <c r="AE65" i="2"/>
  <c r="AE24" i="2"/>
  <c r="AE56" i="2"/>
  <c r="AE88" i="2"/>
  <c r="AH24" i="2"/>
  <c r="AH56" i="2"/>
  <c r="AH88" i="2"/>
  <c r="AH71" i="2"/>
  <c r="AH31" i="2"/>
  <c r="AH54" i="2"/>
  <c r="AH38" i="2"/>
  <c r="AH37" i="2"/>
  <c r="AH69" i="2"/>
  <c r="AG57" i="2"/>
  <c r="AE43" i="2"/>
  <c r="AE28" i="2"/>
  <c r="AJ34" i="2"/>
  <c r="AJ49" i="2"/>
  <c r="AJ81" i="2"/>
  <c r="AJ60" i="2"/>
  <c r="AJ92" i="2"/>
  <c r="AJ27" i="2"/>
  <c r="AJ91" i="2"/>
  <c r="AJ71" i="2"/>
  <c r="AJ62" i="2"/>
  <c r="AJ94" i="2"/>
  <c r="AI61" i="2"/>
  <c r="AI77" i="2"/>
  <c r="AI48" i="2"/>
  <c r="AI80" i="2"/>
  <c r="AI27" i="2"/>
  <c r="AI59" i="2"/>
  <c r="AI91" i="2"/>
  <c r="AI46" i="2"/>
  <c r="AI78" i="2"/>
  <c r="AG60" i="2"/>
  <c r="AG76" i="2"/>
  <c r="AG31" i="2"/>
  <c r="AG63" i="2"/>
  <c r="AG95" i="2"/>
  <c r="AG42" i="2"/>
  <c r="AG74" i="2"/>
  <c r="AG29" i="2"/>
  <c r="AG61" i="2"/>
  <c r="AG93" i="2"/>
  <c r="AF35" i="2"/>
  <c r="AF67" i="2"/>
  <c r="AF30" i="2"/>
  <c r="AF74" i="2"/>
  <c r="AF38" i="2"/>
  <c r="AF85" i="2"/>
  <c r="AF57" i="2"/>
  <c r="AF48" i="2"/>
  <c r="AF80" i="2"/>
  <c r="AE39" i="2"/>
  <c r="AE75" i="2"/>
  <c r="AE26" i="2"/>
  <c r="AE58" i="2"/>
  <c r="AE90" i="2"/>
  <c r="AE41" i="2"/>
  <c r="AE73" i="2"/>
  <c r="AE32" i="2"/>
  <c r="AE64" i="2"/>
  <c r="AE96" i="2"/>
  <c r="AH32" i="2"/>
  <c r="AH64" i="2"/>
  <c r="AH96" i="2"/>
  <c r="AH79" i="2"/>
  <c r="AH39" i="2"/>
  <c r="AH82" i="2"/>
  <c r="AH50" i="2"/>
  <c r="AH45" i="2"/>
  <c r="AH77" i="2"/>
  <c r="AE37" i="2"/>
  <c r="AJ21" i="2"/>
  <c r="AJ53" i="2"/>
  <c r="AJ85" i="2"/>
  <c r="AJ64" i="2"/>
  <c r="AJ96" i="2"/>
  <c r="AJ39" i="2"/>
  <c r="AJ95" i="2"/>
  <c r="AJ75" i="2"/>
  <c r="AJ66" i="2"/>
  <c r="AI25" i="2"/>
  <c r="AI73" i="2"/>
  <c r="AI85" i="2"/>
  <c r="AI52" i="2"/>
  <c r="AI84" i="2"/>
  <c r="AI31" i="2"/>
  <c r="AI63" i="2"/>
  <c r="AI95" i="2"/>
  <c r="AI50" i="2"/>
  <c r="AI82" i="2"/>
  <c r="AG32" i="2"/>
  <c r="AG44" i="2"/>
  <c r="AG35" i="2"/>
  <c r="AG67" i="2"/>
  <c r="AG96" i="2"/>
  <c r="AG46" i="2"/>
  <c r="AG78" i="2"/>
  <c r="AG33" i="2"/>
  <c r="AG65" i="2"/>
  <c r="AF32" i="2"/>
  <c r="AF39" i="2"/>
  <c r="AF71" i="2"/>
  <c r="AF34" i="2"/>
  <c r="AF78" i="2"/>
  <c r="AF42" i="2"/>
  <c r="AF89" i="2"/>
  <c r="AF61" i="2"/>
  <c r="AF52" i="2"/>
  <c r="AF84" i="2"/>
  <c r="AE71" i="2"/>
  <c r="AE55" i="2"/>
  <c r="AE30" i="2"/>
  <c r="AE62" i="2"/>
  <c r="AE94" i="2"/>
  <c r="AE45" i="2"/>
  <c r="AE77" i="2"/>
  <c r="AE36" i="2"/>
  <c r="AE68" i="2"/>
  <c r="AH21" i="2"/>
  <c r="AH36" i="2"/>
  <c r="AH68" i="2"/>
  <c r="AH27" i="2"/>
  <c r="AH83" i="2"/>
  <c r="AH47" i="2"/>
  <c r="AH86" i="2"/>
  <c r="AH58" i="2"/>
  <c r="AH49" i="2"/>
  <c r="AH81" i="2"/>
  <c r="AE54" i="2"/>
  <c r="AE92" i="2"/>
  <c r="AJ25" i="2"/>
  <c r="AJ57" i="2"/>
  <c r="AJ89" i="2"/>
  <c r="AJ68" i="2"/>
  <c r="AJ28" i="2"/>
  <c r="AJ47" i="2"/>
  <c r="AJ31" i="2"/>
  <c r="AJ38" i="2"/>
  <c r="AJ70" i="2"/>
  <c r="AI37" i="2"/>
  <c r="AI41" i="2"/>
  <c r="AI24" i="2"/>
  <c r="AI56" i="2"/>
  <c r="AI88" i="2"/>
  <c r="AI35" i="2"/>
  <c r="AI67" i="2"/>
  <c r="AI22" i="2"/>
  <c r="AI54" i="2"/>
  <c r="AI86" i="2"/>
  <c r="AG40" i="2"/>
  <c r="AG24" i="2"/>
  <c r="AG39" i="2"/>
  <c r="AG71" i="2"/>
  <c r="AG84" i="2"/>
  <c r="AG50" i="2"/>
  <c r="AG82" i="2"/>
  <c r="AG37" i="2"/>
  <c r="AG69" i="2"/>
  <c r="AF28" i="2"/>
  <c r="AF43" i="2"/>
  <c r="AF75" i="2"/>
  <c r="AF46" i="2"/>
  <c r="AF82" i="2"/>
  <c r="AF54" i="2"/>
  <c r="AF93" i="2"/>
  <c r="AF65" i="2"/>
  <c r="AF56" i="2"/>
  <c r="AF88" i="2"/>
  <c r="AE27" i="2"/>
  <c r="AE47" i="2"/>
  <c r="AE34" i="2"/>
  <c r="AE66" i="2"/>
  <c r="AE87" i="2"/>
  <c r="AE49" i="2"/>
  <c r="AE81" i="2"/>
  <c r="AE40" i="2"/>
  <c r="AE72" i="2"/>
  <c r="AH22" i="2"/>
  <c r="AH40" i="2"/>
  <c r="AH72" i="2"/>
  <c r="AH43" i="2"/>
  <c r="AH87" i="2"/>
  <c r="AH51" i="2"/>
  <c r="AH90" i="2"/>
  <c r="AH62" i="2"/>
  <c r="AH53" i="2"/>
  <c r="AH85" i="2"/>
  <c r="AJ29" i="2"/>
  <c r="AJ61" i="2"/>
  <c r="AJ93" i="2"/>
  <c r="AJ72" i="2"/>
  <c r="AJ32" i="2"/>
  <c r="AJ51" i="2"/>
  <c r="AJ35" i="2"/>
  <c r="AJ42" i="2"/>
  <c r="AJ74" i="2"/>
  <c r="AI69" i="2"/>
  <c r="AI33" i="2"/>
  <c r="AI28" i="2"/>
  <c r="AI60" i="2"/>
  <c r="AI92" i="2"/>
  <c r="AI39" i="2"/>
  <c r="AI71" i="2"/>
  <c r="AI26" i="2"/>
  <c r="AI58" i="2"/>
  <c r="AI90" i="2"/>
  <c r="AG72" i="2"/>
  <c r="AG56" i="2"/>
  <c r="AG43" i="2"/>
  <c r="AG75" i="2"/>
  <c r="AG22" i="2"/>
  <c r="AG54" i="2"/>
  <c r="AG86" i="2"/>
  <c r="AG41" i="2"/>
  <c r="AG73" i="2"/>
  <c r="AF21" i="2"/>
  <c r="AF47" i="2"/>
  <c r="AF79" i="2"/>
  <c r="AF50" i="2"/>
  <c r="AF86" i="2"/>
  <c r="AF33" i="2"/>
  <c r="AF25" i="2"/>
  <c r="AF69" i="2"/>
  <c r="AF60" i="2"/>
  <c r="AF92" i="2"/>
  <c r="AE51" i="2"/>
  <c r="AE35" i="2"/>
  <c r="AE38" i="2"/>
  <c r="AE70" i="2"/>
  <c r="AE21" i="2"/>
  <c r="AE53" i="2"/>
  <c r="AE85" i="2"/>
  <c r="AE44" i="2"/>
  <c r="AE76" i="2"/>
  <c r="AH25" i="2"/>
  <c r="AH44" i="2"/>
  <c r="AH76" i="2"/>
  <c r="AH55" i="2"/>
  <c r="AH91" i="2"/>
  <c r="AH59" i="2"/>
  <c r="AH94" i="2"/>
  <c r="AH66" i="2"/>
  <c r="AH57" i="2"/>
  <c r="AH89" i="2"/>
  <c r="AE79" i="2"/>
  <c r="AE69" i="2"/>
  <c r="AJ33" i="2"/>
  <c r="AJ65" i="2"/>
  <c r="AJ24" i="2"/>
  <c r="AJ76" i="2"/>
  <c r="AJ44" i="2"/>
  <c r="AJ59" i="2"/>
  <c r="AJ43" i="2"/>
  <c r="AJ46" i="2"/>
  <c r="AJ78" i="2"/>
  <c r="AI21" i="2"/>
  <c r="AI53" i="2"/>
  <c r="AI32" i="2"/>
  <c r="AI64" i="2"/>
  <c r="AI96" i="2"/>
  <c r="AI43" i="2"/>
  <c r="AI75" i="2"/>
  <c r="AI30" i="2"/>
  <c r="AI62" i="2"/>
  <c r="AI94" i="2"/>
  <c r="AG52" i="2"/>
  <c r="AG88" i="2"/>
  <c r="AG47" i="2"/>
  <c r="AG79" i="2"/>
  <c r="AG26" i="2"/>
  <c r="AG58" i="2"/>
  <c r="AG90" i="2"/>
  <c r="AG45" i="2"/>
  <c r="AG77" i="2"/>
  <c r="AF24" i="2"/>
  <c r="AF51" i="2"/>
  <c r="AF83" i="2"/>
  <c r="AF58" i="2"/>
  <c r="AF90" i="2"/>
  <c r="AF37" i="2"/>
  <c r="AF29" i="2"/>
  <c r="AF73" i="2"/>
  <c r="AF64" i="2"/>
  <c r="AF96" i="2"/>
  <c r="AE83" i="2"/>
  <c r="AE67" i="2"/>
  <c r="AE42" i="2"/>
  <c r="AE74" i="2"/>
  <c r="AE25" i="2"/>
  <c r="AE57" i="2"/>
  <c r="AE89" i="2"/>
  <c r="AE48" i="2"/>
  <c r="AE80" i="2"/>
  <c r="AH33" i="2"/>
  <c r="AH48" i="2"/>
  <c r="AH80" i="2"/>
  <c r="AH63" i="2"/>
  <c r="AH95" i="2"/>
  <c r="AH30" i="2"/>
  <c r="AH26" i="2"/>
  <c r="AH70" i="2"/>
  <c r="AH61" i="2"/>
  <c r="AH93" i="2"/>
  <c r="Q90" i="1"/>
  <c r="Q34" i="1"/>
  <c r="Q44" i="1"/>
  <c r="Q98" i="1"/>
  <c r="Q45" i="1"/>
  <c r="Q103" i="1"/>
  <c r="Q38" i="1"/>
  <c r="Q88" i="1"/>
  <c r="Q72" i="1"/>
  <c r="Q47" i="1"/>
  <c r="Q48" i="1"/>
  <c r="Q77" i="1"/>
  <c r="Q49" i="1"/>
  <c r="Q96" i="1"/>
  <c r="Q42" i="1"/>
  <c r="Q94" i="1"/>
  <c r="Q78" i="1"/>
  <c r="Q64" i="1"/>
  <c r="Q52" i="1"/>
  <c r="Q81" i="1"/>
  <c r="Q71" i="1"/>
  <c r="Q53" i="1"/>
  <c r="Q46" i="1"/>
  <c r="Q50" i="1"/>
  <c r="Q39" i="1"/>
  <c r="Q79" i="1"/>
  <c r="Q73" i="1"/>
  <c r="Q56" i="1"/>
  <c r="Q85" i="1"/>
  <c r="Q43" i="1"/>
  <c r="Q33" i="1"/>
  <c r="Q35" i="1"/>
  <c r="Q65" i="1"/>
  <c r="Q57" i="1"/>
  <c r="Q58" i="1"/>
  <c r="Q54" i="1"/>
  <c r="Q51" i="1"/>
  <c r="Q87" i="1"/>
  <c r="Q74" i="1"/>
  <c r="Q60" i="1"/>
  <c r="Q89" i="1"/>
  <c r="Q80" i="1"/>
  <c r="Q91" i="1"/>
  <c r="Q61" i="1"/>
  <c r="Q68" i="1"/>
  <c r="Q62" i="1"/>
  <c r="Q55" i="1"/>
  <c r="Q100" i="1"/>
  <c r="Q86" i="1"/>
  <c r="Q75" i="1"/>
  <c r="Q93" i="1"/>
  <c r="Q104" i="1"/>
  <c r="Q66" i="1"/>
  <c r="Q95" i="1"/>
  <c r="Q69" i="1"/>
  <c r="Q59" i="1"/>
  <c r="Q82" i="1"/>
  <c r="Q99" i="1"/>
  <c r="Q76" i="1"/>
  <c r="Q97" i="1"/>
  <c r="Q41" i="1"/>
  <c r="Q83" i="1"/>
  <c r="Q36" i="1"/>
  <c r="Q37" i="1"/>
  <c r="Q84" i="1"/>
  <c r="Q67" i="1"/>
  <c r="Q70" i="1"/>
  <c r="Q63" i="1"/>
  <c r="Q102" i="1"/>
  <c r="Q40" i="1"/>
  <c r="Q92" i="1"/>
  <c r="Q101" i="1"/>
  <c r="T63" i="2"/>
  <c r="T31" i="2"/>
  <c r="R31" i="2" s="1"/>
  <c r="R64" i="2" s="1"/>
  <c r="O191" i="2"/>
  <c r="R85" i="2" s="1"/>
  <c r="R84" i="2"/>
  <c r="BU9" i="2"/>
  <c r="BV10" i="2"/>
  <c r="R30" i="2"/>
  <c r="R63" i="2" s="1"/>
  <c r="Q82" i="2"/>
  <c r="N188" i="2"/>
  <c r="Q83" i="2" s="1"/>
  <c r="S108" i="2"/>
  <c r="S87" i="2"/>
  <c r="S107" i="2" s="1"/>
  <c r="S88" i="2"/>
  <c r="Q30" i="2"/>
  <c r="Q63" i="2" s="1"/>
  <c r="Q21" i="2"/>
  <c r="S20" i="2"/>
  <c r="S42" i="2" s="1"/>
  <c r="S64" i="2" s="1"/>
  <c r="S31" i="2"/>
  <c r="S53" i="2" s="1"/>
  <c r="S75" i="2" s="1"/>
  <c r="R20" i="2"/>
  <c r="R53" i="2" s="1"/>
  <c r="Q53" i="2"/>
  <c r="Q42" i="2"/>
  <c r="Q75" i="2" s="1"/>
  <c r="R42" i="2"/>
  <c r="R75" i="2" s="1"/>
  <c r="R13" i="2"/>
  <c r="R12" i="2"/>
  <c r="T43" i="2"/>
  <c r="T75" i="2"/>
  <c r="Q29" i="1"/>
  <c r="Q27" i="1"/>
  <c r="Q30" i="1"/>
  <c r="Q31" i="1"/>
  <c r="Q26" i="1"/>
  <c r="Q23" i="1"/>
  <c r="Q32" i="1"/>
  <c r="Q16" i="1"/>
  <c r="Q21" i="1"/>
  <c r="Q28" i="1"/>
  <c r="Q18" i="1"/>
  <c r="Q22" i="1"/>
  <c r="Q17" i="1"/>
  <c r="Q25" i="1"/>
  <c r="Q19" i="1"/>
  <c r="Q24" i="1"/>
  <c r="Q20" i="1"/>
  <c r="Q15" i="1"/>
  <c r="R109" i="2"/>
  <c r="O227" i="2"/>
  <c r="R110" i="2" s="1"/>
  <c r="O20" i="2"/>
  <c r="O110" i="2" s="1"/>
  <c r="O229" i="2" s="1"/>
  <c r="N20" i="2"/>
  <c r="N110" i="2" s="1"/>
  <c r="N229" i="2" s="1"/>
  <c r="N109" i="2"/>
  <c r="N22" i="2"/>
  <c r="Q86" i="2"/>
  <c r="N194" i="2"/>
  <c r="Q87" i="2" s="1"/>
  <c r="O167" i="2"/>
  <c r="O196" i="2"/>
  <c r="O194" i="2"/>
  <c r="R87" i="2" s="1"/>
  <c r="R86" i="2"/>
  <c r="O133" i="2"/>
  <c r="N43" i="2"/>
  <c r="N133" i="2" s="1"/>
  <c r="O46" i="2"/>
  <c r="N44" i="2"/>
  <c r="N134" i="2" s="1"/>
  <c r="O44" i="2"/>
  <c r="O134" i="2" s="1"/>
  <c r="N82" i="2"/>
  <c r="N169" i="2"/>
  <c r="N80" i="2"/>
  <c r="O80" i="2"/>
  <c r="N196" i="2"/>
  <c r="N167" i="2"/>
  <c r="Q109" i="2"/>
  <c r="N227" i="2"/>
  <c r="Q110" i="2" s="1"/>
  <c r="D11" i="1"/>
  <c r="C11" i="1" s="1"/>
  <c r="D10" i="1"/>
  <c r="C10" i="1" s="1"/>
  <c r="AG7" i="2"/>
  <c r="AG11" i="2"/>
  <c r="AG17" i="2"/>
  <c r="AG18" i="2"/>
  <c r="AG13" i="2"/>
  <c r="AG19" i="2"/>
  <c r="AE16" i="2"/>
  <c r="AG16" i="2"/>
  <c r="AG12" i="2"/>
  <c r="AG14" i="2"/>
  <c r="D8" i="1"/>
  <c r="C8" i="1" s="1"/>
  <c r="AG20" i="2"/>
  <c r="AG15" i="2"/>
  <c r="AG10" i="2"/>
  <c r="AG9" i="2"/>
  <c r="AG8" i="2"/>
  <c r="AE10" i="2"/>
  <c r="AE17" i="2"/>
  <c r="AE13" i="2"/>
  <c r="AI8" i="2"/>
  <c r="AJ12" i="2"/>
  <c r="AH14" i="2"/>
  <c r="AH8" i="2"/>
  <c r="AH12" i="2"/>
  <c r="AF19" i="2"/>
  <c r="AF16" i="2"/>
  <c r="AJ9" i="2"/>
  <c r="AJ13" i="2"/>
  <c r="AE11" i="2"/>
  <c r="AH18" i="2"/>
  <c r="AH16" i="2"/>
  <c r="D9" i="1"/>
  <c r="AF9" i="2"/>
  <c r="AF11" i="2"/>
  <c r="AF20" i="2"/>
  <c r="D7" i="1"/>
  <c r="AJ20" i="2"/>
  <c r="AJ11" i="2"/>
  <c r="AJ17" i="2"/>
  <c r="AJ8" i="2"/>
  <c r="AE18" i="2"/>
  <c r="AF10" i="2"/>
  <c r="AF12" i="2"/>
  <c r="AE20" i="2"/>
  <c r="AE12" i="2"/>
  <c r="AI11" i="2"/>
  <c r="AI9" i="2"/>
  <c r="AI14" i="2"/>
  <c r="AI10" i="2"/>
  <c r="AI20" i="2"/>
  <c r="AI18" i="2"/>
  <c r="AH7" i="2"/>
  <c r="AH11" i="2"/>
  <c r="AH17" i="2"/>
  <c r="AJ10" i="2"/>
  <c r="AJ16" i="2"/>
  <c r="AE8" i="2"/>
  <c r="D6" i="1"/>
  <c r="AI16" i="2"/>
  <c r="AI7" i="2"/>
  <c r="AH13" i="2"/>
  <c r="AH10" i="2"/>
  <c r="AJ7" i="2"/>
  <c r="AE9" i="2"/>
  <c r="AE14" i="2"/>
  <c r="AI13" i="2"/>
  <c r="AI17" i="2"/>
  <c r="AH9" i="2"/>
  <c r="AH15" i="2"/>
  <c r="AF18" i="2"/>
  <c r="AF17" i="2"/>
  <c r="AE7" i="2"/>
  <c r="AE15" i="2"/>
  <c r="AE19" i="2"/>
  <c r="AH20" i="2"/>
  <c r="AF14" i="2"/>
  <c r="AF13" i="2"/>
  <c r="AJ15" i="2"/>
  <c r="AJ19" i="2"/>
  <c r="AI15" i="2"/>
  <c r="AI19" i="2"/>
  <c r="AH19" i="2"/>
  <c r="AF15" i="2"/>
  <c r="AF8" i="2"/>
  <c r="AF7" i="2"/>
  <c r="AJ14" i="2"/>
  <c r="AJ18" i="2"/>
  <c r="AI12" i="2"/>
  <c r="BP7" i="2" l="1"/>
  <c r="AP97" i="2"/>
  <c r="AL98" i="2"/>
  <c r="AQ97" i="2"/>
  <c r="AO98" i="2"/>
  <c r="AM98" i="2"/>
  <c r="AL97" i="2"/>
  <c r="AO97" i="2"/>
  <c r="AN98" i="2"/>
  <c r="AM97" i="2"/>
  <c r="AN97" i="2"/>
  <c r="AQ98" i="2"/>
  <c r="AP98" i="2"/>
  <c r="AN26" i="2"/>
  <c r="AO94" i="2"/>
  <c r="AN36" i="2"/>
  <c r="AN48" i="2"/>
  <c r="AP22" i="2"/>
  <c r="AO58" i="2"/>
  <c r="AL25" i="2"/>
  <c r="AM29" i="2"/>
  <c r="AO69" i="2"/>
  <c r="AN63" i="2"/>
  <c r="AO41" i="2"/>
  <c r="AO64" i="2"/>
  <c r="AL76" i="2"/>
  <c r="AL80" i="2"/>
  <c r="AL66" i="2"/>
  <c r="AO84" i="2"/>
  <c r="AL74" i="2"/>
  <c r="AM51" i="2"/>
  <c r="AL81" i="2"/>
  <c r="AO21" i="2"/>
  <c r="AL85" i="2"/>
  <c r="AQ74" i="2"/>
  <c r="AN95" i="2"/>
  <c r="AL68" i="2"/>
  <c r="AP45" i="2"/>
  <c r="AQ24" i="2"/>
  <c r="AM92" i="2"/>
  <c r="AN93" i="2"/>
  <c r="AL89" i="2"/>
  <c r="AQ42" i="2"/>
  <c r="AO28" i="2"/>
  <c r="AN49" i="2"/>
  <c r="AL94" i="2"/>
  <c r="AN76" i="2"/>
  <c r="AO92" i="2"/>
  <c r="AM93" i="2"/>
  <c r="AP71" i="2"/>
  <c r="AL36" i="2"/>
  <c r="AN45" i="2"/>
  <c r="AN85" i="2"/>
  <c r="AP79" i="2"/>
  <c r="AL59" i="2"/>
  <c r="AQ78" i="2"/>
  <c r="AN83" i="2"/>
  <c r="AO52" i="2"/>
  <c r="AP63" i="2"/>
  <c r="AM17" i="2"/>
  <c r="AM46" i="2"/>
  <c r="AP88" i="2"/>
  <c r="AM84" i="2"/>
  <c r="AL83" i="2"/>
  <c r="AO43" i="2"/>
  <c r="AO96" i="2"/>
  <c r="AL40" i="2"/>
  <c r="AO53" i="2"/>
  <c r="AL87" i="2"/>
  <c r="AO86" i="2"/>
  <c r="AQ31" i="2"/>
  <c r="AL57" i="2"/>
  <c r="AN87" i="2"/>
  <c r="AM65" i="2"/>
  <c r="AN80" i="2"/>
  <c r="AM60" i="2"/>
  <c r="AP54" i="2"/>
  <c r="AO37" i="2"/>
  <c r="AM78" i="2"/>
  <c r="AN33" i="2"/>
  <c r="AM73" i="2"/>
  <c r="AP26" i="2"/>
  <c r="AQ38" i="2"/>
  <c r="AO82" i="2"/>
  <c r="AM13" i="2"/>
  <c r="AO12" i="2"/>
  <c r="AP47" i="2"/>
  <c r="AP56" i="2"/>
  <c r="AO54" i="2"/>
  <c r="AM50" i="2"/>
  <c r="AP72" i="2"/>
  <c r="AL34" i="2"/>
  <c r="AL55" i="2"/>
  <c r="AQ46" i="2"/>
  <c r="AN66" i="2"/>
  <c r="AQ35" i="2"/>
  <c r="AQ68" i="2"/>
  <c r="AQ34" i="2"/>
  <c r="AN25" i="2"/>
  <c r="AL15" i="2"/>
  <c r="AN70" i="2"/>
  <c r="AL70" i="2"/>
  <c r="AL27" i="2"/>
  <c r="AP95" i="2"/>
  <c r="AO62" i="2"/>
  <c r="AL38" i="2"/>
  <c r="AL42" i="2"/>
  <c r="AM24" i="2"/>
  <c r="AO56" i="2"/>
  <c r="AM61" i="2"/>
  <c r="AM33" i="2"/>
  <c r="AO75" i="2"/>
  <c r="AP41" i="2"/>
  <c r="AN77" i="2"/>
  <c r="AO19" i="2"/>
  <c r="AL14" i="2"/>
  <c r="AL8" i="2"/>
  <c r="AO10" i="2"/>
  <c r="AL18" i="2"/>
  <c r="AM9" i="2"/>
  <c r="AM19" i="2"/>
  <c r="AL10" i="2"/>
  <c r="AP12" i="2"/>
  <c r="AM83" i="2"/>
  <c r="AP86" i="2"/>
  <c r="AQ61" i="2"/>
  <c r="AP37" i="2"/>
  <c r="AQ89" i="2"/>
  <c r="AM39" i="2"/>
  <c r="AP35" i="2"/>
  <c r="AQ39" i="2"/>
  <c r="AL96" i="2"/>
  <c r="AL75" i="2"/>
  <c r="AM30" i="2"/>
  <c r="AO59" i="2"/>
  <c r="AQ71" i="2"/>
  <c r="AL28" i="2"/>
  <c r="AM49" i="2"/>
  <c r="AP53" i="2"/>
  <c r="AQ40" i="2"/>
  <c r="AN65" i="2"/>
  <c r="AL91" i="2"/>
  <c r="AM62" i="2"/>
  <c r="AO79" i="2"/>
  <c r="AQ30" i="2"/>
  <c r="AM31" i="2"/>
  <c r="AQ67" i="2"/>
  <c r="AQ22" i="2"/>
  <c r="AQ18" i="2"/>
  <c r="AQ7" i="2"/>
  <c r="AO9" i="2"/>
  <c r="AO32" i="2"/>
  <c r="AN20" i="2"/>
  <c r="AM20" i="2"/>
  <c r="AM90" i="2"/>
  <c r="AN51" i="2"/>
  <c r="AP23" i="2"/>
  <c r="AO90" i="2"/>
  <c r="AQ23" i="2"/>
  <c r="AP48" i="2"/>
  <c r="AO29" i="2"/>
  <c r="AQ50" i="2"/>
  <c r="AM64" i="2"/>
  <c r="AQ44" i="2"/>
  <c r="AN57" i="2"/>
  <c r="AM82" i="2"/>
  <c r="AP32" i="2"/>
  <c r="AL16" i="2"/>
  <c r="AQ15" i="2"/>
  <c r="AO11" i="2"/>
  <c r="AP77" i="2"/>
  <c r="AP52" i="2"/>
  <c r="AN27" i="2"/>
  <c r="AO73" i="2"/>
  <c r="AN8" i="2"/>
  <c r="AQ14" i="2"/>
  <c r="AL44" i="2"/>
  <c r="AP43" i="2"/>
  <c r="AQ43" i="2"/>
  <c r="AN86" i="2"/>
  <c r="AO60" i="2"/>
  <c r="AO88" i="2"/>
  <c r="AQ47" i="2"/>
  <c r="AN81" i="2"/>
  <c r="AO16" i="2"/>
  <c r="AN91" i="2"/>
  <c r="AQ72" i="2"/>
  <c r="AO17" i="2"/>
  <c r="AO13" i="2"/>
  <c r="AM11" i="2"/>
  <c r="AL67" i="2"/>
  <c r="AM58" i="2"/>
  <c r="AL69" i="2"/>
  <c r="AN55" i="2"/>
  <c r="AL21" i="2"/>
  <c r="AM95" i="2"/>
  <c r="AO15" i="2"/>
  <c r="AL9" i="2"/>
  <c r="AQ16" i="2"/>
  <c r="AO14" i="2"/>
  <c r="AQ8" i="2"/>
  <c r="AN12" i="2"/>
  <c r="AP8" i="2"/>
  <c r="AP16" i="2"/>
  <c r="AL48" i="2"/>
  <c r="AM96" i="2"/>
  <c r="AQ59" i="2"/>
  <c r="AN89" i="2"/>
  <c r="AN44" i="2"/>
  <c r="AM86" i="2"/>
  <c r="AO26" i="2"/>
  <c r="AQ29" i="2"/>
  <c r="AN72" i="2"/>
  <c r="AM54" i="2"/>
  <c r="AP82" i="2"/>
  <c r="AQ57" i="2"/>
  <c r="AN47" i="2"/>
  <c r="AL77" i="2"/>
  <c r="AM52" i="2"/>
  <c r="AM32" i="2"/>
  <c r="AP44" i="2"/>
  <c r="AQ96" i="2"/>
  <c r="AN50" i="2"/>
  <c r="AL64" i="2"/>
  <c r="AL39" i="2"/>
  <c r="AM67" i="2"/>
  <c r="AO27" i="2"/>
  <c r="AQ91" i="2"/>
  <c r="AL43" i="2"/>
  <c r="AN88" i="2"/>
  <c r="AL82" i="2"/>
  <c r="AM77" i="2"/>
  <c r="AP21" i="2"/>
  <c r="AO70" i="2"/>
  <c r="AO81" i="2"/>
  <c r="AQ73" i="2"/>
  <c r="AN74" i="2"/>
  <c r="AL84" i="2"/>
  <c r="AL63" i="2"/>
  <c r="AM87" i="2"/>
  <c r="AP83" i="2"/>
  <c r="AO47" i="2"/>
  <c r="AQ55" i="2"/>
  <c r="AL86" i="2"/>
  <c r="AN60" i="2"/>
  <c r="AO42" i="2"/>
  <c r="AP89" i="2"/>
  <c r="AO55" i="2"/>
  <c r="AP25" i="2"/>
  <c r="AQ10" i="2"/>
  <c r="AQ17" i="2"/>
  <c r="AN16" i="2"/>
  <c r="AP9" i="2"/>
  <c r="AN30" i="2"/>
  <c r="AL35" i="2"/>
  <c r="AO71" i="2"/>
  <c r="AN40" i="2"/>
  <c r="AP50" i="2"/>
  <c r="AO22" i="2"/>
  <c r="AQ70" i="2"/>
  <c r="AQ25" i="2"/>
  <c r="AL45" i="2"/>
  <c r="AP65" i="2"/>
  <c r="AO85" i="2"/>
  <c r="AQ64" i="2"/>
  <c r="AN82" i="2"/>
  <c r="AL32" i="2"/>
  <c r="AM80" i="2"/>
  <c r="AM35" i="2"/>
  <c r="AP31" i="2"/>
  <c r="AO80" i="2"/>
  <c r="AQ27" i="2"/>
  <c r="AP57" i="2"/>
  <c r="AN56" i="2"/>
  <c r="AL50" i="2"/>
  <c r="AM22" i="2"/>
  <c r="AP66" i="2"/>
  <c r="AO38" i="2"/>
  <c r="AQ86" i="2"/>
  <c r="AQ41" i="2"/>
  <c r="AN34" i="2"/>
  <c r="AL52" i="2"/>
  <c r="AL31" i="2"/>
  <c r="AM55" i="2"/>
  <c r="AP51" i="2"/>
  <c r="AO89" i="2"/>
  <c r="AQ79" i="2"/>
  <c r="AQ87" i="2"/>
  <c r="AP70" i="2"/>
  <c r="AP38" i="2"/>
  <c r="AO57" i="2"/>
  <c r="AO87" i="2"/>
  <c r="AM81" i="2"/>
  <c r="AN43" i="2"/>
  <c r="AL33" i="2"/>
  <c r="AM18" i="2"/>
  <c r="AN17" i="2"/>
  <c r="AQ11" i="2"/>
  <c r="AN18" i="2"/>
  <c r="AN14" i="2"/>
  <c r="AP10" i="2"/>
  <c r="AP19" i="2"/>
  <c r="AQ76" i="2"/>
  <c r="AL51" i="2"/>
  <c r="AM79" i="2"/>
  <c r="AP75" i="2"/>
  <c r="AO39" i="2"/>
  <c r="AN53" i="2"/>
  <c r="AN22" i="2"/>
  <c r="AL47" i="2"/>
  <c r="AP84" i="2"/>
  <c r="AO67" i="2"/>
  <c r="AL92" i="2"/>
  <c r="AM89" i="2"/>
  <c r="AP33" i="2"/>
  <c r="AQ85" i="2"/>
  <c r="AN39" i="2"/>
  <c r="AL73" i="2"/>
  <c r="AM48" i="2"/>
  <c r="AP93" i="2"/>
  <c r="AP76" i="2"/>
  <c r="AO48" i="2"/>
  <c r="AQ92" i="2"/>
  <c r="AN69" i="2"/>
  <c r="AN24" i="2"/>
  <c r="AL95" i="2"/>
  <c r="AM66" i="2"/>
  <c r="AP34" i="2"/>
  <c r="AO83" i="2"/>
  <c r="AQ54" i="2"/>
  <c r="AQ26" i="2"/>
  <c r="AN42" i="2"/>
  <c r="AL93" i="2"/>
  <c r="AM68" i="2"/>
  <c r="AM23" i="2"/>
  <c r="AP92" i="2"/>
  <c r="AO68" i="2"/>
  <c r="AQ48" i="2"/>
  <c r="AN73" i="2"/>
  <c r="AM76" i="2"/>
  <c r="AQ45" i="2"/>
  <c r="AQ52" i="2"/>
  <c r="AP59" i="2"/>
  <c r="AM53" i="2"/>
  <c r="AP80" i="2"/>
  <c r="AN10" i="2"/>
  <c r="AM7" i="2"/>
  <c r="AV7" i="2" s="1"/>
  <c r="AN15" i="2"/>
  <c r="AN13" i="2"/>
  <c r="AN11" i="2"/>
  <c r="AL12" i="2"/>
  <c r="AQ20" i="2"/>
  <c r="AL11" i="2"/>
  <c r="AQ12" i="2"/>
  <c r="AP15" i="2"/>
  <c r="AP13" i="2"/>
  <c r="AN94" i="2"/>
  <c r="AM47" i="2"/>
  <c r="AQ51" i="2"/>
  <c r="AN62" i="2"/>
  <c r="AL72" i="2"/>
  <c r="AM75" i="2"/>
  <c r="AO35" i="2"/>
  <c r="AL54" i="2"/>
  <c r="AN68" i="2"/>
  <c r="AL62" i="2"/>
  <c r="AM42" i="2"/>
  <c r="AP78" i="2"/>
  <c r="AO50" i="2"/>
  <c r="AO25" i="2"/>
  <c r="AQ53" i="2"/>
  <c r="AN79" i="2"/>
  <c r="AL41" i="2"/>
  <c r="AM57" i="2"/>
  <c r="AP61" i="2"/>
  <c r="AP60" i="2"/>
  <c r="AO77" i="2"/>
  <c r="AQ60" i="2"/>
  <c r="AN37" i="2"/>
  <c r="AL88" i="2"/>
  <c r="AL23" i="2"/>
  <c r="AM91" i="2"/>
  <c r="AP87" i="2"/>
  <c r="AO51" i="2"/>
  <c r="AQ63" i="2"/>
  <c r="AL60" i="2"/>
  <c r="AN23" i="2"/>
  <c r="AL61" i="2"/>
  <c r="AM36" i="2"/>
  <c r="AP81" i="2"/>
  <c r="AP36" i="2"/>
  <c r="AO36" i="2"/>
  <c r="AQ80" i="2"/>
  <c r="AM26" i="2"/>
  <c r="AP27" i="2"/>
  <c r="AN35" i="2"/>
  <c r="AN46" i="2"/>
  <c r="AQ88" i="2"/>
  <c r="AO76" i="2"/>
  <c r="AN29" i="2"/>
  <c r="AQ19" i="2"/>
  <c r="AM8" i="2"/>
  <c r="AV8" i="2" s="1"/>
  <c r="AM14" i="2"/>
  <c r="AN9" i="2"/>
  <c r="AL20" i="2"/>
  <c r="AQ13" i="2"/>
  <c r="AO8" i="2"/>
  <c r="AP20" i="2"/>
  <c r="AP18" i="2"/>
  <c r="AM37" i="2"/>
  <c r="AP90" i="2"/>
  <c r="AQ65" i="2"/>
  <c r="AN59" i="2"/>
  <c r="AM21" i="2"/>
  <c r="AQ32" i="2"/>
  <c r="AN90" i="2"/>
  <c r="AM88" i="2"/>
  <c r="AM43" i="2"/>
  <c r="AP39" i="2"/>
  <c r="AL30" i="2"/>
  <c r="AP46" i="2"/>
  <c r="AO95" i="2"/>
  <c r="AQ66" i="2"/>
  <c r="AQ21" i="2"/>
  <c r="AN96" i="2"/>
  <c r="AL90" i="2"/>
  <c r="AM85" i="2"/>
  <c r="AP29" i="2"/>
  <c r="AO78" i="2"/>
  <c r="AO61" i="2"/>
  <c r="AQ81" i="2"/>
  <c r="AN38" i="2"/>
  <c r="AL56" i="2"/>
  <c r="AM59" i="2"/>
  <c r="AP55" i="2"/>
  <c r="AO93" i="2"/>
  <c r="AQ83" i="2"/>
  <c r="AL22" i="2"/>
  <c r="AN67" i="2"/>
  <c r="AL29" i="2"/>
  <c r="AM41" i="2"/>
  <c r="AP49" i="2"/>
  <c r="AP68" i="2"/>
  <c r="AO65" i="2"/>
  <c r="AQ36" i="2"/>
  <c r="AN78" i="2"/>
  <c r="AM44" i="2"/>
  <c r="AN41" i="2"/>
  <c r="AP91" i="2"/>
  <c r="AP64" i="2"/>
  <c r="AO44" i="2"/>
  <c r="AO18" i="2"/>
  <c r="AM12" i="2"/>
  <c r="AQ9" i="2"/>
  <c r="AL13" i="2"/>
  <c r="AP17" i="2"/>
  <c r="AP58" i="2"/>
  <c r="AO30" i="2"/>
  <c r="AQ33" i="2"/>
  <c r="AL53" i="2"/>
  <c r="AM69" i="2"/>
  <c r="AP73" i="2"/>
  <c r="AM56" i="2"/>
  <c r="AM28" i="2"/>
  <c r="AP24" i="2"/>
  <c r="AQ28" i="2"/>
  <c r="AN21" i="2"/>
  <c r="AM34" i="2"/>
  <c r="AP96" i="2"/>
  <c r="AO63" i="2"/>
  <c r="AQ75" i="2"/>
  <c r="AL37" i="2"/>
  <c r="AN64" i="2"/>
  <c r="AL58" i="2"/>
  <c r="AM38" i="2"/>
  <c r="AP74" i="2"/>
  <c r="AO46" i="2"/>
  <c r="AQ94" i="2"/>
  <c r="AQ49" i="2"/>
  <c r="AN54" i="2"/>
  <c r="AL24" i="2"/>
  <c r="AM72" i="2"/>
  <c r="AM27" i="2"/>
  <c r="AO72" i="2"/>
  <c r="AQ56" i="2"/>
  <c r="AO45" i="2"/>
  <c r="AN84" i="2"/>
  <c r="AL78" i="2"/>
  <c r="AM45" i="2"/>
  <c r="AP94" i="2"/>
  <c r="AO66" i="2"/>
  <c r="AO49" i="2"/>
  <c r="AQ69" i="2"/>
  <c r="AM70" i="2"/>
  <c r="AO74" i="2"/>
  <c r="AQ58" i="2"/>
  <c r="AQ90" i="2"/>
  <c r="AO23" i="2"/>
  <c r="AL79" i="2"/>
  <c r="AN71" i="2"/>
  <c r="AP30" i="2"/>
  <c r="AM15" i="2"/>
  <c r="AN19" i="2"/>
  <c r="AL19" i="2"/>
  <c r="AO20" i="2"/>
  <c r="AM10" i="2"/>
  <c r="AM16" i="2"/>
  <c r="AL17" i="2"/>
  <c r="AP14" i="2"/>
  <c r="AP11" i="2"/>
  <c r="AN61" i="2"/>
  <c r="AM25" i="2"/>
  <c r="AO33" i="2"/>
  <c r="AQ93" i="2"/>
  <c r="AL49" i="2"/>
  <c r="AP69" i="2"/>
  <c r="AP40" i="2"/>
  <c r="AO24" i="2"/>
  <c r="AN58" i="2"/>
  <c r="AL71" i="2"/>
  <c r="AM71" i="2"/>
  <c r="AP67" i="2"/>
  <c r="AO31" i="2"/>
  <c r="AQ95" i="2"/>
  <c r="AN32" i="2"/>
  <c r="AL26" i="2"/>
  <c r="AM74" i="2"/>
  <c r="AP42" i="2"/>
  <c r="AO91" i="2"/>
  <c r="AQ62" i="2"/>
  <c r="AN31" i="2"/>
  <c r="AL65" i="2"/>
  <c r="AM40" i="2"/>
  <c r="AP85" i="2"/>
  <c r="AP28" i="2"/>
  <c r="AO40" i="2"/>
  <c r="AQ84" i="2"/>
  <c r="AN52" i="2"/>
  <c r="AL46" i="2"/>
  <c r="AM94" i="2"/>
  <c r="AP62" i="2"/>
  <c r="AO34" i="2"/>
  <c r="AQ82" i="2"/>
  <c r="AQ37" i="2"/>
  <c r="AN92" i="2"/>
  <c r="AQ77" i="2"/>
  <c r="AN75" i="2"/>
  <c r="AM63" i="2"/>
  <c r="AN28" i="2"/>
  <c r="AO7" i="2"/>
  <c r="AN7" i="2"/>
  <c r="AP7" i="2"/>
  <c r="AL7" i="2"/>
  <c r="R43" i="2"/>
  <c r="R76" i="2" s="1"/>
  <c r="Q22" i="2"/>
  <c r="S21" i="2"/>
  <c r="S43" i="2" s="1"/>
  <c r="S65" i="2" s="1"/>
  <c r="R21" i="2"/>
  <c r="R54" i="2" s="1"/>
  <c r="Q54" i="2"/>
  <c r="Q43" i="2"/>
  <c r="Q76" i="2" s="1"/>
  <c r="S32" i="2"/>
  <c r="S54" i="2" s="1"/>
  <c r="S76" i="2" s="1"/>
  <c r="BV11" i="2"/>
  <c r="BU10" i="2"/>
  <c r="S89" i="2"/>
  <c r="S109" i="2" s="1"/>
  <c r="S110" i="2"/>
  <c r="S90" i="2"/>
  <c r="T32" i="2"/>
  <c r="T64" i="2"/>
  <c r="T76" i="2"/>
  <c r="T44" i="2"/>
  <c r="Q31" i="2"/>
  <c r="Q64" i="2" s="1"/>
  <c r="O49" i="2"/>
  <c r="N47" i="2"/>
  <c r="N137" i="2" s="1"/>
  <c r="N46" i="2"/>
  <c r="N136" i="2" s="1"/>
  <c r="O136" i="2"/>
  <c r="O47" i="2"/>
  <c r="O137" i="2" s="1"/>
  <c r="N197" i="2"/>
  <c r="Q89" i="2" s="1"/>
  <c r="Q88" i="2"/>
  <c r="N25" i="2"/>
  <c r="N112" i="2"/>
  <c r="O23" i="2"/>
  <c r="O113" i="2" s="1"/>
  <c r="O232" i="2" s="1"/>
  <c r="N23" i="2"/>
  <c r="N113" i="2" s="1"/>
  <c r="N232" i="2" s="1"/>
  <c r="O170" i="2"/>
  <c r="O199" i="2"/>
  <c r="N199" i="2"/>
  <c r="N170" i="2"/>
  <c r="N230" i="2"/>
  <c r="Q112" i="2" s="1"/>
  <c r="Q111" i="2"/>
  <c r="R111" i="2"/>
  <c r="O230" i="2"/>
  <c r="R112" i="2" s="1"/>
  <c r="N85" i="2"/>
  <c r="N83" i="2"/>
  <c r="N172" i="2"/>
  <c r="O83" i="2"/>
  <c r="O197" i="2"/>
  <c r="R89" i="2" s="1"/>
  <c r="R88" i="2"/>
  <c r="BB94" i="2"/>
  <c r="O2" i="1"/>
  <c r="O3" i="1" s="1"/>
  <c r="D3" i="1" s="1"/>
  <c r="S14" i="2"/>
  <c r="S9" i="2"/>
  <c r="S11" i="2"/>
  <c r="C7" i="1"/>
  <c r="S7" i="2"/>
  <c r="C6" i="1"/>
  <c r="S8" i="2"/>
  <c r="C9" i="1"/>
  <c r="S10" i="2"/>
  <c r="AV10" i="2" l="1"/>
  <c r="AW10" i="2" s="1"/>
  <c r="AV11" i="2"/>
  <c r="AZ11" i="2" s="1"/>
  <c r="BB10" i="2"/>
  <c r="AZ10" i="2"/>
  <c r="AV72" i="2"/>
  <c r="BB72" i="2" s="1"/>
  <c r="AV75" i="2"/>
  <c r="AY75" i="2" s="1"/>
  <c r="AV65" i="2"/>
  <c r="AY65" i="2" s="1"/>
  <c r="AV9" i="2"/>
  <c r="AY9" i="2" s="1"/>
  <c r="BA7" i="2"/>
  <c r="AZ7" i="2"/>
  <c r="BA8" i="2"/>
  <c r="AZ8" i="2"/>
  <c r="BP8" i="2"/>
  <c r="BP9" i="2" s="1"/>
  <c r="BP10" i="2" s="1"/>
  <c r="BP11" i="2" s="1"/>
  <c r="BP12" i="2" s="1"/>
  <c r="BP13" i="2" s="1"/>
  <c r="BP14" i="2" s="1"/>
  <c r="BP15" i="2" s="1"/>
  <c r="BP16" i="2" s="1"/>
  <c r="BP17" i="2" s="1"/>
  <c r="BP18" i="2" s="1"/>
  <c r="BP19" i="2" s="1"/>
  <c r="BR7" i="2"/>
  <c r="AV78" i="2"/>
  <c r="BH75" i="2"/>
  <c r="BE75" i="2"/>
  <c r="BF75" i="2"/>
  <c r="BD75" i="2"/>
  <c r="BG75" i="2"/>
  <c r="AV92" i="2"/>
  <c r="AW92" i="2" s="1"/>
  <c r="AV84" i="2"/>
  <c r="AV64" i="2"/>
  <c r="AY64" i="2" s="1"/>
  <c r="BC72" i="2"/>
  <c r="BD72" i="2"/>
  <c r="BF72" i="2"/>
  <c r="BE72" i="2"/>
  <c r="BH72" i="2"/>
  <c r="BG72" i="2"/>
  <c r="AV63" i="2"/>
  <c r="AX63" i="2" s="1"/>
  <c r="AV81" i="2"/>
  <c r="BE65" i="2"/>
  <c r="BC65" i="2"/>
  <c r="BH65" i="2"/>
  <c r="BF65" i="2"/>
  <c r="BG65" i="2"/>
  <c r="BD65" i="2"/>
  <c r="AV62" i="2"/>
  <c r="AY62" i="2" s="1"/>
  <c r="AV61" i="2"/>
  <c r="AV34" i="2"/>
  <c r="AV58" i="2"/>
  <c r="BB58" i="2" s="1"/>
  <c r="AV56" i="2"/>
  <c r="AZ56" i="2" s="1"/>
  <c r="AV60" i="2"/>
  <c r="AZ60" i="2" s="1"/>
  <c r="AV53" i="2"/>
  <c r="AV55" i="2"/>
  <c r="AZ55" i="2" s="1"/>
  <c r="AV57" i="2"/>
  <c r="BB57" i="2" s="1"/>
  <c r="AV59" i="2"/>
  <c r="AY59" i="2" s="1"/>
  <c r="AV54" i="2"/>
  <c r="BB54" i="2" s="1"/>
  <c r="AV52" i="2"/>
  <c r="BB52" i="2" s="1"/>
  <c r="AV38" i="2"/>
  <c r="BB38" i="2" s="1"/>
  <c r="AV40" i="2"/>
  <c r="AZ40" i="2" s="1"/>
  <c r="AV48" i="2"/>
  <c r="BB48" i="2" s="1"/>
  <c r="AV47" i="2"/>
  <c r="BB47" i="2" s="1"/>
  <c r="AV36" i="2"/>
  <c r="AV22" i="2"/>
  <c r="AV51" i="2"/>
  <c r="AV45" i="2"/>
  <c r="BA45" i="2" s="1"/>
  <c r="AV37" i="2"/>
  <c r="AV27" i="2"/>
  <c r="AV41" i="2"/>
  <c r="AZ41" i="2" s="1"/>
  <c r="AV26" i="2"/>
  <c r="AV32" i="2"/>
  <c r="AV49" i="2"/>
  <c r="BB49" i="2" s="1"/>
  <c r="AV33" i="2"/>
  <c r="AW33" i="2" s="1"/>
  <c r="AV43" i="2"/>
  <c r="AU44" i="2"/>
  <c r="AV44" i="2"/>
  <c r="BA44" i="2" s="1"/>
  <c r="AV46" i="2"/>
  <c r="BB46" i="2" s="1"/>
  <c r="AV39" i="2"/>
  <c r="BB39" i="2" s="1"/>
  <c r="AV31" i="2"/>
  <c r="BA31" i="2" s="1"/>
  <c r="AV28" i="2"/>
  <c r="BB28" i="2" s="1"/>
  <c r="AV35" i="2"/>
  <c r="AW35" i="2" s="1"/>
  <c r="AV42" i="2"/>
  <c r="AV29" i="2"/>
  <c r="AW29" i="2" s="1"/>
  <c r="AV23" i="2"/>
  <c r="AV24" i="2"/>
  <c r="AV30" i="2"/>
  <c r="AV50" i="2"/>
  <c r="BB50" i="2" s="1"/>
  <c r="AV25" i="2"/>
  <c r="BA25" i="2" s="1"/>
  <c r="S112" i="2"/>
  <c r="S91" i="2"/>
  <c r="S111" i="2" s="1"/>
  <c r="S92" i="2"/>
  <c r="R44" i="2"/>
  <c r="R77" i="2" s="1"/>
  <c r="Q55" i="2"/>
  <c r="S33" i="2"/>
  <c r="S55" i="2" s="1"/>
  <c r="S77" i="2" s="1"/>
  <c r="Q23" i="2"/>
  <c r="Q44" i="2"/>
  <c r="Q77" i="2" s="1"/>
  <c r="R22" i="2"/>
  <c r="R55" i="2" s="1"/>
  <c r="S22" i="2"/>
  <c r="S44" i="2" s="1"/>
  <c r="S66" i="2" s="1"/>
  <c r="R33" i="2"/>
  <c r="R66" i="2" s="1"/>
  <c r="T45" i="2"/>
  <c r="T77" i="2"/>
  <c r="BV12" i="2"/>
  <c r="BU11" i="2"/>
  <c r="T33" i="2"/>
  <c r="Q33" i="2" s="1"/>
  <c r="Q66" i="2" s="1"/>
  <c r="T65" i="2"/>
  <c r="Q32" i="2"/>
  <c r="Q65" i="2" s="1"/>
  <c r="R32" i="2"/>
  <c r="R65" i="2" s="1"/>
  <c r="AV21" i="2"/>
  <c r="AV14" i="2"/>
  <c r="AV20" i="2"/>
  <c r="BB20" i="2" s="1"/>
  <c r="AV17" i="2"/>
  <c r="AV12" i="2"/>
  <c r="AV15" i="2"/>
  <c r="AY15" i="2" s="1"/>
  <c r="AV16" i="2"/>
  <c r="AV19" i="2"/>
  <c r="AV18" i="2"/>
  <c r="AV13" i="2"/>
  <c r="AY13" i="2" s="1"/>
  <c r="AV91" i="2"/>
  <c r="AV74" i="2"/>
  <c r="AY74" i="2" s="1"/>
  <c r="AV68" i="2"/>
  <c r="BA68" i="2" s="1"/>
  <c r="AV87" i="2"/>
  <c r="AV71" i="2"/>
  <c r="AZ71" i="2" s="1"/>
  <c r="AV93" i="2"/>
  <c r="AV90" i="2"/>
  <c r="AV79" i="2"/>
  <c r="AV76" i="2"/>
  <c r="BA76" i="2" s="1"/>
  <c r="AV88" i="2"/>
  <c r="AV77" i="2"/>
  <c r="AX77" i="2" s="1"/>
  <c r="AV73" i="2"/>
  <c r="AY73" i="2" s="1"/>
  <c r="AV89" i="2"/>
  <c r="AV86" i="2"/>
  <c r="AZ86" i="2" s="1"/>
  <c r="AV70" i="2"/>
  <c r="AY70" i="2" s="1"/>
  <c r="AV66" i="2"/>
  <c r="BA66" i="2" s="1"/>
  <c r="AV69" i="2"/>
  <c r="AV95" i="2"/>
  <c r="AZ95" i="2" s="1"/>
  <c r="AV82" i="2"/>
  <c r="AY82" i="2" s="1"/>
  <c r="AV67" i="2"/>
  <c r="BC67" i="2" s="1"/>
  <c r="AV94" i="2"/>
  <c r="AV83" i="2"/>
  <c r="AV85" i="2"/>
  <c r="AV80" i="2"/>
  <c r="AY80" i="2" s="1"/>
  <c r="AW34" i="2"/>
  <c r="AW53" i="2"/>
  <c r="BE91" i="2"/>
  <c r="AW48" i="2"/>
  <c r="BE85" i="2"/>
  <c r="AW56" i="2"/>
  <c r="AW51" i="2"/>
  <c r="AW49" i="2"/>
  <c r="BE89" i="2"/>
  <c r="AW55" i="2"/>
  <c r="AW31" i="2"/>
  <c r="AW54" i="2"/>
  <c r="AW28" i="2"/>
  <c r="BE70" i="2"/>
  <c r="BE86" i="2"/>
  <c r="AW32" i="2"/>
  <c r="AW42" i="2"/>
  <c r="BE87" i="2"/>
  <c r="BE92" i="2"/>
  <c r="BE93" i="2"/>
  <c r="BE90" i="2"/>
  <c r="BE88" i="2"/>
  <c r="BC75" i="2"/>
  <c r="AW75" i="2"/>
  <c r="AW36" i="2"/>
  <c r="AW46" i="2"/>
  <c r="AW39" i="2"/>
  <c r="AW52" i="2"/>
  <c r="AW58" i="2"/>
  <c r="AW50" i="2"/>
  <c r="BE84" i="2"/>
  <c r="BE71" i="2"/>
  <c r="BD10" i="2"/>
  <c r="BF11" i="2"/>
  <c r="AV156" i="2"/>
  <c r="AU28" i="2"/>
  <c r="N28" i="2"/>
  <c r="N26" i="2"/>
  <c r="N116" i="2" s="1"/>
  <c r="N235" i="2" s="1"/>
  <c r="N115" i="2"/>
  <c r="O26" i="2"/>
  <c r="O116" i="2" s="1"/>
  <c r="O235" i="2" s="1"/>
  <c r="O173" i="2"/>
  <c r="O202" i="2"/>
  <c r="N200" i="2"/>
  <c r="Q91" i="2" s="1"/>
  <c r="Q90" i="2"/>
  <c r="N202" i="2"/>
  <c r="N173" i="2"/>
  <c r="R90" i="2"/>
  <c r="O200" i="2"/>
  <c r="R91" i="2" s="1"/>
  <c r="N175" i="2"/>
  <c r="O86" i="2"/>
  <c r="N86" i="2"/>
  <c r="N88" i="2"/>
  <c r="N233" i="2"/>
  <c r="Q114" i="2" s="1"/>
  <c r="Q113" i="2"/>
  <c r="R113" i="2"/>
  <c r="O233" i="2"/>
  <c r="R114" i="2" s="1"/>
  <c r="O52" i="2"/>
  <c r="O139" i="2"/>
  <c r="N50" i="2"/>
  <c r="N140" i="2" s="1"/>
  <c r="O50" i="2"/>
  <c r="O140" i="2" s="1"/>
  <c r="N49" i="2"/>
  <c r="N139" i="2" s="1"/>
  <c r="AU73" i="2"/>
  <c r="AU94" i="2"/>
  <c r="AW8" i="2"/>
  <c r="AX8" i="2"/>
  <c r="AV99" i="2"/>
  <c r="AV150" i="2"/>
  <c r="AV147" i="2"/>
  <c r="AZ147" i="2" s="1"/>
  <c r="AV186" i="2"/>
  <c r="AV178" i="2"/>
  <c r="AV171" i="2"/>
  <c r="BA171" i="2" s="1"/>
  <c r="AV169" i="2"/>
  <c r="BC169" i="2" s="1"/>
  <c r="AV108" i="2"/>
  <c r="BB108" i="2" s="1"/>
  <c r="AW7" i="2"/>
  <c r="AX7" i="2"/>
  <c r="AV148" i="2"/>
  <c r="AV117" i="2"/>
  <c r="AW117" i="2" s="1"/>
  <c r="AV105" i="2"/>
  <c r="AU32" i="2"/>
  <c r="AV125" i="2"/>
  <c r="AV146" i="2"/>
  <c r="AV183" i="2"/>
  <c r="AV193" i="2"/>
  <c r="AX193" i="2" s="1"/>
  <c r="AV124" i="2"/>
  <c r="AU58" i="2"/>
  <c r="AU86" i="2"/>
  <c r="AV177" i="2"/>
  <c r="AX177" i="2" s="1"/>
  <c r="AV140" i="2"/>
  <c r="AZ140" i="2" s="1"/>
  <c r="AV111" i="2"/>
  <c r="AZ111" i="2" s="1"/>
  <c r="AV192" i="2"/>
  <c r="AZ192" i="2" s="1"/>
  <c r="AV102" i="2"/>
  <c r="BB102" i="2" s="1"/>
  <c r="AV180" i="2"/>
  <c r="BD180" i="2" s="1"/>
  <c r="AV133" i="2"/>
  <c r="AX133" i="2" s="1"/>
  <c r="AV114" i="2"/>
  <c r="BA186" i="2"/>
  <c r="BA177" i="2"/>
  <c r="BA178" i="2"/>
  <c r="BA183" i="2"/>
  <c r="BA89" i="2"/>
  <c r="BA88" i="2"/>
  <c r="BB70" i="2"/>
  <c r="BC192" i="2"/>
  <c r="BA87" i="2"/>
  <c r="BA86" i="2"/>
  <c r="BC193" i="2"/>
  <c r="AY66" i="2"/>
  <c r="AY171" i="2"/>
  <c r="BA180" i="2"/>
  <c r="BB93" i="2"/>
  <c r="BA90" i="2"/>
  <c r="BA85" i="2"/>
  <c r="AZ80" i="2"/>
  <c r="AX62" i="2"/>
  <c r="AY68" i="2"/>
  <c r="BC99" i="2"/>
  <c r="AX9" i="2"/>
  <c r="BA91" i="2"/>
  <c r="BB95" i="2"/>
  <c r="BA92" i="2"/>
  <c r="AY169" i="2"/>
  <c r="AX108" i="2"/>
  <c r="AX10" i="2"/>
  <c r="AV168" i="2"/>
  <c r="AV112" i="2"/>
  <c r="AZ112" i="2" s="1"/>
  <c r="AU129" i="2"/>
  <c r="AV135" i="2"/>
  <c r="AX135" i="2" s="1"/>
  <c r="AV162" i="2"/>
  <c r="AV158" i="2"/>
  <c r="AW158" i="2" s="1"/>
  <c r="AV134" i="2"/>
  <c r="AV154" i="2"/>
  <c r="AV131" i="2"/>
  <c r="AV187" i="2"/>
  <c r="AV141" i="2"/>
  <c r="AV115" i="2"/>
  <c r="AV159" i="2"/>
  <c r="AV190" i="2"/>
  <c r="AV137" i="2"/>
  <c r="AZ137" i="2" s="1"/>
  <c r="AV138" i="2"/>
  <c r="AZ138" i="2" s="1"/>
  <c r="AV152" i="2"/>
  <c r="BB152" i="2" s="1"/>
  <c r="AV101" i="2"/>
  <c r="BB101" i="2" s="1"/>
  <c r="AV127" i="2"/>
  <c r="AX127" i="2" s="1"/>
  <c r="AV252" i="2"/>
  <c r="AV144" i="2"/>
  <c r="AV188" i="2"/>
  <c r="AV113" i="2"/>
  <c r="BB113" i="2" s="1"/>
  <c r="AV189" i="2"/>
  <c r="AV205" i="2"/>
  <c r="AW205" i="2" s="1"/>
  <c r="AV103" i="2"/>
  <c r="BB103" i="2" s="1"/>
  <c r="AV104" i="2"/>
  <c r="BB104" i="2" s="1"/>
  <c r="AV123" i="2"/>
  <c r="AV149" i="2"/>
  <c r="AV109" i="2"/>
  <c r="BB109" i="2" s="1"/>
  <c r="AU214" i="2"/>
  <c r="AZ148" i="2"/>
  <c r="AV173" i="2"/>
  <c r="AV132" i="2"/>
  <c r="AV164" i="2"/>
  <c r="AV106" i="2"/>
  <c r="BB106" i="2" s="1"/>
  <c r="AV118" i="2"/>
  <c r="AV100" i="2"/>
  <c r="AV143" i="2"/>
  <c r="AV96" i="2"/>
  <c r="AV194" i="2"/>
  <c r="AV172" i="2"/>
  <c r="BA172" i="2" s="1"/>
  <c r="AV121" i="2"/>
  <c r="AX121" i="2" s="1"/>
  <c r="AV185" i="2"/>
  <c r="BD185" i="2" s="1"/>
  <c r="AV116" i="2"/>
  <c r="AW116" i="2" s="1"/>
  <c r="AV139" i="2"/>
  <c r="AZ139" i="2" s="1"/>
  <c r="AV128" i="2"/>
  <c r="AV126" i="2"/>
  <c r="AV136" i="2"/>
  <c r="AZ136" i="2" s="1"/>
  <c r="AV165" i="2"/>
  <c r="BD165" i="2" s="1"/>
  <c r="AV191" i="2"/>
  <c r="AV98" i="2"/>
  <c r="AZ61" i="2"/>
  <c r="AV157" i="2"/>
  <c r="AW157" i="2" s="1"/>
  <c r="AV184" i="2"/>
  <c r="BD184" i="2" s="1"/>
  <c r="AV120" i="2"/>
  <c r="AV170" i="2"/>
  <c r="BA170" i="2" s="1"/>
  <c r="AV167" i="2"/>
  <c r="AV142" i="2"/>
  <c r="AZ142" i="2" s="1"/>
  <c r="AV130" i="2"/>
  <c r="AV110" i="2"/>
  <c r="BB110" i="2" s="1"/>
  <c r="AV151" i="2"/>
  <c r="AV129" i="2"/>
  <c r="AX129" i="2" s="1"/>
  <c r="AV175" i="2"/>
  <c r="BD175" i="2" s="1"/>
  <c r="AV182" i="2"/>
  <c r="BD182" i="2" s="1"/>
  <c r="AV160" i="2"/>
  <c r="AV97" i="2"/>
  <c r="AV163" i="2"/>
  <c r="BD163" i="2" s="1"/>
  <c r="AV107" i="2"/>
  <c r="BB107" i="2" s="1"/>
  <c r="AV161" i="2"/>
  <c r="BD161" i="2" s="1"/>
  <c r="AV119" i="2"/>
  <c r="AX119" i="2" s="1"/>
  <c r="AV145" i="2"/>
  <c r="AZ145" i="2" s="1"/>
  <c r="AV179" i="2"/>
  <c r="BD179" i="2" s="1"/>
  <c r="AU218" i="2"/>
  <c r="AV181" i="2"/>
  <c r="BD181" i="2" s="1"/>
  <c r="AV153" i="2"/>
  <c r="BC153" i="2" s="1"/>
  <c r="AV176" i="2"/>
  <c r="BD176" i="2" s="1"/>
  <c r="AV166" i="2"/>
  <c r="AV122" i="2"/>
  <c r="BB122" i="2" s="1"/>
  <c r="AV155" i="2"/>
  <c r="BB155" i="2" s="1"/>
  <c r="AV174" i="2"/>
  <c r="BD174" i="2" s="1"/>
  <c r="AU50" i="2"/>
  <c r="AU64" i="2"/>
  <c r="AU185" i="2"/>
  <c r="AU11" i="2"/>
  <c r="AU56" i="2"/>
  <c r="AU287" i="2"/>
  <c r="AV212" i="2"/>
  <c r="AX212" i="2" s="1"/>
  <c r="AU25" i="2"/>
  <c r="AU145" i="2"/>
  <c r="AU24" i="2"/>
  <c r="AU16" i="2"/>
  <c r="AU179" i="2"/>
  <c r="AU191" i="2"/>
  <c r="AU157" i="2"/>
  <c r="S12" i="2"/>
  <c r="AU70" i="2"/>
  <c r="AU52" i="2"/>
  <c r="AU54" i="2"/>
  <c r="AU275" i="2"/>
  <c r="AV216" i="2"/>
  <c r="AV203" i="2"/>
  <c r="AW203" i="2" s="1"/>
  <c r="AU119" i="2"/>
  <c r="AU278" i="2"/>
  <c r="AU172" i="2"/>
  <c r="AU235" i="2"/>
  <c r="AU270" i="2"/>
  <c r="AU18" i="2"/>
  <c r="AU95" i="2"/>
  <c r="AU15" i="2"/>
  <c r="AU13" i="2"/>
  <c r="AU259" i="2"/>
  <c r="AV235" i="2"/>
  <c r="AU55" i="2"/>
  <c r="AV258" i="2"/>
  <c r="AU31" i="2"/>
  <c r="AU262" i="2"/>
  <c r="AU85" i="2"/>
  <c r="AV229" i="2"/>
  <c r="AU244" i="2"/>
  <c r="AV245" i="2"/>
  <c r="BC245" i="2" s="1"/>
  <c r="AU118" i="2"/>
  <c r="AV286" i="2"/>
  <c r="BC286" i="2" s="1"/>
  <c r="AD286" i="2" s="1"/>
  <c r="AU260" i="2"/>
  <c r="AU123" i="2"/>
  <c r="AU39" i="2"/>
  <c r="AU46" i="2"/>
  <c r="AU230" i="2"/>
  <c r="AV259" i="2"/>
  <c r="AU117" i="2"/>
  <c r="AU164" i="2"/>
  <c r="AU204" i="2"/>
  <c r="AU67" i="2"/>
  <c r="AU82" i="2"/>
  <c r="AU132" i="2"/>
  <c r="AU96" i="2"/>
  <c r="AU100" i="2"/>
  <c r="AU23" i="2"/>
  <c r="AU106" i="2"/>
  <c r="AU143" i="2"/>
  <c r="AU7" i="2"/>
  <c r="AV249" i="2"/>
  <c r="AW249" i="2" s="1"/>
  <c r="AV248" i="2"/>
  <c r="AU41" i="2"/>
  <c r="AU69" i="2"/>
  <c r="AU10" i="2"/>
  <c r="AU284" i="2"/>
  <c r="AV264" i="2"/>
  <c r="AV210" i="2"/>
  <c r="AX210" i="2" s="1"/>
  <c r="AU80" i="2"/>
  <c r="AU48" i="2"/>
  <c r="AV288" i="2"/>
  <c r="BC288" i="2" s="1"/>
  <c r="AD288" i="2" s="1"/>
  <c r="AV207" i="2"/>
  <c r="AW207" i="2" s="1"/>
  <c r="AV196" i="2"/>
  <c r="AX196" i="2" s="1"/>
  <c r="AU174" i="2"/>
  <c r="AU248" i="2"/>
  <c r="AU113" i="2"/>
  <c r="AU122" i="2"/>
  <c r="AU155" i="2"/>
  <c r="AU60" i="2"/>
  <c r="AU76" i="2"/>
  <c r="AU109" i="2"/>
  <c r="AV276" i="2"/>
  <c r="BD276" i="2" s="1"/>
  <c r="AU273" i="2"/>
  <c r="AU116" i="2"/>
  <c r="AU207" i="2"/>
  <c r="AU173" i="2"/>
  <c r="AU229" i="2"/>
  <c r="AU138" i="2"/>
  <c r="AU196" i="2"/>
  <c r="AU254" i="2"/>
  <c r="AU139" i="2"/>
  <c r="AV223" i="2"/>
  <c r="AX223" i="2" s="1"/>
  <c r="AU286" i="2"/>
  <c r="AV261" i="2"/>
  <c r="AU30" i="2"/>
  <c r="AU57" i="2"/>
  <c r="AV278" i="2"/>
  <c r="BD278" i="2" s="1"/>
  <c r="AU29" i="2"/>
  <c r="AU182" i="2"/>
  <c r="AU190" i="2"/>
  <c r="AU149" i="2"/>
  <c r="AU111" i="2"/>
  <c r="AV199" i="2"/>
  <c r="AW199" i="2" s="1"/>
  <c r="AU33" i="2"/>
  <c r="AU127" i="2"/>
  <c r="AU130" i="2"/>
  <c r="AU66" i="2"/>
  <c r="AV269" i="2"/>
  <c r="AU59" i="2"/>
  <c r="AU199" i="2"/>
  <c r="AU160" i="2"/>
  <c r="AV262" i="2"/>
  <c r="AU9" i="2"/>
  <c r="AU183" i="2"/>
  <c r="AV243" i="2"/>
  <c r="AW243" i="2" s="1"/>
  <c r="AU104" i="2"/>
  <c r="AU36" i="2"/>
  <c r="AU261" i="2"/>
  <c r="AU98" i="2"/>
  <c r="AU53" i="2"/>
  <c r="AU89" i="2"/>
  <c r="AU128" i="2"/>
  <c r="AU125" i="2"/>
  <c r="AU249" i="2"/>
  <c r="AU72" i="2"/>
  <c r="AU136" i="2"/>
  <c r="AU167" i="2"/>
  <c r="AV284" i="2"/>
  <c r="BB284" i="2" s="1"/>
  <c r="AD284" i="2" s="1"/>
  <c r="AU211" i="2"/>
  <c r="AU276" i="2"/>
  <c r="AU12" i="2"/>
  <c r="AU78" i="2"/>
  <c r="AU35" i="2"/>
  <c r="AU243" i="2"/>
  <c r="AV230" i="2"/>
  <c r="AV214" i="2"/>
  <c r="BB214" i="2" s="1"/>
  <c r="AU74" i="2"/>
  <c r="AU188" i="2"/>
  <c r="AU63" i="2"/>
  <c r="AU150" i="2"/>
  <c r="AU134" i="2"/>
  <c r="AU105" i="2"/>
  <c r="AU166" i="2"/>
  <c r="AU26" i="2"/>
  <c r="AU114" i="2"/>
  <c r="AU61" i="2"/>
  <c r="AU110" i="2"/>
  <c r="S13" i="2"/>
  <c r="AU87" i="2"/>
  <c r="AU42" i="2"/>
  <c r="AU88" i="2"/>
  <c r="AU17" i="2"/>
  <c r="AV275" i="2"/>
  <c r="BD275" i="2" s="1"/>
  <c r="AU62" i="2"/>
  <c r="AU79" i="2"/>
  <c r="AU181" i="2"/>
  <c r="AU151" i="2"/>
  <c r="AV200" i="2"/>
  <c r="AW200" i="2" s="1"/>
  <c r="AV254" i="2"/>
  <c r="AU108" i="2"/>
  <c r="AU169" i="2"/>
  <c r="AU14" i="2"/>
  <c r="AU161" i="2"/>
  <c r="AU154" i="2"/>
  <c r="AU22" i="2"/>
  <c r="AU120" i="2"/>
  <c r="AU146" i="2"/>
  <c r="AU257" i="2"/>
  <c r="AU152" i="2"/>
  <c r="AU264" i="2"/>
  <c r="AU107" i="2"/>
  <c r="AU47" i="2"/>
  <c r="AU99" i="2"/>
  <c r="AU269" i="2"/>
  <c r="AU252" i="2"/>
  <c r="AU163" i="2"/>
  <c r="AU8" i="2"/>
  <c r="AU92" i="2"/>
  <c r="AU65" i="2"/>
  <c r="AU97" i="2"/>
  <c r="AV218" i="2"/>
  <c r="AX218" i="2" s="1"/>
  <c r="AV287" i="2"/>
  <c r="BC287" i="2" s="1"/>
  <c r="AD287" i="2" s="1"/>
  <c r="AV204" i="2"/>
  <c r="AW204" i="2" s="1"/>
  <c r="AU176" i="2"/>
  <c r="AU43" i="2"/>
  <c r="AU71" i="2"/>
  <c r="AV251" i="2"/>
  <c r="BD251" i="2" s="1"/>
  <c r="AU251" i="2"/>
  <c r="AU213" i="2"/>
  <c r="AV213" i="2"/>
  <c r="AX213" i="2" s="1"/>
  <c r="AU101" i="2"/>
  <c r="AV256" i="2"/>
  <c r="AU256" i="2"/>
  <c r="AV277" i="2"/>
  <c r="BD277" i="2" s="1"/>
  <c r="AU277" i="2"/>
  <c r="AV266" i="2"/>
  <c r="AU266" i="2"/>
  <c r="AU221" i="2"/>
  <c r="AV221" i="2"/>
  <c r="AX221" i="2" s="1"/>
  <c r="AU258" i="2"/>
  <c r="AU144" i="2"/>
  <c r="AU210" i="2"/>
  <c r="AU153" i="2"/>
  <c r="AU168" i="2"/>
  <c r="AU103" i="2"/>
  <c r="AU68" i="2"/>
  <c r="AV211" i="2"/>
  <c r="AX211" i="2" s="1"/>
  <c r="AV274" i="2"/>
  <c r="BD274" i="2" s="1"/>
  <c r="AU274" i="2"/>
  <c r="AU208" i="2"/>
  <c r="AV208" i="2"/>
  <c r="AW208" i="2" s="1"/>
  <c r="AU283" i="2"/>
  <c r="AV283" i="2"/>
  <c r="BB283" i="2" s="1"/>
  <c r="AD283" i="2" s="1"/>
  <c r="AU140" i="2"/>
  <c r="AV228" i="2"/>
  <c r="AU228" i="2"/>
  <c r="AV202" i="2"/>
  <c r="AW202" i="2" s="1"/>
  <c r="AU202" i="2"/>
  <c r="AU135" i="2"/>
  <c r="AU159" i="2"/>
  <c r="AU175" i="2"/>
  <c r="AU21" i="2"/>
  <c r="AU234" i="2"/>
  <c r="AV234" i="2"/>
  <c r="BC234" i="2" s="1"/>
  <c r="AV272" i="2"/>
  <c r="BD272" i="2" s="1"/>
  <c r="AU272" i="2"/>
  <c r="AV239" i="2"/>
  <c r="AU239" i="2"/>
  <c r="AV219" i="2"/>
  <c r="AX219" i="2" s="1"/>
  <c r="AU219" i="2"/>
  <c r="AV201" i="2"/>
  <c r="AW201" i="2" s="1"/>
  <c r="AU201" i="2"/>
  <c r="AV273" i="2"/>
  <c r="BD273" i="2" s="1"/>
  <c r="AV233" i="2"/>
  <c r="BC233" i="2" s="1"/>
  <c r="AU233" i="2"/>
  <c r="AV271" i="2"/>
  <c r="BD271" i="2" s="1"/>
  <c r="AU271" i="2"/>
  <c r="AU180" i="2"/>
  <c r="AV255" i="2"/>
  <c r="BD255" i="2" s="1"/>
  <c r="AU255" i="2"/>
  <c r="AU192" i="2"/>
  <c r="AU222" i="2"/>
  <c r="AV222" i="2"/>
  <c r="AX222" i="2" s="1"/>
  <c r="AU171" i="2"/>
  <c r="AU280" i="2"/>
  <c r="AV280" i="2"/>
  <c r="BD280" i="2" s="1"/>
  <c r="AU187" i="2"/>
  <c r="AU281" i="2"/>
  <c r="AV281" i="2"/>
  <c r="AV215" i="2"/>
  <c r="BB215" i="2" s="1"/>
  <c r="AU215" i="2"/>
  <c r="AU75" i="2"/>
  <c r="AU170" i="2"/>
  <c r="AU45" i="2"/>
  <c r="AU90" i="2"/>
  <c r="AU223" i="2"/>
  <c r="AU186" i="2"/>
  <c r="AU263" i="2"/>
  <c r="AV263" i="2"/>
  <c r="AW263" i="2" s="1"/>
  <c r="AV227" i="2"/>
  <c r="AU227" i="2"/>
  <c r="AU232" i="2"/>
  <c r="AV232" i="2"/>
  <c r="AU141" i="2"/>
  <c r="AU115" i="2"/>
  <c r="AU133" i="2"/>
  <c r="AU156" i="2"/>
  <c r="AU212" i="2"/>
  <c r="AV270" i="2"/>
  <c r="BD270" i="2" s="1"/>
  <c r="AU84" i="2"/>
  <c r="AU209" i="2"/>
  <c r="AV209" i="2"/>
  <c r="AX209" i="2" s="1"/>
  <c r="AU20" i="2"/>
  <c r="AV257" i="2"/>
  <c r="BD257" i="2" s="1"/>
  <c r="AU147" i="2"/>
  <c r="AU195" i="2"/>
  <c r="AV195" i="2"/>
  <c r="AX195" i="2" s="1"/>
  <c r="AU34" i="2"/>
  <c r="AU27" i="2"/>
  <c r="AU162" i="2"/>
  <c r="AV244" i="2"/>
  <c r="AU177" i="2"/>
  <c r="AU203" i="2"/>
  <c r="AU245" i="2"/>
  <c r="AU205" i="2"/>
  <c r="AU51" i="2"/>
  <c r="AU83" i="2"/>
  <c r="AU184" i="2"/>
  <c r="AU193" i="2"/>
  <c r="AU38" i="2"/>
  <c r="AU81" i="2"/>
  <c r="AU200" i="2"/>
  <c r="AV260" i="2"/>
  <c r="AV231" i="2"/>
  <c r="BC231" i="2" s="1"/>
  <c r="AU231" i="2"/>
  <c r="AU197" i="2"/>
  <c r="AV197" i="2"/>
  <c r="AY197" i="2" s="1"/>
  <c r="AU285" i="2"/>
  <c r="AV285" i="2"/>
  <c r="BB285" i="2" s="1"/>
  <c r="AD285" i="2" s="1"/>
  <c r="AV238" i="2"/>
  <c r="AW238" i="2" s="1"/>
  <c r="AU238" i="2"/>
  <c r="AU124" i="2"/>
  <c r="AU165" i="2"/>
  <c r="AU220" i="2"/>
  <c r="AV220" i="2"/>
  <c r="AX220" i="2" s="1"/>
  <c r="AU37" i="2"/>
  <c r="AV279" i="2"/>
  <c r="BD279" i="2" s="1"/>
  <c r="AU279" i="2"/>
  <c r="BK12" i="2"/>
  <c r="BK14" i="2"/>
  <c r="BK17" i="2"/>
  <c r="BK16" i="2"/>
  <c r="BK15" i="2"/>
  <c r="BM15" i="2" s="1"/>
  <c r="BK13" i="2"/>
  <c r="AU19" i="2"/>
  <c r="AU126" i="2"/>
  <c r="AU224" i="2"/>
  <c r="AV224" i="2"/>
  <c r="AX224" i="2" s="1"/>
  <c r="AU253" i="2"/>
  <c r="AV253" i="2"/>
  <c r="BA253" i="2" s="1"/>
  <c r="AV267" i="2"/>
  <c r="BD267" i="2" s="1"/>
  <c r="AU267" i="2"/>
  <c r="AU206" i="2"/>
  <c r="AV206" i="2"/>
  <c r="AW206" i="2" s="1"/>
  <c r="AV241" i="2"/>
  <c r="AU241" i="2"/>
  <c r="AV198" i="2"/>
  <c r="AY198" i="2" s="1"/>
  <c r="AU198" i="2"/>
  <c r="AV226" i="2"/>
  <c r="AU226" i="2"/>
  <c r="AV240" i="2"/>
  <c r="AU240" i="2"/>
  <c r="AU158" i="2"/>
  <c r="AU194" i="2"/>
  <c r="AU288" i="2"/>
  <c r="AU216" i="2"/>
  <c r="AV268" i="2"/>
  <c r="AU268" i="2"/>
  <c r="AU225" i="2"/>
  <c r="AV225" i="2"/>
  <c r="AX225" i="2" s="1"/>
  <c r="AV247" i="2"/>
  <c r="AW247" i="2" s="1"/>
  <c r="AU247" i="2"/>
  <c r="AU91" i="2"/>
  <c r="AU40" i="2"/>
  <c r="AV242" i="2"/>
  <c r="BC242" i="2" s="1"/>
  <c r="AU242" i="2"/>
  <c r="AU189" i="2"/>
  <c r="AU265" i="2"/>
  <c r="AV265" i="2"/>
  <c r="BD265" i="2" s="1"/>
  <c r="AU77" i="2"/>
  <c r="AU93" i="2"/>
  <c r="AU236" i="2"/>
  <c r="AV236" i="2"/>
  <c r="AU49" i="2"/>
  <c r="AU142" i="2"/>
  <c r="AU217" i="2"/>
  <c r="AV217" i="2"/>
  <c r="AU131" i="2"/>
  <c r="AU178" i="2"/>
  <c r="AV246" i="2"/>
  <c r="AW246" i="2" s="1"/>
  <c r="AU246" i="2"/>
  <c r="AV250" i="2"/>
  <c r="BD250" i="2" s="1"/>
  <c r="AU250" i="2"/>
  <c r="AU282" i="2"/>
  <c r="AV282" i="2"/>
  <c r="AU237" i="2"/>
  <c r="AV237" i="2"/>
  <c r="AW237" i="2" s="1"/>
  <c r="AU102" i="2"/>
  <c r="AU112" i="2"/>
  <c r="AU148" i="2"/>
  <c r="AU121" i="2"/>
  <c r="AU137" i="2"/>
  <c r="AY11" i="2" l="1"/>
  <c r="AW72" i="2"/>
  <c r="AY10" i="2"/>
  <c r="AD10" i="2" s="1"/>
  <c r="BB75" i="2"/>
  <c r="AD75" i="2" s="1"/>
  <c r="AW65" i="2"/>
  <c r="AX11" i="2"/>
  <c r="AW41" i="2"/>
  <c r="AW45" i="2"/>
  <c r="AW11" i="2"/>
  <c r="BA12" i="2"/>
  <c r="AZ12" i="2"/>
  <c r="BB9" i="2"/>
  <c r="AZ9" i="2"/>
  <c r="AX67" i="2"/>
  <c r="AY72" i="2"/>
  <c r="AY71" i="2"/>
  <c r="AY77" i="2"/>
  <c r="AX65" i="2"/>
  <c r="BB143" i="2"/>
  <c r="AZ143" i="2"/>
  <c r="BA42" i="2"/>
  <c r="AZ42" i="2"/>
  <c r="AZ78" i="2"/>
  <c r="AY78" i="2"/>
  <c r="AX105" i="2"/>
  <c r="BB105" i="2"/>
  <c r="AZ99" i="2"/>
  <c r="BB99" i="2"/>
  <c r="BC141" i="2"/>
  <c r="AZ141" i="2"/>
  <c r="AX148" i="2"/>
  <c r="BA148" i="2"/>
  <c r="BA83" i="2"/>
  <c r="AY83" i="2"/>
  <c r="BD88" i="2"/>
  <c r="AZ88" i="2"/>
  <c r="BC144" i="2"/>
  <c r="AZ144" i="2"/>
  <c r="BD94" i="2"/>
  <c r="AZ94" i="2"/>
  <c r="AZ120" i="2"/>
  <c r="AX120" i="2"/>
  <c r="AW154" i="2"/>
  <c r="BB154" i="2"/>
  <c r="AZ79" i="2"/>
  <c r="AY79" i="2"/>
  <c r="BC51" i="2"/>
  <c r="BB51" i="2"/>
  <c r="AY53" i="2"/>
  <c r="BB53" i="2"/>
  <c r="BA84" i="2"/>
  <c r="AZ84" i="2"/>
  <c r="AZ97" i="2"/>
  <c r="BA97" i="2"/>
  <c r="AY76" i="2"/>
  <c r="BC81" i="2"/>
  <c r="AY81" i="2"/>
  <c r="BC149" i="2"/>
  <c r="BA149" i="2"/>
  <c r="AY156" i="2"/>
  <c r="BB156" i="2"/>
  <c r="BC69" i="2"/>
  <c r="AX69" i="2"/>
  <c r="BA43" i="2"/>
  <c r="AZ43" i="2"/>
  <c r="AZ98" i="2"/>
  <c r="BB98" i="2"/>
  <c r="BD96" i="2"/>
  <c r="BA96" i="2"/>
  <c r="BB34" i="2"/>
  <c r="AZ34" i="2"/>
  <c r="BA146" i="2"/>
  <c r="AZ146" i="2"/>
  <c r="AZ100" i="2"/>
  <c r="BB100" i="2"/>
  <c r="AW9" i="2"/>
  <c r="AX64" i="2"/>
  <c r="BB32" i="2"/>
  <c r="AZ32" i="2"/>
  <c r="AY67" i="2"/>
  <c r="AZ59" i="2"/>
  <c r="AY69" i="2"/>
  <c r="AW40" i="2"/>
  <c r="AX118" i="2"/>
  <c r="BA118" i="2"/>
  <c r="AX130" i="2"/>
  <c r="AZ130" i="2"/>
  <c r="AX126" i="2"/>
  <c r="BB126" i="2"/>
  <c r="BD85" i="2"/>
  <c r="AZ85" i="2"/>
  <c r="BB27" i="2"/>
  <c r="AZ27" i="2"/>
  <c r="AX128" i="2"/>
  <c r="BB128" i="2"/>
  <c r="AW115" i="2"/>
  <c r="AZ115" i="2"/>
  <c r="AX132" i="2"/>
  <c r="BB132" i="2"/>
  <c r="AY16" i="2"/>
  <c r="AZ16" i="2"/>
  <c r="BB45" i="2"/>
  <c r="AZ45" i="2"/>
  <c r="BD90" i="2"/>
  <c r="BB90" i="2"/>
  <c r="AZ22" i="2"/>
  <c r="BB22" i="2"/>
  <c r="BD93" i="2"/>
  <c r="AZ93" i="2"/>
  <c r="AX131" i="2"/>
  <c r="AZ131" i="2"/>
  <c r="AX134" i="2"/>
  <c r="AZ134" i="2"/>
  <c r="AW30" i="2"/>
  <c r="AZ30" i="2"/>
  <c r="BD63" i="2"/>
  <c r="AZ63" i="2"/>
  <c r="BD87" i="2"/>
  <c r="AZ87" i="2"/>
  <c r="AY14" i="2"/>
  <c r="BA14" i="2"/>
  <c r="BB33" i="2"/>
  <c r="AZ33" i="2"/>
  <c r="BC150" i="2"/>
  <c r="AX150" i="2"/>
  <c r="AZ21" i="2"/>
  <c r="BB21" i="2"/>
  <c r="BB123" i="2"/>
  <c r="AZ123" i="2"/>
  <c r="BD86" i="2"/>
  <c r="BB86" i="2"/>
  <c r="BD89" i="2"/>
  <c r="AY89" i="2"/>
  <c r="BD91" i="2"/>
  <c r="BB91" i="2"/>
  <c r="BA26" i="2"/>
  <c r="AZ26" i="2"/>
  <c r="AW264" i="2"/>
  <c r="BD264" i="2"/>
  <c r="BA266" i="2"/>
  <c r="BD266" i="2"/>
  <c r="BD256" i="2"/>
  <c r="BA256" i="2"/>
  <c r="BC261" i="2"/>
  <c r="BA261" i="2"/>
  <c r="BC166" i="2"/>
  <c r="BA166" i="2"/>
  <c r="AX160" i="2"/>
  <c r="BD160" i="2"/>
  <c r="AX68" i="2"/>
  <c r="AW59" i="2"/>
  <c r="BD268" i="2"/>
  <c r="BA268" i="2"/>
  <c r="AW262" i="2"/>
  <c r="BA262" i="2"/>
  <c r="BB61" i="2"/>
  <c r="AX61" i="2"/>
  <c r="AW164" i="2"/>
  <c r="BD164" i="2"/>
  <c r="BD269" i="2"/>
  <c r="AX269" i="2"/>
  <c r="BH78" i="2"/>
  <c r="BA78" i="2"/>
  <c r="AY54" i="2"/>
  <c r="BC54" i="2"/>
  <c r="AW155" i="2"/>
  <c r="BC155" i="2"/>
  <c r="AX217" i="2"/>
  <c r="BB217" i="2"/>
  <c r="AX267" i="2"/>
  <c r="BA267" i="2"/>
  <c r="BD281" i="2"/>
  <c r="AX281" i="2"/>
  <c r="BA252" i="2"/>
  <c r="AX252" i="2"/>
  <c r="AX124" i="2"/>
  <c r="BB124" i="2"/>
  <c r="AW57" i="2"/>
  <c r="BC57" i="2"/>
  <c r="AX216" i="2"/>
  <c r="BB216" i="2"/>
  <c r="AX175" i="2"/>
  <c r="BA175" i="2"/>
  <c r="AW152" i="2"/>
  <c r="BC152" i="2"/>
  <c r="BA60" i="2"/>
  <c r="BC60" i="2"/>
  <c r="BD282" i="2"/>
  <c r="AX282" i="2"/>
  <c r="AW244" i="2"/>
  <c r="BC244" i="2"/>
  <c r="AX191" i="2"/>
  <c r="AZ191" i="2"/>
  <c r="AX143" i="2"/>
  <c r="BC143" i="2"/>
  <c r="AX125" i="2"/>
  <c r="BB125" i="2"/>
  <c r="AY63" i="2"/>
  <c r="BC78" i="2"/>
  <c r="AX250" i="2"/>
  <c r="AZ250" i="2"/>
  <c r="AW159" i="2"/>
  <c r="AZ159" i="2"/>
  <c r="BA168" i="2"/>
  <c r="BC168" i="2"/>
  <c r="AX186" i="2"/>
  <c r="BD186" i="2"/>
  <c r="BA82" i="2"/>
  <c r="BC82" i="2"/>
  <c r="AZ189" i="2"/>
  <c r="BD189" i="2"/>
  <c r="AW95" i="2"/>
  <c r="BD95" i="2"/>
  <c r="AW161" i="2"/>
  <c r="BA161" i="2"/>
  <c r="AW170" i="2"/>
  <c r="BC170" i="2"/>
  <c r="AX188" i="2"/>
  <c r="BD188" i="2"/>
  <c r="AX187" i="2"/>
  <c r="BD187" i="2"/>
  <c r="AW257" i="2"/>
  <c r="BC257" i="2"/>
  <c r="AW258" i="2"/>
  <c r="BC258" i="2"/>
  <c r="AW172" i="2"/>
  <c r="BC172" i="2"/>
  <c r="AW251" i="2"/>
  <c r="AZ251" i="2"/>
  <c r="AW80" i="2"/>
  <c r="BC80" i="2"/>
  <c r="BD162" i="2"/>
  <c r="BA162" i="2"/>
  <c r="BA260" i="2"/>
  <c r="BC260" i="2"/>
  <c r="AW83" i="2"/>
  <c r="BC83" i="2"/>
  <c r="AW171" i="2"/>
  <c r="BC171" i="2"/>
  <c r="BD254" i="2"/>
  <c r="BA254" i="2"/>
  <c r="AW79" i="2"/>
  <c r="BC79" i="2"/>
  <c r="BR8" i="2"/>
  <c r="BC48" i="2"/>
  <c r="BM16" i="2"/>
  <c r="BN8" i="2" s="1"/>
  <c r="BM17" i="2"/>
  <c r="BN9" i="2" s="1"/>
  <c r="BC56" i="2"/>
  <c r="BB31" i="2"/>
  <c r="BC58" i="2"/>
  <c r="BN7" i="2"/>
  <c r="BM14" i="2"/>
  <c r="BM9" i="2" s="1"/>
  <c r="BM13" i="2"/>
  <c r="BM8" i="2" s="1"/>
  <c r="BC50" i="2"/>
  <c r="BC47" i="2"/>
  <c r="BC49" i="2"/>
  <c r="BC61" i="2"/>
  <c r="BC52" i="2"/>
  <c r="BM12" i="2"/>
  <c r="BM7" i="2" s="1"/>
  <c r="BC46" i="2"/>
  <c r="BB30" i="2"/>
  <c r="AW259" i="2"/>
  <c r="BC259" i="2"/>
  <c r="AW174" i="2"/>
  <c r="BA174" i="2"/>
  <c r="AW167" i="2"/>
  <c r="BC167" i="2"/>
  <c r="BB147" i="2"/>
  <c r="BC147" i="2"/>
  <c r="BB239" i="2"/>
  <c r="BC239" i="2"/>
  <c r="AW173" i="2"/>
  <c r="BA173" i="2"/>
  <c r="BC84" i="2"/>
  <c r="BD84" i="2"/>
  <c r="AZ81" i="2"/>
  <c r="BA81" i="2"/>
  <c r="AZ92" i="2"/>
  <c r="BD92" i="2"/>
  <c r="AZ265" i="2"/>
  <c r="BA265" i="2"/>
  <c r="BB281" i="2"/>
  <c r="AZ281" i="2"/>
  <c r="AW252" i="2"/>
  <c r="BC252" i="2"/>
  <c r="BC55" i="2"/>
  <c r="AW177" i="2"/>
  <c r="BD177" i="2"/>
  <c r="AW253" i="2"/>
  <c r="BC253" i="2"/>
  <c r="BB240" i="2"/>
  <c r="BC240" i="2"/>
  <c r="AX190" i="2"/>
  <c r="AZ190" i="2"/>
  <c r="BB282" i="2"/>
  <c r="AZ282" i="2"/>
  <c r="AW183" i="2"/>
  <c r="BD183" i="2"/>
  <c r="AW178" i="2"/>
  <c r="BD178" i="2"/>
  <c r="BA278" i="2"/>
  <c r="AX278" i="2"/>
  <c r="AX141" i="2"/>
  <c r="BB141" i="2"/>
  <c r="AY150" i="2"/>
  <c r="BB150" i="2"/>
  <c r="AX215" i="2"/>
  <c r="BA215" i="2"/>
  <c r="AW163" i="2"/>
  <c r="BC163" i="2"/>
  <c r="AX144" i="2"/>
  <c r="BB144" i="2"/>
  <c r="AW242" i="2"/>
  <c r="BB242" i="2"/>
  <c r="AX122" i="2"/>
  <c r="BA122" i="2"/>
  <c r="AX234" i="2"/>
  <c r="BB234" i="2"/>
  <c r="BA279" i="2"/>
  <c r="AX279" i="2"/>
  <c r="AX231" i="2"/>
  <c r="BB231" i="2"/>
  <c r="BA280" i="2"/>
  <c r="AX280" i="2"/>
  <c r="AX233" i="2"/>
  <c r="BB233" i="2"/>
  <c r="AW153" i="2"/>
  <c r="BB153" i="2"/>
  <c r="AW162" i="2"/>
  <c r="BC162" i="2"/>
  <c r="AW260" i="2"/>
  <c r="AZ260" i="2"/>
  <c r="AX123" i="2"/>
  <c r="BA123" i="2"/>
  <c r="AX214" i="2"/>
  <c r="BA214" i="2"/>
  <c r="AW245" i="2"/>
  <c r="BB245" i="2"/>
  <c r="AW254" i="2"/>
  <c r="BC254" i="2"/>
  <c r="BA277" i="2"/>
  <c r="BC277" i="2"/>
  <c r="AW168" i="2"/>
  <c r="AZ168" i="2"/>
  <c r="AW78" i="2"/>
  <c r="AY61" i="2"/>
  <c r="BC92" i="2"/>
  <c r="BB81" i="2"/>
  <c r="BB78" i="2"/>
  <c r="AY55" i="2"/>
  <c r="AY57" i="2"/>
  <c r="BB84" i="2"/>
  <c r="AY56" i="2"/>
  <c r="AY58" i="2"/>
  <c r="AX59" i="2"/>
  <c r="BB55" i="2"/>
  <c r="BB56" i="2"/>
  <c r="AW63" i="2"/>
  <c r="AY60" i="2"/>
  <c r="AW47" i="2"/>
  <c r="BF78" i="2"/>
  <c r="BE78" i="2"/>
  <c r="BG78" i="2"/>
  <c r="BD78" i="2"/>
  <c r="AX97" i="2"/>
  <c r="BH97" i="2"/>
  <c r="BF97" i="2"/>
  <c r="BG97" i="2"/>
  <c r="BD97" i="2"/>
  <c r="BC97" i="2"/>
  <c r="BE97" i="2"/>
  <c r="AX98" i="2"/>
  <c r="BF98" i="2"/>
  <c r="BD98" i="2"/>
  <c r="BG98" i="2"/>
  <c r="BH98" i="2"/>
  <c r="BE98" i="2"/>
  <c r="AX106" i="2"/>
  <c r="BG106" i="2"/>
  <c r="BE106" i="2"/>
  <c r="BC106" i="2"/>
  <c r="BD106" i="2"/>
  <c r="BF106" i="2"/>
  <c r="BH106" i="2"/>
  <c r="AY109" i="2"/>
  <c r="BC109" i="2"/>
  <c r="BG109" i="2"/>
  <c r="BD109" i="2"/>
  <c r="BH109" i="2"/>
  <c r="BE109" i="2"/>
  <c r="BF109" i="2"/>
  <c r="AW82" i="2"/>
  <c r="AX82" i="2"/>
  <c r="AW77" i="2"/>
  <c r="BF77" i="2"/>
  <c r="BC77" i="2"/>
  <c r="BD77" i="2"/>
  <c r="BG77" i="2"/>
  <c r="BE77" i="2"/>
  <c r="BH77" i="2"/>
  <c r="AW68" i="2"/>
  <c r="BG68" i="2"/>
  <c r="BF68" i="2"/>
  <c r="BD68" i="2"/>
  <c r="BE68" i="2"/>
  <c r="BH68" i="2"/>
  <c r="BG28" i="2"/>
  <c r="BD28" i="2"/>
  <c r="BE28" i="2"/>
  <c r="BF28" i="2"/>
  <c r="BC28" i="2"/>
  <c r="BH28" i="2"/>
  <c r="AW61" i="2"/>
  <c r="BG61" i="2"/>
  <c r="BE61" i="2"/>
  <c r="BF61" i="2"/>
  <c r="BD61" i="2"/>
  <c r="BH61" i="2"/>
  <c r="AW81" i="2"/>
  <c r="AX81" i="2"/>
  <c r="AW88" i="2"/>
  <c r="AY88" i="2"/>
  <c r="AW74" i="2"/>
  <c r="BF74" i="2"/>
  <c r="BH74" i="2"/>
  <c r="BC74" i="2"/>
  <c r="BD74" i="2"/>
  <c r="BG74" i="2"/>
  <c r="BE74" i="2"/>
  <c r="BH31" i="2"/>
  <c r="BD31" i="2"/>
  <c r="BG31" i="2"/>
  <c r="BE31" i="2"/>
  <c r="BC31" i="2"/>
  <c r="BF31" i="2"/>
  <c r="BG32" i="2"/>
  <c r="BC32" i="2"/>
  <c r="BE32" i="2"/>
  <c r="BH32" i="2"/>
  <c r="BF32" i="2"/>
  <c r="BD32" i="2"/>
  <c r="AZ36" i="2"/>
  <c r="BG36" i="2"/>
  <c r="BH36" i="2"/>
  <c r="BC36" i="2"/>
  <c r="BF36" i="2"/>
  <c r="BE36" i="2"/>
  <c r="BD36" i="2"/>
  <c r="BF62" i="2"/>
  <c r="BE62" i="2"/>
  <c r="BG62" i="2"/>
  <c r="BD62" i="2"/>
  <c r="BC62" i="2"/>
  <c r="BH62" i="2"/>
  <c r="AW64" i="2"/>
  <c r="BD64" i="2"/>
  <c r="BF64" i="2"/>
  <c r="BC64" i="2"/>
  <c r="BH64" i="2"/>
  <c r="BG64" i="2"/>
  <c r="BE64" i="2"/>
  <c r="AW84" i="2"/>
  <c r="AX84" i="2"/>
  <c r="BD102" i="2"/>
  <c r="BC102" i="2"/>
  <c r="BG102" i="2"/>
  <c r="BF102" i="2"/>
  <c r="BE102" i="2"/>
  <c r="BH102" i="2"/>
  <c r="AW69" i="2"/>
  <c r="BG69" i="2"/>
  <c r="BD69" i="2"/>
  <c r="BH69" i="2"/>
  <c r="BE69" i="2"/>
  <c r="BF69" i="2"/>
  <c r="AW76" i="2"/>
  <c r="BH76" i="2"/>
  <c r="BC76" i="2"/>
  <c r="BF76" i="2"/>
  <c r="BG76" i="2"/>
  <c r="BD76" i="2"/>
  <c r="BE76" i="2"/>
  <c r="AW91" i="2"/>
  <c r="AZ91" i="2"/>
  <c r="BA30" i="2"/>
  <c r="BC30" i="2"/>
  <c r="BE30" i="2"/>
  <c r="BF30" i="2"/>
  <c r="BD30" i="2"/>
  <c r="BH30" i="2"/>
  <c r="BG30" i="2"/>
  <c r="BG39" i="2"/>
  <c r="BF39" i="2"/>
  <c r="BD39" i="2"/>
  <c r="BE39" i="2"/>
  <c r="BH39" i="2"/>
  <c r="BC39" i="2"/>
  <c r="AW26" i="2"/>
  <c r="BD26" i="2"/>
  <c r="BC26" i="2"/>
  <c r="BH26" i="2"/>
  <c r="BF26" i="2"/>
  <c r="BG26" i="2"/>
  <c r="BE26" i="2"/>
  <c r="BE63" i="2"/>
  <c r="AY104" i="2"/>
  <c r="BD104" i="2"/>
  <c r="BH104" i="2"/>
  <c r="BE104" i="2"/>
  <c r="BC104" i="2"/>
  <c r="BG104" i="2"/>
  <c r="BF104" i="2"/>
  <c r="AX99" i="2"/>
  <c r="BG99" i="2"/>
  <c r="BF99" i="2"/>
  <c r="BE99" i="2"/>
  <c r="BH99" i="2"/>
  <c r="BD99" i="2"/>
  <c r="AW66" i="2"/>
  <c r="BC66" i="2"/>
  <c r="BG66" i="2"/>
  <c r="BH66" i="2"/>
  <c r="BE66" i="2"/>
  <c r="BF66" i="2"/>
  <c r="BD66" i="2"/>
  <c r="BH41" i="2"/>
  <c r="BC41" i="2"/>
  <c r="BD41" i="2"/>
  <c r="BG41" i="2"/>
  <c r="BE41" i="2"/>
  <c r="BF41" i="2"/>
  <c r="BF63" i="2"/>
  <c r="AY103" i="2"/>
  <c r="BC103" i="2"/>
  <c r="BD103" i="2"/>
  <c r="BE103" i="2"/>
  <c r="BF103" i="2"/>
  <c r="BH103" i="2"/>
  <c r="BG103" i="2"/>
  <c r="BH101" i="2"/>
  <c r="BG101" i="2"/>
  <c r="BC101" i="2"/>
  <c r="BE101" i="2"/>
  <c r="BD101" i="2"/>
  <c r="AW112" i="2"/>
  <c r="BD112" i="2"/>
  <c r="BC112" i="2"/>
  <c r="BH112" i="2"/>
  <c r="BF112" i="2"/>
  <c r="BG112" i="2"/>
  <c r="BE112" i="2"/>
  <c r="BC111" i="2"/>
  <c r="BE111" i="2"/>
  <c r="BG111" i="2"/>
  <c r="BD111" i="2"/>
  <c r="BF111" i="2"/>
  <c r="BH111" i="2"/>
  <c r="BC108" i="2"/>
  <c r="BH108" i="2"/>
  <c r="BF108" i="2"/>
  <c r="BE108" i="2"/>
  <c r="BD108" i="2"/>
  <c r="BG108" i="2"/>
  <c r="AW85" i="2"/>
  <c r="AX85" i="2"/>
  <c r="AW70" i="2"/>
  <c r="BH70" i="2"/>
  <c r="BF70" i="2"/>
  <c r="BG70" i="2"/>
  <c r="BD70" i="2"/>
  <c r="AW90" i="2"/>
  <c r="AZ90" i="2"/>
  <c r="AW27" i="2"/>
  <c r="BG27" i="2"/>
  <c r="BE27" i="2"/>
  <c r="BF27" i="2"/>
  <c r="BC27" i="2"/>
  <c r="BD27" i="2"/>
  <c r="BH27" i="2"/>
  <c r="BA40" i="2"/>
  <c r="BC40" i="2"/>
  <c r="BD40" i="2"/>
  <c r="BE40" i="2"/>
  <c r="BH40" i="2"/>
  <c r="BF40" i="2"/>
  <c r="BG40" i="2"/>
  <c r="BH63" i="2"/>
  <c r="AW86" i="2"/>
  <c r="AX86" i="2"/>
  <c r="AW93" i="2"/>
  <c r="BA93" i="2"/>
  <c r="BD29" i="2"/>
  <c r="BE29" i="2"/>
  <c r="BC29" i="2"/>
  <c r="BF29" i="2"/>
  <c r="BG29" i="2"/>
  <c r="BH29" i="2"/>
  <c r="BG37" i="2"/>
  <c r="BD37" i="2"/>
  <c r="BF37" i="2"/>
  <c r="BE37" i="2"/>
  <c r="BC37" i="2"/>
  <c r="BH37" i="2"/>
  <c r="BF38" i="2"/>
  <c r="BG38" i="2"/>
  <c r="BE38" i="2"/>
  <c r="BD38" i="2"/>
  <c r="BC38" i="2"/>
  <c r="BH38" i="2"/>
  <c r="BG63" i="2"/>
  <c r="AY107" i="2"/>
  <c r="BD107" i="2"/>
  <c r="BH107" i="2"/>
  <c r="BC107" i="2"/>
  <c r="BF107" i="2"/>
  <c r="BE107" i="2"/>
  <c r="BG107" i="2"/>
  <c r="AW110" i="2"/>
  <c r="BG110" i="2"/>
  <c r="BH110" i="2"/>
  <c r="BD110" i="2"/>
  <c r="BE110" i="2"/>
  <c r="BC110" i="2"/>
  <c r="BF110" i="2"/>
  <c r="AX100" i="2"/>
  <c r="BE100" i="2"/>
  <c r="BF100" i="2"/>
  <c r="BH100" i="2"/>
  <c r="BG100" i="2"/>
  <c r="AW94" i="2"/>
  <c r="BA94" i="2"/>
  <c r="AW89" i="2"/>
  <c r="AZ89" i="2"/>
  <c r="AW71" i="2"/>
  <c r="BH71" i="2"/>
  <c r="BF71" i="2"/>
  <c r="BD71" i="2"/>
  <c r="BG71" i="2"/>
  <c r="BB42" i="2"/>
  <c r="BC42" i="2"/>
  <c r="BF42" i="2"/>
  <c r="BD42" i="2"/>
  <c r="BE42" i="2"/>
  <c r="BH42" i="2"/>
  <c r="BG42" i="2"/>
  <c r="BC63" i="2"/>
  <c r="AW113" i="2"/>
  <c r="BG113" i="2"/>
  <c r="BD113" i="2"/>
  <c r="BC113" i="2"/>
  <c r="BH113" i="2"/>
  <c r="BE113" i="2"/>
  <c r="BF113" i="2"/>
  <c r="BD114" i="2"/>
  <c r="BC114" i="2"/>
  <c r="BG114" i="2"/>
  <c r="BE114" i="2"/>
  <c r="BF114" i="2"/>
  <c r="BH114" i="2"/>
  <c r="BC105" i="2"/>
  <c r="BH105" i="2"/>
  <c r="BG105" i="2"/>
  <c r="BF105" i="2"/>
  <c r="BD105" i="2"/>
  <c r="BE105" i="2"/>
  <c r="BC68" i="2"/>
  <c r="AW67" i="2"/>
  <c r="BD67" i="2"/>
  <c r="BG67" i="2"/>
  <c r="BF67" i="2"/>
  <c r="BE67" i="2"/>
  <c r="BH67" i="2"/>
  <c r="AW73" i="2"/>
  <c r="BH73" i="2"/>
  <c r="BC73" i="2"/>
  <c r="BD73" i="2"/>
  <c r="BF73" i="2"/>
  <c r="BG73" i="2"/>
  <c r="BE73" i="2"/>
  <c r="AW87" i="2"/>
  <c r="AY87" i="2"/>
  <c r="AZ35" i="2"/>
  <c r="BD35" i="2"/>
  <c r="BF35" i="2"/>
  <c r="BH35" i="2"/>
  <c r="BE35" i="2"/>
  <c r="BC35" i="2"/>
  <c r="BG35" i="2"/>
  <c r="BF33" i="2"/>
  <c r="BH33" i="2"/>
  <c r="BE33" i="2"/>
  <c r="BG33" i="2"/>
  <c r="BD33" i="2"/>
  <c r="BC33" i="2"/>
  <c r="AX34" i="2"/>
  <c r="BC34" i="2"/>
  <c r="BD34" i="2"/>
  <c r="BE34" i="2"/>
  <c r="BG34" i="2"/>
  <c r="BF34" i="2"/>
  <c r="BH34" i="2"/>
  <c r="AW62" i="2"/>
  <c r="BB62" i="2"/>
  <c r="BA39" i="2"/>
  <c r="AZ39" i="2"/>
  <c r="BA57" i="2"/>
  <c r="AZ57" i="2"/>
  <c r="BB41" i="2"/>
  <c r="BA41" i="2"/>
  <c r="AW44" i="2"/>
  <c r="BD44" i="2"/>
  <c r="BC44" i="2"/>
  <c r="BG44" i="2"/>
  <c r="BF44" i="2"/>
  <c r="BH44" i="2"/>
  <c r="BE44" i="2"/>
  <c r="AW43" i="2"/>
  <c r="BB43" i="2"/>
  <c r="AY52" i="2"/>
  <c r="AX52" i="2"/>
  <c r="BA58" i="2"/>
  <c r="AZ58" i="2"/>
  <c r="AW25" i="2"/>
  <c r="BC25" i="2"/>
  <c r="BD25" i="2"/>
  <c r="BF25" i="2"/>
  <c r="BE25" i="2"/>
  <c r="BH25" i="2"/>
  <c r="BG25" i="2"/>
  <c r="BB59" i="2"/>
  <c r="BA59" i="2"/>
  <c r="AY34" i="2"/>
  <c r="AW21" i="2"/>
  <c r="BA21" i="2"/>
  <c r="AW22" i="2"/>
  <c r="BA22" i="2"/>
  <c r="AW23" i="2"/>
  <c r="BB23" i="2"/>
  <c r="AY17" i="2"/>
  <c r="AZ17" i="2"/>
  <c r="AY20" i="2"/>
  <c r="AZ20" i="2"/>
  <c r="AW24" i="2"/>
  <c r="BB24" i="2"/>
  <c r="AX53" i="2"/>
  <c r="AZ53" i="2"/>
  <c r="AW60" i="2"/>
  <c r="BB60" i="2"/>
  <c r="AY19" i="2"/>
  <c r="AZ19" i="2"/>
  <c r="AX37" i="2"/>
  <c r="AZ37" i="2"/>
  <c r="AX38" i="2"/>
  <c r="AZ38" i="2"/>
  <c r="AY18" i="2"/>
  <c r="AZ18" i="2"/>
  <c r="AX54" i="2"/>
  <c r="AZ54" i="2"/>
  <c r="AY22" i="2"/>
  <c r="AY38" i="2"/>
  <c r="AY23" i="2"/>
  <c r="AY37" i="2"/>
  <c r="BA102" i="2"/>
  <c r="AX102" i="2"/>
  <c r="AY194" i="2"/>
  <c r="AX194" i="2"/>
  <c r="BA192" i="2"/>
  <c r="AX192" i="2"/>
  <c r="BF101" i="2"/>
  <c r="AX101" i="2"/>
  <c r="AY189" i="2"/>
  <c r="AX189" i="2"/>
  <c r="AX18" i="2"/>
  <c r="AX13" i="2"/>
  <c r="AX12" i="2"/>
  <c r="AX24" i="2"/>
  <c r="AW37" i="2"/>
  <c r="AX26" i="2"/>
  <c r="AX19" i="2"/>
  <c r="AX14" i="2"/>
  <c r="AX15" i="2"/>
  <c r="AY49" i="2"/>
  <c r="AX49" i="2"/>
  <c r="AX27" i="2"/>
  <c r="AY42" i="2"/>
  <c r="AX42" i="2"/>
  <c r="AY43" i="2"/>
  <c r="AX43" i="2"/>
  <c r="AY45" i="2"/>
  <c r="AX45" i="2"/>
  <c r="AY35" i="2"/>
  <c r="AX35" i="2"/>
  <c r="AY33" i="2"/>
  <c r="AX33" i="2"/>
  <c r="AY51" i="2"/>
  <c r="AX51" i="2"/>
  <c r="AX17" i="2"/>
  <c r="AX25" i="2"/>
  <c r="AW38" i="2"/>
  <c r="AY50" i="2"/>
  <c r="AX50" i="2"/>
  <c r="AY31" i="2"/>
  <c r="AX31" i="2"/>
  <c r="AY32" i="2"/>
  <c r="AX32" i="2"/>
  <c r="AY36" i="2"/>
  <c r="AX36" i="2"/>
  <c r="AY30" i="2"/>
  <c r="AX30" i="2"/>
  <c r="AY39" i="2"/>
  <c r="AX39" i="2"/>
  <c r="AY47" i="2"/>
  <c r="AX47" i="2"/>
  <c r="AY46" i="2"/>
  <c r="AX46" i="2"/>
  <c r="AY41" i="2"/>
  <c r="AX41" i="2"/>
  <c r="AY48" i="2"/>
  <c r="AX48" i="2"/>
  <c r="AY28" i="2"/>
  <c r="AX28" i="2"/>
  <c r="AY44" i="2"/>
  <c r="AX44" i="2"/>
  <c r="AY40" i="2"/>
  <c r="AX40" i="2"/>
  <c r="AY29" i="2"/>
  <c r="AX29" i="2"/>
  <c r="AX22" i="2"/>
  <c r="AY25" i="2"/>
  <c r="AY24" i="2"/>
  <c r="AY26" i="2"/>
  <c r="AX23" i="2"/>
  <c r="AY27" i="2"/>
  <c r="BV13" i="2"/>
  <c r="BU12" i="2"/>
  <c r="R23" i="2"/>
  <c r="R56" i="2" s="1"/>
  <c r="Q24" i="2"/>
  <c r="Q56" i="2"/>
  <c r="S23" i="2"/>
  <c r="S45" i="2" s="1"/>
  <c r="S67" i="2" s="1"/>
  <c r="S34" i="2"/>
  <c r="S56" i="2" s="1"/>
  <c r="S78" i="2" s="1"/>
  <c r="Q45" i="2"/>
  <c r="Q78" i="2" s="1"/>
  <c r="R45" i="2"/>
  <c r="R78" i="2" s="1"/>
  <c r="T78" i="2"/>
  <c r="T46" i="2"/>
  <c r="S114" i="2"/>
  <c r="S93" i="2"/>
  <c r="S113" i="2" s="1"/>
  <c r="S94" i="2"/>
  <c r="T66" i="2"/>
  <c r="T34" i="2"/>
  <c r="R34" i="2" s="1"/>
  <c r="R67" i="2" s="1"/>
  <c r="AX66" i="2"/>
  <c r="BB79" i="2"/>
  <c r="AZ68" i="2"/>
  <c r="BB74" i="2"/>
  <c r="AZ67" i="2"/>
  <c r="AX21" i="2"/>
  <c r="BB80" i="2"/>
  <c r="BC94" i="2"/>
  <c r="AX20" i="2"/>
  <c r="BB77" i="2"/>
  <c r="AZ66" i="2"/>
  <c r="BA69" i="2"/>
  <c r="BB71" i="2"/>
  <c r="BB83" i="2"/>
  <c r="BC95" i="2"/>
  <c r="BB73" i="2"/>
  <c r="BB76" i="2"/>
  <c r="BB82" i="2"/>
  <c r="BA70" i="2"/>
  <c r="AY12" i="2"/>
  <c r="AY21" i="2"/>
  <c r="AX94" i="2"/>
  <c r="AZ76" i="2"/>
  <c r="BB67" i="2"/>
  <c r="AX95" i="2"/>
  <c r="BC70" i="2"/>
  <c r="BC87" i="2"/>
  <c r="BC88" i="2"/>
  <c r="BB68" i="2"/>
  <c r="BC93" i="2"/>
  <c r="AX83" i="2"/>
  <c r="BC86" i="2"/>
  <c r="BB69" i="2"/>
  <c r="BC71" i="2"/>
  <c r="BC85" i="2"/>
  <c r="BC90" i="2"/>
  <c r="BC89" i="2"/>
  <c r="AZ82" i="2"/>
  <c r="BC91" i="2"/>
  <c r="Y7" i="2"/>
  <c r="AW14" i="2"/>
  <c r="AX16" i="2"/>
  <c r="AW20" i="2"/>
  <c r="AW15" i="2"/>
  <c r="AW19" i="2"/>
  <c r="AW17" i="2"/>
  <c r="AW12" i="2"/>
  <c r="AW13" i="2"/>
  <c r="AW16" i="2"/>
  <c r="AW18" i="2"/>
  <c r="AW180" i="2"/>
  <c r="AX180" i="2"/>
  <c r="AY123" i="2"/>
  <c r="AW123" i="2"/>
  <c r="BC232" i="2"/>
  <c r="AW232" i="2"/>
  <c r="AY219" i="2"/>
  <c r="AW219" i="2"/>
  <c r="AY218" i="2"/>
  <c r="AW218" i="2"/>
  <c r="BC145" i="2"/>
  <c r="AW145" i="2"/>
  <c r="AY130" i="2"/>
  <c r="AW130" i="2"/>
  <c r="BC136" i="2"/>
  <c r="AW136" i="2"/>
  <c r="AY118" i="2"/>
  <c r="AW118" i="2"/>
  <c r="BC137" i="2"/>
  <c r="AW137" i="2"/>
  <c r="BE179" i="2"/>
  <c r="AW179" i="2"/>
  <c r="AZ256" i="2"/>
  <c r="AW256" i="2"/>
  <c r="BE269" i="2"/>
  <c r="AW269" i="2"/>
  <c r="AY119" i="2"/>
  <c r="AW119" i="2"/>
  <c r="BC142" i="2"/>
  <c r="AW142" i="2"/>
  <c r="AY126" i="2"/>
  <c r="AW126" i="2"/>
  <c r="AY111" i="2"/>
  <c r="AW111" i="2"/>
  <c r="AY215" i="2"/>
  <c r="AW215" i="2"/>
  <c r="AY217" i="2"/>
  <c r="AW217" i="2"/>
  <c r="BC228" i="2"/>
  <c r="AW228" i="2"/>
  <c r="AY128" i="2"/>
  <c r="AW128" i="2"/>
  <c r="BC140" i="2"/>
  <c r="AW140" i="2"/>
  <c r="BC148" i="2"/>
  <c r="AW148" i="2"/>
  <c r="BC229" i="2"/>
  <c r="AW229" i="2"/>
  <c r="BC165" i="2"/>
  <c r="AW165" i="2"/>
  <c r="BE267" i="2"/>
  <c r="AW267" i="2"/>
  <c r="BC255" i="2"/>
  <c r="AW255" i="2"/>
  <c r="AX239" i="2"/>
  <c r="AW239" i="2"/>
  <c r="AY209" i="2"/>
  <c r="AW209" i="2"/>
  <c r="BC227" i="2"/>
  <c r="AW227" i="2"/>
  <c r="AY213" i="2"/>
  <c r="AW213" i="2"/>
  <c r="AZ261" i="2"/>
  <c r="AW261" i="2"/>
  <c r="AX276" i="2"/>
  <c r="AW276" i="2"/>
  <c r="BC139" i="2"/>
  <c r="AW139" i="2"/>
  <c r="AY132" i="2"/>
  <c r="AW132" i="2"/>
  <c r="BE272" i="2"/>
  <c r="AW272" i="2"/>
  <c r="AX275" i="2"/>
  <c r="AW275" i="2"/>
  <c r="BB120" i="2"/>
  <c r="AW120" i="2"/>
  <c r="AY141" i="2"/>
  <c r="AW141" i="2"/>
  <c r="BE271" i="2"/>
  <c r="AW271" i="2"/>
  <c r="AY216" i="2"/>
  <c r="AW216" i="2"/>
  <c r="AY122" i="2"/>
  <c r="AW122" i="2"/>
  <c r="AX184" i="2"/>
  <c r="AW184" i="2"/>
  <c r="BC248" i="2"/>
  <c r="AW248" i="2"/>
  <c r="AY224" i="2"/>
  <c r="AW224" i="2"/>
  <c r="AY231" i="2"/>
  <c r="AW231" i="2"/>
  <c r="AY234" i="2"/>
  <c r="AW234" i="2"/>
  <c r="AY223" i="2"/>
  <c r="AW223" i="2"/>
  <c r="BB210" i="2"/>
  <c r="AW210" i="2"/>
  <c r="BC235" i="2"/>
  <c r="AW235" i="2"/>
  <c r="BC236" i="2"/>
  <c r="AW236" i="2"/>
  <c r="BC226" i="2"/>
  <c r="AW226" i="2"/>
  <c r="AY220" i="2"/>
  <c r="AW220" i="2"/>
  <c r="BE270" i="2"/>
  <c r="AW270" i="2"/>
  <c r="AY221" i="2"/>
  <c r="AW221" i="2"/>
  <c r="AY212" i="2"/>
  <c r="AW212" i="2"/>
  <c r="AZ166" i="2"/>
  <c r="AW166" i="2"/>
  <c r="BE160" i="2"/>
  <c r="AW160" i="2"/>
  <c r="BB121" i="2"/>
  <c r="AW121" i="2"/>
  <c r="AY144" i="2"/>
  <c r="AW144" i="2"/>
  <c r="AY131" i="2"/>
  <c r="AW131" i="2"/>
  <c r="AY124" i="2"/>
  <c r="AW124" i="2"/>
  <c r="AZ156" i="2"/>
  <c r="AW156" i="2"/>
  <c r="AY233" i="2"/>
  <c r="AW233" i="2"/>
  <c r="BE176" i="2"/>
  <c r="AW176" i="2"/>
  <c r="BE182" i="2"/>
  <c r="AW182" i="2"/>
  <c r="BC138" i="2"/>
  <c r="AW138" i="2"/>
  <c r="AY225" i="2"/>
  <c r="AW225" i="2"/>
  <c r="BE175" i="2"/>
  <c r="AW175" i="2"/>
  <c r="AY134" i="2"/>
  <c r="AW134" i="2"/>
  <c r="AY114" i="2"/>
  <c r="AW114" i="2"/>
  <c r="BE273" i="2"/>
  <c r="AW273" i="2"/>
  <c r="AY127" i="2"/>
  <c r="AW127" i="2"/>
  <c r="BE250" i="2"/>
  <c r="AW250" i="2"/>
  <c r="AX274" i="2"/>
  <c r="AW274" i="2"/>
  <c r="BE266" i="2"/>
  <c r="AW266" i="2"/>
  <c r="AY214" i="2"/>
  <c r="AW214" i="2"/>
  <c r="BE181" i="2"/>
  <c r="AW181" i="2"/>
  <c r="AY129" i="2"/>
  <c r="AW129" i="2"/>
  <c r="AY133" i="2"/>
  <c r="AW133" i="2"/>
  <c r="BC146" i="2"/>
  <c r="AW146" i="2"/>
  <c r="AY135" i="2"/>
  <c r="AW135" i="2"/>
  <c r="BE265" i="2"/>
  <c r="AW265" i="2"/>
  <c r="BE268" i="2"/>
  <c r="AW268" i="2"/>
  <c r="BC241" i="2"/>
  <c r="AW241" i="2"/>
  <c r="AY222" i="2"/>
  <c r="AW222" i="2"/>
  <c r="BB211" i="2"/>
  <c r="AW211" i="2"/>
  <c r="BC230" i="2"/>
  <c r="AW230" i="2"/>
  <c r="BC151" i="2"/>
  <c r="AW151" i="2"/>
  <c r="AY143" i="2"/>
  <c r="AW143" i="2"/>
  <c r="AX149" i="2"/>
  <c r="AW149" i="2"/>
  <c r="AY125" i="2"/>
  <c r="AW125" i="2"/>
  <c r="AZ158" i="2"/>
  <c r="BC158" i="2"/>
  <c r="AY191" i="2"/>
  <c r="BF191" i="2"/>
  <c r="BC180" i="2"/>
  <c r="BE180" i="2"/>
  <c r="BB238" i="2"/>
  <c r="BC238" i="2"/>
  <c r="AY100" i="2"/>
  <c r="BD100" i="2"/>
  <c r="BA249" i="2"/>
  <c r="BC249" i="2"/>
  <c r="BB174" i="2"/>
  <c r="BE174" i="2"/>
  <c r="AY190" i="2"/>
  <c r="BD190" i="2"/>
  <c r="BC161" i="2"/>
  <c r="BE161" i="2"/>
  <c r="BA159" i="2"/>
  <c r="BC159" i="2"/>
  <c r="BC177" i="2"/>
  <c r="BE177" i="2"/>
  <c r="AZ247" i="2"/>
  <c r="BC247" i="2"/>
  <c r="BC251" i="2"/>
  <c r="BE251" i="2"/>
  <c r="BB264" i="2"/>
  <c r="BE264" i="2"/>
  <c r="AZ157" i="2"/>
  <c r="BC157" i="2"/>
  <c r="BC183" i="2"/>
  <c r="BE183" i="2"/>
  <c r="BC178" i="2"/>
  <c r="BE178" i="2"/>
  <c r="AX156" i="2"/>
  <c r="AX111" i="2"/>
  <c r="AX114" i="2"/>
  <c r="AY117" i="2"/>
  <c r="AX117" i="2"/>
  <c r="AY115" i="2"/>
  <c r="AX115" i="2"/>
  <c r="AY116" i="2"/>
  <c r="AX116" i="2"/>
  <c r="N89" i="2"/>
  <c r="N91" i="2"/>
  <c r="N178" i="2"/>
  <c r="O89" i="2"/>
  <c r="N205" i="2"/>
  <c r="N176" i="2"/>
  <c r="O205" i="2"/>
  <c r="O176" i="2"/>
  <c r="O203" i="2"/>
  <c r="R93" i="2" s="1"/>
  <c r="R92" i="2"/>
  <c r="O55" i="2"/>
  <c r="N53" i="2"/>
  <c r="N143" i="2" s="1"/>
  <c r="O142" i="2"/>
  <c r="N52" i="2"/>
  <c r="N142" i="2" s="1"/>
  <c r="O53" i="2"/>
  <c r="O143" i="2" s="1"/>
  <c r="R115" i="2"/>
  <c r="O236" i="2"/>
  <c r="R116" i="2" s="1"/>
  <c r="Q115" i="2"/>
  <c r="N236" i="2"/>
  <c r="Q116" i="2" s="1"/>
  <c r="Q92" i="2"/>
  <c r="N203" i="2"/>
  <c r="Q93" i="2" s="1"/>
  <c r="N31" i="2"/>
  <c r="N118" i="2"/>
  <c r="O29" i="2"/>
  <c r="O119" i="2" s="1"/>
  <c r="O238" i="2" s="1"/>
  <c r="N29" i="2"/>
  <c r="N119" i="2" s="1"/>
  <c r="N238" i="2" s="1"/>
  <c r="AX248" i="2"/>
  <c r="AZ248" i="2"/>
  <c r="AX246" i="2"/>
  <c r="AZ246" i="2"/>
  <c r="AY146" i="2"/>
  <c r="BB146" i="2"/>
  <c r="AW108" i="2"/>
  <c r="AY108" i="2"/>
  <c r="AY232" i="2"/>
  <c r="BB232" i="2"/>
  <c r="AW196" i="2"/>
  <c r="AY196" i="2"/>
  <c r="AY138" i="2"/>
  <c r="BB138" i="2"/>
  <c r="AY140" i="2"/>
  <c r="BB140" i="2"/>
  <c r="BB169" i="2"/>
  <c r="AW169" i="2"/>
  <c r="BB262" i="2"/>
  <c r="AZ262" i="2"/>
  <c r="AY235" i="2"/>
  <c r="BB235" i="2"/>
  <c r="AY142" i="2"/>
  <c r="BB142" i="2"/>
  <c r="AW106" i="2"/>
  <c r="AY106" i="2"/>
  <c r="AY137" i="2"/>
  <c r="BB137" i="2"/>
  <c r="BB171" i="2"/>
  <c r="AZ171" i="2"/>
  <c r="AY139" i="2"/>
  <c r="BB139" i="2"/>
  <c r="AX247" i="2"/>
  <c r="BB247" i="2"/>
  <c r="AZ241" i="2"/>
  <c r="BB241" i="2"/>
  <c r="AW195" i="2"/>
  <c r="AY195" i="2"/>
  <c r="AY228" i="2"/>
  <c r="BB228" i="2"/>
  <c r="AY211" i="2"/>
  <c r="BA211" i="2"/>
  <c r="AY230" i="2"/>
  <c r="BB230" i="2"/>
  <c r="BA160" i="2"/>
  <c r="BC160" i="2"/>
  <c r="AY121" i="2"/>
  <c r="BA121" i="2"/>
  <c r="AX158" i="2"/>
  <c r="BB158" i="2"/>
  <c r="AW105" i="2"/>
  <c r="AY105" i="2"/>
  <c r="AD8" i="2"/>
  <c r="AY227" i="2"/>
  <c r="BB227" i="2"/>
  <c r="AY229" i="2"/>
  <c r="BB229" i="2"/>
  <c r="AZ240" i="2"/>
  <c r="AW240" i="2"/>
  <c r="BB263" i="2"/>
  <c r="AX263" i="2"/>
  <c r="AY145" i="2"/>
  <c r="BB145" i="2"/>
  <c r="AY120" i="2"/>
  <c r="BA120" i="2"/>
  <c r="AY136" i="2"/>
  <c r="BB136" i="2"/>
  <c r="BB173" i="2"/>
  <c r="AX173" i="2"/>
  <c r="AY148" i="2"/>
  <c r="BB148" i="2"/>
  <c r="AY147" i="2"/>
  <c r="AW147" i="2"/>
  <c r="AY210" i="2"/>
  <c r="BA210" i="2"/>
  <c r="AW102" i="2"/>
  <c r="AY102" i="2"/>
  <c r="AW193" i="2"/>
  <c r="AY193" i="2"/>
  <c r="AZ150" i="2"/>
  <c r="AW150" i="2"/>
  <c r="BA250" i="2"/>
  <c r="BC250" i="2"/>
  <c r="AY236" i="2"/>
  <c r="BB236" i="2"/>
  <c r="AY226" i="2"/>
  <c r="BB226" i="2"/>
  <c r="AZ151" i="2"/>
  <c r="BB151" i="2"/>
  <c r="AX157" i="2"/>
  <c r="BB157" i="2"/>
  <c r="AW101" i="2"/>
  <c r="AY101" i="2"/>
  <c r="AW192" i="2"/>
  <c r="AY192" i="2"/>
  <c r="AW99" i="2"/>
  <c r="AY99" i="2"/>
  <c r="BA275" i="2"/>
  <c r="BC275" i="2"/>
  <c r="AW186" i="2"/>
  <c r="BC186" i="2"/>
  <c r="BA274" i="2"/>
  <c r="BC274" i="2"/>
  <c r="AX185" i="2"/>
  <c r="BC185" i="2"/>
  <c r="AX96" i="2"/>
  <c r="BC96" i="2"/>
  <c r="BA276" i="2"/>
  <c r="BC276" i="2"/>
  <c r="Y9" i="2"/>
  <c r="AD7" i="2"/>
  <c r="AC7" i="2" s="1"/>
  <c r="AY240" i="2"/>
  <c r="AX240" i="2"/>
  <c r="AY250" i="2"/>
  <c r="BB250" i="2"/>
  <c r="AY257" i="2"/>
  <c r="BB257" i="2"/>
  <c r="BA271" i="2"/>
  <c r="BC271" i="2"/>
  <c r="AY249" i="2"/>
  <c r="BB249" i="2"/>
  <c r="AY160" i="2"/>
  <c r="BB160" i="2"/>
  <c r="AY167" i="2"/>
  <c r="BB167" i="2"/>
  <c r="BB191" i="2"/>
  <c r="AW191" i="2"/>
  <c r="AY164" i="2"/>
  <c r="BB164" i="2"/>
  <c r="AX109" i="2"/>
  <c r="AW109" i="2"/>
  <c r="BB189" i="2"/>
  <c r="AW189" i="2"/>
  <c r="AY154" i="2"/>
  <c r="AX154" i="2"/>
  <c r="AY242" i="2"/>
  <c r="AX242" i="2"/>
  <c r="AY244" i="2"/>
  <c r="AX244" i="2"/>
  <c r="AZ266" i="2"/>
  <c r="BC266" i="2"/>
  <c r="AZ269" i="2"/>
  <c r="BC269" i="2"/>
  <c r="AX203" i="2"/>
  <c r="AY203" i="2"/>
  <c r="BA179" i="2"/>
  <c r="BC179" i="2"/>
  <c r="BA182" i="2"/>
  <c r="BC182" i="2"/>
  <c r="AY170" i="2"/>
  <c r="BB170" i="2"/>
  <c r="AY165" i="2"/>
  <c r="BB165" i="2"/>
  <c r="AZ172" i="2"/>
  <c r="BB172" i="2"/>
  <c r="AX113" i="2"/>
  <c r="AY113" i="2"/>
  <c r="AZ268" i="2"/>
  <c r="BC268" i="2"/>
  <c r="AZ267" i="2"/>
  <c r="BC267" i="2"/>
  <c r="AY246" i="2"/>
  <c r="BA246" i="2"/>
  <c r="AY253" i="2"/>
  <c r="BB253" i="2"/>
  <c r="AX208" i="2"/>
  <c r="AY208" i="2"/>
  <c r="AY251" i="2"/>
  <c r="BB251" i="2"/>
  <c r="AY243" i="2"/>
  <c r="AX243" i="2"/>
  <c r="AY264" i="2"/>
  <c r="BC264" i="2"/>
  <c r="AY155" i="2"/>
  <c r="AX155" i="2"/>
  <c r="AZ175" i="2"/>
  <c r="BC175" i="2"/>
  <c r="BC194" i="2"/>
  <c r="AW194" i="2"/>
  <c r="AZ173" i="2"/>
  <c r="BC173" i="2"/>
  <c r="BB188" i="2"/>
  <c r="AW188" i="2"/>
  <c r="BB190" i="2"/>
  <c r="AW190" i="2"/>
  <c r="AY158" i="2"/>
  <c r="BA158" i="2"/>
  <c r="BA272" i="2"/>
  <c r="BC272" i="2"/>
  <c r="BA184" i="2"/>
  <c r="BC184" i="2"/>
  <c r="BB96" i="2"/>
  <c r="AW96" i="2"/>
  <c r="AY159" i="2"/>
  <c r="BB159" i="2"/>
  <c r="AY162" i="2"/>
  <c r="BB162" i="2"/>
  <c r="AX197" i="2"/>
  <c r="AW197" i="2"/>
  <c r="AX198" i="2"/>
  <c r="AW198" i="2"/>
  <c r="BA273" i="2"/>
  <c r="BC273" i="2"/>
  <c r="AX202" i="2"/>
  <c r="AY202" i="2"/>
  <c r="AY258" i="2"/>
  <c r="BB258" i="2"/>
  <c r="AY166" i="2"/>
  <c r="BB166" i="2"/>
  <c r="AY161" i="2"/>
  <c r="BB161" i="2"/>
  <c r="AY151" i="2"/>
  <c r="AX151" i="2"/>
  <c r="AY157" i="2"/>
  <c r="BA157" i="2"/>
  <c r="AY252" i="2"/>
  <c r="BB252" i="2"/>
  <c r="AY260" i="2"/>
  <c r="BB260" i="2"/>
  <c r="BA270" i="2"/>
  <c r="BC270" i="2"/>
  <c r="AY255" i="2"/>
  <c r="BB255" i="2"/>
  <c r="AX201" i="2"/>
  <c r="AY201" i="2"/>
  <c r="AY256" i="2"/>
  <c r="BB256" i="2"/>
  <c r="AY262" i="2"/>
  <c r="BC262" i="2"/>
  <c r="AX207" i="2"/>
  <c r="AY207" i="2"/>
  <c r="BA176" i="2"/>
  <c r="BC176" i="2"/>
  <c r="AX107" i="2"/>
  <c r="AW107" i="2"/>
  <c r="AX110" i="2"/>
  <c r="AY110" i="2"/>
  <c r="BC100" i="2"/>
  <c r="AW100" i="2"/>
  <c r="AX104" i="2"/>
  <c r="AW104" i="2"/>
  <c r="AY247" i="2"/>
  <c r="BA247" i="2"/>
  <c r="AX206" i="2"/>
  <c r="AY206" i="2"/>
  <c r="AX204" i="2"/>
  <c r="AY204" i="2"/>
  <c r="AY254" i="2"/>
  <c r="BB254" i="2"/>
  <c r="AX199" i="2"/>
  <c r="AY199" i="2"/>
  <c r="AY259" i="2"/>
  <c r="BB259" i="2"/>
  <c r="AY245" i="2"/>
  <c r="AX245" i="2"/>
  <c r="AY153" i="2"/>
  <c r="AX153" i="2"/>
  <c r="AY163" i="2"/>
  <c r="BB163" i="2"/>
  <c r="AX103" i="2"/>
  <c r="AW103" i="2"/>
  <c r="BB187" i="2"/>
  <c r="AW187" i="2"/>
  <c r="AX112" i="2"/>
  <c r="AY112" i="2"/>
  <c r="AY265" i="2"/>
  <c r="BC265" i="2"/>
  <c r="AY241" i="2"/>
  <c r="AX241" i="2"/>
  <c r="AY263" i="2"/>
  <c r="BC263" i="2"/>
  <c r="AX200" i="2"/>
  <c r="AY200" i="2"/>
  <c r="AY261" i="2"/>
  <c r="BB261" i="2"/>
  <c r="AY248" i="2"/>
  <c r="BB248" i="2"/>
  <c r="AZ174" i="2"/>
  <c r="BC174" i="2"/>
  <c r="BA181" i="2"/>
  <c r="BC181" i="2"/>
  <c r="BB97" i="2"/>
  <c r="AW97" i="2"/>
  <c r="BC98" i="2"/>
  <c r="AW98" i="2"/>
  <c r="BA185" i="2"/>
  <c r="AW185" i="2"/>
  <c r="AX205" i="2"/>
  <c r="AY205" i="2"/>
  <c r="AY152" i="2"/>
  <c r="AX152" i="2"/>
  <c r="AY168" i="2"/>
  <c r="BB168" i="2"/>
  <c r="AY238" i="2"/>
  <c r="AZ238" i="2"/>
  <c r="AY239" i="2"/>
  <c r="AZ239" i="2"/>
  <c r="AY149" i="2"/>
  <c r="AZ149" i="2"/>
  <c r="AY237" i="2"/>
  <c r="AZ237" i="2"/>
  <c r="X8" i="2"/>
  <c r="X7" i="2"/>
  <c r="X9" i="2"/>
  <c r="Y8" i="2"/>
  <c r="AD65" i="2" l="1"/>
  <c r="AD72" i="2"/>
  <c r="AD11" i="2"/>
  <c r="AD9" i="2"/>
  <c r="AD79" i="2"/>
  <c r="AD80" i="2"/>
  <c r="BR9" i="2"/>
  <c r="AD92" i="2"/>
  <c r="AD281" i="2"/>
  <c r="AD282" i="2"/>
  <c r="AD280" i="2"/>
  <c r="AD279" i="2"/>
  <c r="AD277" i="2"/>
  <c r="AD278" i="2"/>
  <c r="BX12" i="2"/>
  <c r="AD56" i="2"/>
  <c r="AD55" i="2"/>
  <c r="AD171" i="2"/>
  <c r="AD28" i="2"/>
  <c r="AD32" i="2"/>
  <c r="AD125" i="2"/>
  <c r="AD133" i="2"/>
  <c r="AD225" i="2"/>
  <c r="AD233" i="2"/>
  <c r="AD144" i="2"/>
  <c r="AD212" i="2"/>
  <c r="AD223" i="2"/>
  <c r="AD126" i="2"/>
  <c r="AD219" i="2"/>
  <c r="AD237" i="2"/>
  <c r="AD29" i="2"/>
  <c r="AD48" i="2"/>
  <c r="AD31" i="2"/>
  <c r="AD59" i="2"/>
  <c r="AD57" i="2"/>
  <c r="AD185" i="2"/>
  <c r="AD174" i="2"/>
  <c r="AD169" i="2"/>
  <c r="AD129" i="2"/>
  <c r="AD114" i="2"/>
  <c r="AD221" i="2"/>
  <c r="AD234" i="2"/>
  <c r="AD141" i="2"/>
  <c r="AD132" i="2"/>
  <c r="AD213" i="2"/>
  <c r="AD217" i="2"/>
  <c r="AD130" i="2"/>
  <c r="AD40" i="2"/>
  <c r="AD41" i="2"/>
  <c r="AD30" i="2"/>
  <c r="AD50" i="2"/>
  <c r="AD52" i="2"/>
  <c r="AD201" i="2"/>
  <c r="AD203" i="2"/>
  <c r="AD204" i="2"/>
  <c r="AD207" i="2"/>
  <c r="AD258" i="2"/>
  <c r="AD208" i="2"/>
  <c r="AD170" i="2"/>
  <c r="AD143" i="2"/>
  <c r="AD222" i="2"/>
  <c r="AD135" i="2"/>
  <c r="AD134" i="2"/>
  <c r="AD124" i="2"/>
  <c r="AD231" i="2"/>
  <c r="AD122" i="2"/>
  <c r="AD215" i="2"/>
  <c r="AD119" i="2"/>
  <c r="AD123" i="2"/>
  <c r="AD46" i="2"/>
  <c r="AD36" i="2"/>
  <c r="AD49" i="2"/>
  <c r="AD259" i="2"/>
  <c r="AD206" i="2"/>
  <c r="AD262" i="2"/>
  <c r="AD202" i="2"/>
  <c r="AD162" i="2"/>
  <c r="AD264" i="2"/>
  <c r="AD253" i="2"/>
  <c r="AD167" i="2"/>
  <c r="AD257" i="2"/>
  <c r="AD192" i="2"/>
  <c r="AD193" i="2"/>
  <c r="AD54" i="2"/>
  <c r="AD243" i="2"/>
  <c r="AD244" i="2"/>
  <c r="AD115" i="2"/>
  <c r="AD51" i="2"/>
  <c r="AD252" i="2"/>
  <c r="AD251" i="2"/>
  <c r="AD242" i="2"/>
  <c r="AD249" i="2"/>
  <c r="AD157" i="2"/>
  <c r="AD156" i="2"/>
  <c r="AD37" i="2"/>
  <c r="AD53" i="2"/>
  <c r="AD254" i="2"/>
  <c r="AD164" i="2"/>
  <c r="AD199" i="2"/>
  <c r="AD205" i="2"/>
  <c r="AD200" i="2"/>
  <c r="AD153" i="2"/>
  <c r="AD246" i="2"/>
  <c r="AD117" i="2"/>
  <c r="AD183" i="2"/>
  <c r="AD95" i="2"/>
  <c r="AD33" i="2"/>
  <c r="AD42" i="2"/>
  <c r="AD58" i="2"/>
  <c r="AD149" i="2"/>
  <c r="AD265" i="2"/>
  <c r="AD274" i="2"/>
  <c r="AD138" i="2"/>
  <c r="AD121" i="2"/>
  <c r="AD236" i="2"/>
  <c r="AD184" i="2"/>
  <c r="AD255" i="2"/>
  <c r="AD148" i="2"/>
  <c r="AD142" i="2"/>
  <c r="AD179" i="2"/>
  <c r="AD68" i="2"/>
  <c r="AD238" i="2"/>
  <c r="AD245" i="2"/>
  <c r="AD155" i="2"/>
  <c r="AD154" i="2"/>
  <c r="AD247" i="2"/>
  <c r="AD177" i="2"/>
  <c r="AD83" i="2"/>
  <c r="AD35" i="2"/>
  <c r="AD34" i="2"/>
  <c r="AD168" i="2"/>
  <c r="AD116" i="2"/>
  <c r="AD45" i="2"/>
  <c r="AD173" i="2"/>
  <c r="AD263" i="2"/>
  <c r="AD195" i="2"/>
  <c r="AD178" i="2"/>
  <c r="AD78" i="2"/>
  <c r="AD152" i="2"/>
  <c r="AD163" i="2"/>
  <c r="AD260" i="2"/>
  <c r="AD161" i="2"/>
  <c r="AD159" i="2"/>
  <c r="AD158" i="2"/>
  <c r="AD172" i="2"/>
  <c r="AD186" i="2"/>
  <c r="AD266" i="2"/>
  <c r="AD39" i="2"/>
  <c r="AD60" i="2"/>
  <c r="AD81" i="2"/>
  <c r="AD73" i="2"/>
  <c r="AD187" i="2"/>
  <c r="AD100" i="2"/>
  <c r="AD197" i="2"/>
  <c r="AD188" i="2"/>
  <c r="AD191" i="2"/>
  <c r="AD150" i="2"/>
  <c r="AD147" i="2"/>
  <c r="AD106" i="2"/>
  <c r="AD87" i="2"/>
  <c r="AD89" i="2"/>
  <c r="AD82" i="2"/>
  <c r="AD47" i="2"/>
  <c r="AD211" i="2"/>
  <c r="AD112" i="2"/>
  <c r="AD181" i="2"/>
  <c r="AD250" i="2"/>
  <c r="AD182" i="2"/>
  <c r="AD160" i="2"/>
  <c r="AD270" i="2"/>
  <c r="AD235" i="2"/>
  <c r="AD120" i="2"/>
  <c r="AD139" i="2"/>
  <c r="AD227" i="2"/>
  <c r="AD267" i="2"/>
  <c r="AD140" i="2"/>
  <c r="AD137" i="2"/>
  <c r="AD145" i="2"/>
  <c r="AD38" i="2"/>
  <c r="AD113" i="2"/>
  <c r="AD66" i="2"/>
  <c r="AD64" i="2"/>
  <c r="AD74" i="2"/>
  <c r="AD99" i="2"/>
  <c r="AD103" i="2"/>
  <c r="AD189" i="2"/>
  <c r="AD108" i="2"/>
  <c r="AD44" i="2"/>
  <c r="AD62" i="2"/>
  <c r="AD94" i="2"/>
  <c r="AD93" i="2"/>
  <c r="AD70" i="2"/>
  <c r="AD69" i="2"/>
  <c r="AD84" i="2"/>
  <c r="AD63" i="2"/>
  <c r="AD232" i="2"/>
  <c r="AD98" i="2"/>
  <c r="AD97" i="2"/>
  <c r="AD151" i="2"/>
  <c r="AD241" i="2"/>
  <c r="AD146" i="2"/>
  <c r="AD214" i="2"/>
  <c r="AD127" i="2"/>
  <c r="AD175" i="2"/>
  <c r="AD176" i="2"/>
  <c r="AD131" i="2"/>
  <c r="AD166" i="2"/>
  <c r="AD220" i="2"/>
  <c r="AD210" i="2"/>
  <c r="AD224" i="2"/>
  <c r="AD216" i="2"/>
  <c r="AD275" i="2"/>
  <c r="AD276" i="2"/>
  <c r="AD209" i="2"/>
  <c r="AD165" i="2"/>
  <c r="AD128" i="2"/>
  <c r="AD111" i="2"/>
  <c r="AD269" i="2"/>
  <c r="AD118" i="2"/>
  <c r="AD218" i="2"/>
  <c r="AD43" i="2"/>
  <c r="AD27" i="2"/>
  <c r="AD88" i="2"/>
  <c r="AD61" i="2"/>
  <c r="AD107" i="2"/>
  <c r="AD194" i="2"/>
  <c r="AD109" i="2"/>
  <c r="AD180" i="2"/>
  <c r="AD86" i="2"/>
  <c r="AD85" i="2"/>
  <c r="AD76" i="2"/>
  <c r="AD101" i="2"/>
  <c r="AD102" i="2"/>
  <c r="AD230" i="2"/>
  <c r="AD268" i="2"/>
  <c r="AD273" i="2"/>
  <c r="AD226" i="2"/>
  <c r="AD248" i="2"/>
  <c r="AD271" i="2"/>
  <c r="AD272" i="2"/>
  <c r="AD261" i="2"/>
  <c r="AD239" i="2"/>
  <c r="AD229" i="2"/>
  <c r="AD228" i="2"/>
  <c r="AD256" i="2"/>
  <c r="AD136" i="2"/>
  <c r="AD25" i="2"/>
  <c r="AD67" i="2"/>
  <c r="AD90" i="2"/>
  <c r="AD91" i="2"/>
  <c r="AD104" i="2"/>
  <c r="AD198" i="2"/>
  <c r="AD96" i="2"/>
  <c r="AD190" i="2"/>
  <c r="AD240" i="2"/>
  <c r="AD105" i="2"/>
  <c r="AD196" i="2"/>
  <c r="AD71" i="2"/>
  <c r="AD110" i="2"/>
  <c r="AD26" i="2"/>
  <c r="AD77" i="2"/>
  <c r="AD22" i="2"/>
  <c r="Q34" i="2"/>
  <c r="Q67" i="2" s="1"/>
  <c r="AD23" i="2"/>
  <c r="AD18" i="2"/>
  <c r="AD13" i="2"/>
  <c r="AD24" i="2"/>
  <c r="AD19" i="2"/>
  <c r="AD14" i="2"/>
  <c r="AD15" i="2"/>
  <c r="AD17" i="2"/>
  <c r="S116" i="2"/>
  <c r="S95" i="2"/>
  <c r="S115" i="2" s="1"/>
  <c r="S96" i="2"/>
  <c r="T79" i="2"/>
  <c r="T47" i="2"/>
  <c r="T80" i="2" s="1"/>
  <c r="S35" i="2"/>
  <c r="S57" i="2" s="1"/>
  <c r="S79" i="2" s="1"/>
  <c r="Q25" i="2"/>
  <c r="S24" i="2"/>
  <c r="S46" i="2" s="1"/>
  <c r="S68" i="2" s="1"/>
  <c r="R24" i="2"/>
  <c r="R57" i="2" s="1"/>
  <c r="Q57" i="2"/>
  <c r="R46" i="2"/>
  <c r="R79" i="2" s="1"/>
  <c r="Q46" i="2"/>
  <c r="Q79" i="2" s="1"/>
  <c r="T67" i="2"/>
  <c r="T35" i="2"/>
  <c r="BU13" i="2"/>
  <c r="BV14" i="2"/>
  <c r="AD21" i="2"/>
  <c r="AD20" i="2"/>
  <c r="AD12" i="2"/>
  <c r="AD16" i="2"/>
  <c r="O239" i="2"/>
  <c r="R118" i="2" s="1"/>
  <c r="R117" i="2"/>
  <c r="R94" i="2"/>
  <c r="O206" i="2"/>
  <c r="R95" i="2" s="1"/>
  <c r="N121" i="2"/>
  <c r="N34" i="2"/>
  <c r="O32" i="2"/>
  <c r="O122" i="2" s="1"/>
  <c r="O241" i="2" s="1"/>
  <c r="N32" i="2"/>
  <c r="N122" i="2" s="1"/>
  <c r="N241" i="2" s="1"/>
  <c r="Q94" i="2"/>
  <c r="N206" i="2"/>
  <c r="Q95" i="2" s="1"/>
  <c r="O179" i="2"/>
  <c r="O208" i="2"/>
  <c r="O58" i="2"/>
  <c r="N55" i="2"/>
  <c r="N145" i="2" s="1"/>
  <c r="N56" i="2"/>
  <c r="N146" i="2" s="1"/>
  <c r="O145" i="2"/>
  <c r="O56" i="2"/>
  <c r="O146" i="2" s="1"/>
  <c r="O92" i="2"/>
  <c r="N92" i="2"/>
  <c r="N94" i="2"/>
  <c r="N181" i="2"/>
  <c r="N239" i="2"/>
  <c r="Q118" i="2" s="1"/>
  <c r="Q117" i="2"/>
  <c r="N208" i="2"/>
  <c r="N179" i="2"/>
  <c r="AC8" i="2"/>
  <c r="AC9" i="2" l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BR10" i="2"/>
  <c r="BX10" i="2"/>
  <c r="T68" i="2"/>
  <c r="T36" i="2"/>
  <c r="T69" i="2" s="1"/>
  <c r="S36" i="2"/>
  <c r="S58" i="2" s="1"/>
  <c r="S80" i="2" s="1"/>
  <c r="S25" i="2"/>
  <c r="S47" i="2" s="1"/>
  <c r="S69" i="2" s="1"/>
  <c r="R47" i="2"/>
  <c r="R80" i="2" s="1"/>
  <c r="Q58" i="2"/>
  <c r="Q36" i="2"/>
  <c r="Q69" i="2" s="1"/>
  <c r="R25" i="2"/>
  <c r="R58" i="2" s="1"/>
  <c r="Q47" i="2"/>
  <c r="Q80" i="2" s="1"/>
  <c r="Q35" i="2"/>
  <c r="Q68" i="2" s="1"/>
  <c r="S118" i="2"/>
  <c r="S98" i="2"/>
  <c r="S97" i="2"/>
  <c r="S117" i="2" s="1"/>
  <c r="BU14" i="2"/>
  <c r="BX14" i="2" s="1"/>
  <c r="BV15" i="2"/>
  <c r="R35" i="2"/>
  <c r="R68" i="2" s="1"/>
  <c r="N209" i="2"/>
  <c r="Q97" i="2" s="1"/>
  <c r="Q96" i="2"/>
  <c r="N242" i="2"/>
  <c r="Q120" i="2" s="1"/>
  <c r="Q119" i="2"/>
  <c r="O242" i="2"/>
  <c r="R120" i="2" s="1"/>
  <c r="R119" i="2"/>
  <c r="N35" i="2"/>
  <c r="N125" i="2" s="1"/>
  <c r="N244" i="2" s="1"/>
  <c r="N245" i="2" s="1"/>
  <c r="O35" i="2"/>
  <c r="O125" i="2" s="1"/>
  <c r="O244" i="2" s="1"/>
  <c r="O245" i="2" s="1"/>
  <c r="N124" i="2"/>
  <c r="O61" i="2"/>
  <c r="N58" i="2"/>
  <c r="N148" i="2" s="1"/>
  <c r="O59" i="2"/>
  <c r="O149" i="2" s="1"/>
  <c r="O148" i="2"/>
  <c r="N59" i="2"/>
  <c r="N149" i="2" s="1"/>
  <c r="N184" i="2"/>
  <c r="N95" i="2"/>
  <c r="O95" i="2"/>
  <c r="O209" i="2"/>
  <c r="R97" i="2" s="1"/>
  <c r="R96" i="2"/>
  <c r="N211" i="2"/>
  <c r="N182" i="2"/>
  <c r="O211" i="2"/>
  <c r="O182" i="2"/>
  <c r="BW14" i="2"/>
  <c r="BW8" i="2"/>
  <c r="BW10" i="2"/>
  <c r="BW12" i="2"/>
  <c r="BX8" i="2"/>
  <c r="BR11" i="2" l="1"/>
  <c r="AC25" i="2"/>
  <c r="S100" i="2"/>
  <c r="S101" i="2" s="1"/>
  <c r="S120" i="2"/>
  <c r="S99" i="2"/>
  <c r="S119" i="2" s="1"/>
  <c r="BU15" i="2"/>
  <c r="BV16" i="2"/>
  <c r="R36" i="2"/>
  <c r="R69" i="2" s="1"/>
  <c r="N185" i="2"/>
  <c r="N214" i="2"/>
  <c r="O212" i="2"/>
  <c r="R99" i="2" s="1"/>
  <c r="R98" i="2"/>
  <c r="Q98" i="2"/>
  <c r="N212" i="2"/>
  <c r="Q99" i="2" s="1"/>
  <c r="N61" i="2"/>
  <c r="N151" i="2" s="1"/>
  <c r="O62" i="2"/>
  <c r="O152" i="2" s="1"/>
  <c r="N62" i="2"/>
  <c r="N152" i="2" s="1"/>
  <c r="O64" i="2"/>
  <c r="O151" i="2"/>
  <c r="O185" i="2"/>
  <c r="O214" i="2"/>
  <c r="BR12" i="2" l="1"/>
  <c r="AC26" i="2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C156" i="2" s="1"/>
  <c r="AC157" i="2" s="1"/>
  <c r="AC158" i="2" s="1"/>
  <c r="AC159" i="2" s="1"/>
  <c r="AC160" i="2" s="1"/>
  <c r="AC161" i="2" s="1"/>
  <c r="AC162" i="2" s="1"/>
  <c r="AC163" i="2" s="1"/>
  <c r="AC164" i="2" s="1"/>
  <c r="AC165" i="2" s="1"/>
  <c r="AC166" i="2" s="1"/>
  <c r="AC167" i="2" s="1"/>
  <c r="AC168" i="2" s="1"/>
  <c r="AC169" i="2" s="1"/>
  <c r="AC170" i="2" s="1"/>
  <c r="AC171" i="2" s="1"/>
  <c r="AC172" i="2" s="1"/>
  <c r="AC173" i="2" s="1"/>
  <c r="AC174" i="2" s="1"/>
  <c r="AC175" i="2" s="1"/>
  <c r="AC176" i="2" s="1"/>
  <c r="AC177" i="2" s="1"/>
  <c r="AC178" i="2" s="1"/>
  <c r="AC179" i="2" s="1"/>
  <c r="AC180" i="2" s="1"/>
  <c r="AC181" i="2" s="1"/>
  <c r="AC182" i="2" s="1"/>
  <c r="AC183" i="2" s="1"/>
  <c r="AC184" i="2" s="1"/>
  <c r="AC185" i="2" s="1"/>
  <c r="AC186" i="2" s="1"/>
  <c r="AC187" i="2" s="1"/>
  <c r="AC188" i="2" s="1"/>
  <c r="AC189" i="2" s="1"/>
  <c r="AC190" i="2" s="1"/>
  <c r="AC191" i="2" s="1"/>
  <c r="AC192" i="2" s="1"/>
  <c r="AC193" i="2" s="1"/>
  <c r="AC194" i="2" s="1"/>
  <c r="AC195" i="2" s="1"/>
  <c r="AC196" i="2" s="1"/>
  <c r="AC197" i="2" s="1"/>
  <c r="AC198" i="2" s="1"/>
  <c r="AC199" i="2" s="1"/>
  <c r="AC200" i="2" s="1"/>
  <c r="AC201" i="2" s="1"/>
  <c r="AC202" i="2" s="1"/>
  <c r="AC203" i="2" s="1"/>
  <c r="AC204" i="2" s="1"/>
  <c r="AC205" i="2" s="1"/>
  <c r="AC206" i="2" s="1"/>
  <c r="AC207" i="2" s="1"/>
  <c r="AC208" i="2" s="1"/>
  <c r="AC209" i="2" s="1"/>
  <c r="AC210" i="2" s="1"/>
  <c r="AC211" i="2" s="1"/>
  <c r="AC212" i="2" s="1"/>
  <c r="AC213" i="2" s="1"/>
  <c r="AC214" i="2" s="1"/>
  <c r="AC215" i="2" s="1"/>
  <c r="AC216" i="2" s="1"/>
  <c r="AC217" i="2" s="1"/>
  <c r="AC218" i="2" s="1"/>
  <c r="AC219" i="2" s="1"/>
  <c r="AC220" i="2" s="1"/>
  <c r="AC221" i="2" s="1"/>
  <c r="AC222" i="2" s="1"/>
  <c r="AC223" i="2" s="1"/>
  <c r="AC224" i="2" s="1"/>
  <c r="AC225" i="2" s="1"/>
  <c r="AC226" i="2" s="1"/>
  <c r="AC227" i="2" s="1"/>
  <c r="AC228" i="2" s="1"/>
  <c r="AC229" i="2" s="1"/>
  <c r="AC230" i="2" s="1"/>
  <c r="AC231" i="2" s="1"/>
  <c r="AC232" i="2" s="1"/>
  <c r="AC233" i="2" s="1"/>
  <c r="AC234" i="2" s="1"/>
  <c r="AC235" i="2" s="1"/>
  <c r="AC236" i="2" s="1"/>
  <c r="AC237" i="2" s="1"/>
  <c r="AC238" i="2" s="1"/>
  <c r="AC239" i="2" s="1"/>
  <c r="AC240" i="2" s="1"/>
  <c r="AC241" i="2" s="1"/>
  <c r="AC242" i="2" s="1"/>
  <c r="AC243" i="2" s="1"/>
  <c r="AC244" i="2" s="1"/>
  <c r="AC245" i="2" s="1"/>
  <c r="AC246" i="2" s="1"/>
  <c r="AC247" i="2" s="1"/>
  <c r="AC248" i="2" s="1"/>
  <c r="AC249" i="2" s="1"/>
  <c r="AC250" i="2" s="1"/>
  <c r="AC251" i="2" s="1"/>
  <c r="AC252" i="2" s="1"/>
  <c r="AC253" i="2" s="1"/>
  <c r="AC254" i="2" s="1"/>
  <c r="AC255" i="2" s="1"/>
  <c r="AC256" i="2" s="1"/>
  <c r="AC257" i="2" s="1"/>
  <c r="AC258" i="2" s="1"/>
  <c r="AC259" i="2" s="1"/>
  <c r="AC260" i="2" s="1"/>
  <c r="AC261" i="2" s="1"/>
  <c r="AC262" i="2" s="1"/>
  <c r="AC263" i="2" s="1"/>
  <c r="AC264" i="2" s="1"/>
  <c r="AC265" i="2" s="1"/>
  <c r="AC266" i="2" s="1"/>
  <c r="AC267" i="2" s="1"/>
  <c r="AC268" i="2" s="1"/>
  <c r="AC269" i="2" s="1"/>
  <c r="AC270" i="2" s="1"/>
  <c r="AC271" i="2" s="1"/>
  <c r="AC272" i="2" s="1"/>
  <c r="AC273" i="2" s="1"/>
  <c r="AC274" i="2" s="1"/>
  <c r="AC275" i="2" s="1"/>
  <c r="AC276" i="2" s="1"/>
  <c r="AC277" i="2" s="1"/>
  <c r="AC278" i="2" s="1"/>
  <c r="AC279" i="2" s="1"/>
  <c r="AC280" i="2" s="1"/>
  <c r="AC281" i="2" s="1"/>
  <c r="AC282" i="2" s="1"/>
  <c r="AC283" i="2" s="1"/>
  <c r="AC284" i="2" s="1"/>
  <c r="AC285" i="2" s="1"/>
  <c r="AC286" i="2" s="1"/>
  <c r="AC287" i="2" s="1"/>
  <c r="AC288" i="2" s="1"/>
  <c r="AC289" i="2" s="1"/>
  <c r="AC290" i="2" s="1"/>
  <c r="AC291" i="2" s="1"/>
  <c r="AC292" i="2" s="1"/>
  <c r="AC293" i="2" s="1"/>
  <c r="AC294" i="2" s="1"/>
  <c r="AC295" i="2" s="1"/>
  <c r="AC296" i="2" s="1"/>
  <c r="AC297" i="2" s="1"/>
  <c r="AC298" i="2" s="1"/>
  <c r="AC299" i="2" s="1"/>
  <c r="AC300" i="2" s="1"/>
  <c r="AC301" i="2" s="1"/>
  <c r="AC302" i="2" s="1"/>
  <c r="AC303" i="2" s="1"/>
  <c r="AC304" i="2" s="1"/>
  <c r="AC305" i="2" s="1"/>
  <c r="AC306" i="2" s="1"/>
  <c r="BU16" i="2"/>
  <c r="BV17" i="2"/>
  <c r="N215" i="2"/>
  <c r="Q101" i="2" s="1"/>
  <c r="Q100" i="2"/>
  <c r="N65" i="2"/>
  <c r="N155" i="2" s="1"/>
  <c r="N64" i="2"/>
  <c r="N154" i="2" s="1"/>
  <c r="O154" i="2"/>
  <c r="O65" i="2"/>
  <c r="O155" i="2" s="1"/>
  <c r="O215" i="2"/>
  <c r="R101" i="2" s="1"/>
  <c r="R100" i="2"/>
  <c r="BR13" i="2" l="1"/>
  <c r="AB5" i="2"/>
  <c r="BU17" i="2"/>
  <c r="BV18" i="2"/>
  <c r="BW16" i="2"/>
  <c r="BX16" i="2"/>
  <c r="BR14" i="2" l="1"/>
  <c r="AB171" i="2"/>
  <c r="AB41" i="2"/>
  <c r="AB201" i="2"/>
  <c r="AB98" i="2"/>
  <c r="AB114" i="2"/>
  <c r="AB154" i="2"/>
  <c r="AB146" i="2"/>
  <c r="AB112" i="2"/>
  <c r="AB36" i="2"/>
  <c r="AB232" i="2"/>
  <c r="AB54" i="2"/>
  <c r="AB76" i="2"/>
  <c r="AB42" i="2"/>
  <c r="AB163" i="2"/>
  <c r="AB283" i="2"/>
  <c r="AB53" i="2"/>
  <c r="AB79" i="2"/>
  <c r="AB99" i="2"/>
  <c r="AB259" i="2"/>
  <c r="AB290" i="2"/>
  <c r="AB213" i="2"/>
  <c r="AB118" i="2"/>
  <c r="AB180" i="2"/>
  <c r="AB205" i="2"/>
  <c r="AB263" i="2"/>
  <c r="AB166" i="2"/>
  <c r="AB67" i="2"/>
  <c r="AB22" i="2"/>
  <c r="AB138" i="2"/>
  <c r="AB69" i="2"/>
  <c r="AB280" i="2"/>
  <c r="AB48" i="2"/>
  <c r="AB168" i="2"/>
  <c r="AB295" i="2"/>
  <c r="AB141" i="2"/>
  <c r="AB46" i="2"/>
  <c r="AB310" i="2"/>
  <c r="AB282" i="2"/>
  <c r="AB86" i="2"/>
  <c r="AB206" i="2"/>
  <c r="AB96" i="2"/>
  <c r="AB133" i="2"/>
  <c r="AB14" i="2"/>
  <c r="AB57" i="2"/>
  <c r="AB49" i="2"/>
  <c r="AB23" i="2"/>
  <c r="AB198" i="2"/>
  <c r="AB130" i="2"/>
  <c r="AB64" i="2"/>
  <c r="AB68" i="2"/>
  <c r="AB252" i="2"/>
  <c r="AB89" i="2"/>
  <c r="AB285" i="2"/>
  <c r="AB174" i="2"/>
  <c r="AB167" i="2"/>
  <c r="AB156" i="2"/>
  <c r="AB297" i="2"/>
  <c r="AB155" i="2"/>
  <c r="AB30" i="2"/>
  <c r="AB178" i="2"/>
  <c r="AB211" i="2"/>
  <c r="AB21" i="2"/>
  <c r="AB300" i="2"/>
  <c r="AB267" i="2"/>
  <c r="AB129" i="2"/>
  <c r="AB225" i="2"/>
  <c r="AB186" i="2"/>
  <c r="AB296" i="2"/>
  <c r="AB28" i="2"/>
  <c r="AB142" i="2"/>
  <c r="AB153" i="2"/>
  <c r="AB123" i="2"/>
  <c r="AB31" i="2"/>
  <c r="AB139" i="2"/>
  <c r="AB185" i="2"/>
  <c r="AB228" i="2"/>
  <c r="AB172" i="2"/>
  <c r="AB265" i="2"/>
  <c r="AB219" i="2"/>
  <c r="AB25" i="2"/>
  <c r="AB26" i="2"/>
  <c r="AB45" i="2"/>
  <c r="AB71" i="2"/>
  <c r="AB202" i="2"/>
  <c r="AB266" i="2"/>
  <c r="AB199" i="2"/>
  <c r="AB212" i="2"/>
  <c r="AB124" i="2"/>
  <c r="AB249" i="2"/>
  <c r="AB241" i="2"/>
  <c r="AB215" i="2"/>
  <c r="AB287" i="2"/>
  <c r="AB63" i="2"/>
  <c r="AB197" i="2"/>
  <c r="AB217" i="2"/>
  <c r="AB184" i="2"/>
  <c r="AB47" i="2"/>
  <c r="AB105" i="2"/>
  <c r="AB269" i="2"/>
  <c r="AB17" i="2"/>
  <c r="AB288" i="2"/>
  <c r="AB191" i="2"/>
  <c r="AB189" i="2"/>
  <c r="AB281" i="2"/>
  <c r="AB251" i="2"/>
  <c r="AB307" i="2"/>
  <c r="AB177" i="2"/>
  <c r="AB286" i="2"/>
  <c r="AB301" i="2"/>
  <c r="AB234" i="2"/>
  <c r="AB77" i="2"/>
  <c r="AB306" i="2"/>
  <c r="AB20" i="2"/>
  <c r="AB243" i="2"/>
  <c r="AB90" i="2"/>
  <c r="AB82" i="2"/>
  <c r="AB40" i="2"/>
  <c r="AB145" i="2"/>
  <c r="AB125" i="2"/>
  <c r="AB9" i="2"/>
  <c r="AB103" i="2"/>
  <c r="AB247" i="2"/>
  <c r="AB175" i="2"/>
  <c r="AB13" i="2"/>
  <c r="AB308" i="2"/>
  <c r="AB140" i="2"/>
  <c r="AB216" i="2"/>
  <c r="AB165" i="2"/>
  <c r="AB83" i="2"/>
  <c r="AB157" i="2"/>
  <c r="AB58" i="2"/>
  <c r="AB110" i="2"/>
  <c r="AB223" i="2"/>
  <c r="AB80" i="2"/>
  <c r="AB144" i="2"/>
  <c r="AB136" i="2"/>
  <c r="AB126" i="2"/>
  <c r="AB226" i="2"/>
  <c r="AB7" i="2"/>
  <c r="AB72" i="2"/>
  <c r="AB298" i="2"/>
  <c r="AB50" i="2"/>
  <c r="AB193" i="2"/>
  <c r="AB220" i="2"/>
  <c r="AB119" i="2"/>
  <c r="AB74" i="2"/>
  <c r="AB131" i="2"/>
  <c r="AB196" i="2"/>
  <c r="AB93" i="2"/>
  <c r="AB88" i="2"/>
  <c r="AB309" i="2"/>
  <c r="AB218" i="2"/>
  <c r="AB210" i="2"/>
  <c r="AB176" i="2"/>
  <c r="AB66" i="2"/>
  <c r="AB258" i="2"/>
  <c r="AB62" i="2"/>
  <c r="AB107" i="2"/>
  <c r="AB60" i="2"/>
  <c r="AB137" i="2"/>
  <c r="AB143" i="2"/>
  <c r="AB188" i="2"/>
  <c r="AB106" i="2"/>
  <c r="AB235" i="2"/>
  <c r="AB32" i="2"/>
  <c r="AB16" i="2"/>
  <c r="AB61" i="2"/>
  <c r="AB38" i="2"/>
  <c r="AB104" i="2"/>
  <c r="AB59" i="2"/>
  <c r="AB233" i="2"/>
  <c r="AB158" i="2"/>
  <c r="AB91" i="2"/>
  <c r="AB272" i="2"/>
  <c r="AB264" i="2"/>
  <c r="AB254" i="2"/>
  <c r="AB19" i="2"/>
  <c r="AB161" i="2"/>
  <c r="AB162" i="2"/>
  <c r="AB27" i="2"/>
  <c r="AB229" i="2"/>
  <c r="AB284" i="2"/>
  <c r="AB209" i="2"/>
  <c r="AB214" i="2"/>
  <c r="AB55" i="2"/>
  <c r="AB148" i="2"/>
  <c r="AB101" i="2"/>
  <c r="AB95" i="2"/>
  <c r="AB207" i="2"/>
  <c r="AB132" i="2"/>
  <c r="AB150" i="2"/>
  <c r="AB115" i="2"/>
  <c r="AB187" i="2"/>
  <c r="AB100" i="2"/>
  <c r="AB73" i="2"/>
  <c r="AB312" i="2"/>
  <c r="AB260" i="2"/>
  <c r="AB248" i="2"/>
  <c r="AB37" i="2"/>
  <c r="AB147" i="2"/>
  <c r="AB81" i="2"/>
  <c r="AB128" i="2"/>
  <c r="AB303" i="2"/>
  <c r="AB304" i="2"/>
  <c r="AB121" i="2"/>
  <c r="AB113" i="2"/>
  <c r="AB87" i="2"/>
  <c r="AB292" i="2"/>
  <c r="AB275" i="2"/>
  <c r="AB127" i="2"/>
  <c r="AB291" i="2"/>
  <c r="AB78" i="2"/>
  <c r="AB8" i="2"/>
  <c r="AB255" i="2"/>
  <c r="AB246" i="2"/>
  <c r="AB238" i="2"/>
  <c r="AB274" i="2"/>
  <c r="AB311" i="2"/>
  <c r="AB239" i="2"/>
  <c r="AB203" i="2"/>
  <c r="AB173" i="2"/>
  <c r="AB65" i="2"/>
  <c r="AB195" i="2"/>
  <c r="AB151" i="2"/>
  <c r="AB293" i="2"/>
  <c r="AB109" i="2"/>
  <c r="AB183" i="2"/>
  <c r="AB111" i="2"/>
  <c r="AB75" i="2"/>
  <c r="AB277" i="2"/>
  <c r="AB120" i="2"/>
  <c r="AB313" i="2"/>
  <c r="AB305" i="2"/>
  <c r="AB279" i="2"/>
  <c r="AB24" i="2"/>
  <c r="AB152" i="2"/>
  <c r="AB278" i="2"/>
  <c r="AB299" i="2"/>
  <c r="AB236" i="2"/>
  <c r="AB52" i="2"/>
  <c r="AB15" i="2"/>
  <c r="AB51" i="2"/>
  <c r="AB160" i="2"/>
  <c r="AB204" i="2"/>
  <c r="AB164" i="2"/>
  <c r="AB159" i="2"/>
  <c r="AB70" i="2"/>
  <c r="AB192" i="2"/>
  <c r="AB10" i="2"/>
  <c r="AB273" i="2"/>
  <c r="AB271" i="2"/>
  <c r="AB135" i="2"/>
  <c r="AB250" i="2"/>
  <c r="AB237" i="2"/>
  <c r="AB231" i="2"/>
  <c r="AB294" i="2"/>
  <c r="AB221" i="2"/>
  <c r="AB181" i="2"/>
  <c r="AB268" i="2"/>
  <c r="AB289" i="2"/>
  <c r="AB117" i="2"/>
  <c r="AB134" i="2"/>
  <c r="AB169" i="2"/>
  <c r="AB314" i="2"/>
  <c r="AB244" i="2"/>
  <c r="AB257" i="2"/>
  <c r="AB56" i="2"/>
  <c r="AB261" i="2"/>
  <c r="AB116" i="2"/>
  <c r="AB222" i="2"/>
  <c r="AB227" i="2"/>
  <c r="AB170" i="2"/>
  <c r="AB179" i="2"/>
  <c r="AB33" i="2"/>
  <c r="AB18" i="2"/>
  <c r="AB242" i="2"/>
  <c r="AB35" i="2"/>
  <c r="AB44" i="2"/>
  <c r="AB94" i="2"/>
  <c r="AB253" i="2"/>
  <c r="AB34" i="2"/>
  <c r="AB29" i="2"/>
  <c r="AB262" i="2"/>
  <c r="AB208" i="2"/>
  <c r="AB200" i="2"/>
  <c r="AB190" i="2"/>
  <c r="AB102" i="2"/>
  <c r="AB230" i="2"/>
  <c r="AB240" i="2"/>
  <c r="AB245" i="2"/>
  <c r="AB39" i="2"/>
  <c r="AB224" i="2"/>
  <c r="AB276" i="2"/>
  <c r="AB92" i="2"/>
  <c r="AB182" i="2"/>
  <c r="AB270" i="2"/>
  <c r="AB149" i="2"/>
  <c r="AB43" i="2"/>
  <c r="AB194" i="2"/>
  <c r="AB256" i="2"/>
  <c r="AB85" i="2"/>
  <c r="AB11" i="2"/>
  <c r="AB108" i="2"/>
  <c r="AB84" i="2"/>
  <c r="AB302" i="2"/>
  <c r="AB122" i="2"/>
  <c r="AB97" i="2"/>
  <c r="AB12" i="2"/>
  <c r="BV19" i="2"/>
  <c r="BU18" i="2"/>
  <c r="BR15" i="2" l="1"/>
  <c r="BV20" i="2"/>
  <c r="BU19" i="2"/>
  <c r="BW18" i="2"/>
  <c r="BX18" i="2"/>
  <c r="BR16" i="2" l="1"/>
  <c r="BV21" i="2"/>
  <c r="BU20" i="2"/>
  <c r="BR17" i="2" l="1"/>
  <c r="BU21" i="2"/>
  <c r="BV22" i="2"/>
  <c r="BW20" i="2"/>
  <c r="BX20" i="2"/>
  <c r="BR18" i="2" l="1"/>
  <c r="BU22" i="2"/>
  <c r="BV23" i="2"/>
  <c r="BR19" i="2" l="1"/>
  <c r="BX22" i="2"/>
  <c r="BW22" i="2"/>
  <c r="BU23" i="2"/>
  <c r="BV24" i="2"/>
  <c r="BU24" i="2" l="1"/>
  <c r="BV25" i="2"/>
  <c r="BX24" i="2" l="1"/>
  <c r="BW24" i="2"/>
  <c r="BU25" i="2"/>
  <c r="BV26" i="2"/>
  <c r="BV27" i="2" l="1"/>
  <c r="BU26" i="2"/>
  <c r="BV28" i="2" l="1"/>
  <c r="BU27" i="2"/>
  <c r="BX26" i="2"/>
  <c r="BW26" i="2"/>
  <c r="BV29" i="2" l="1"/>
  <c r="BU28" i="2"/>
  <c r="BW28" i="2" l="1"/>
  <c r="BX28" i="2"/>
  <c r="BU29" i="2"/>
  <c r="BV30" i="2"/>
  <c r="BU30" i="2" l="1"/>
  <c r="BV31" i="2"/>
  <c r="BW30" i="2" l="1"/>
  <c r="BX30" i="2"/>
  <c r="BU31" i="2"/>
  <c r="BV32" i="2"/>
  <c r="BU32" i="2" l="1"/>
  <c r="BV33" i="2"/>
  <c r="BW32" i="2" l="1"/>
  <c r="BX32" i="2"/>
  <c r="BU33" i="2"/>
  <c r="BV34" i="2"/>
  <c r="BV35" i="2" l="1"/>
  <c r="BU34" i="2"/>
  <c r="BV36" i="2" l="1"/>
  <c r="BU35" i="2"/>
  <c r="BW34" i="2"/>
  <c r="BX34" i="2"/>
  <c r="BV37" i="2" l="1"/>
  <c r="BU36" i="2"/>
  <c r="BX36" i="2" l="1"/>
  <c r="BW36" i="2"/>
  <c r="BU37" i="2"/>
  <c r="BV38" i="2"/>
  <c r="BU38" i="2" l="1"/>
  <c r="BV39" i="2"/>
  <c r="BW38" i="2" l="1"/>
  <c r="BX38" i="2"/>
  <c r="BU39" i="2"/>
  <c r="BV40" i="2"/>
  <c r="BU40" i="2" l="1"/>
  <c r="BV41" i="2"/>
  <c r="BU41" i="2" l="1"/>
  <c r="BV42" i="2"/>
  <c r="BX40" i="2"/>
  <c r="BW40" i="2"/>
  <c r="BV43" i="2" l="1"/>
  <c r="BU42" i="2"/>
  <c r="BW42" i="2" l="1"/>
  <c r="BX42" i="2"/>
  <c r="BV44" i="2"/>
  <c r="BU43" i="2"/>
  <c r="BV45" i="2" l="1"/>
  <c r="BU44" i="2"/>
  <c r="BX44" i="2" l="1"/>
  <c r="BW44" i="2"/>
  <c r="BU45" i="2"/>
  <c r="BV46" i="2"/>
  <c r="BU46" i="2" l="1"/>
  <c r="BV47" i="2"/>
  <c r="BU47" i="2" l="1"/>
  <c r="BV48" i="2"/>
  <c r="BX46" i="2"/>
  <c r="BW46" i="2"/>
  <c r="BU48" i="2" l="1"/>
  <c r="BV49" i="2"/>
  <c r="BU49" i="2" l="1"/>
  <c r="BV50" i="2"/>
  <c r="BX48" i="2"/>
  <c r="BW48" i="2"/>
  <c r="BV51" i="2" l="1"/>
  <c r="BU50" i="2"/>
  <c r="BW50" i="2" l="1"/>
  <c r="BX50" i="2"/>
  <c r="BV52" i="2"/>
  <c r="BU51" i="2"/>
  <c r="BV53" i="2" l="1"/>
  <c r="BU52" i="2"/>
  <c r="BW52" i="2" l="1"/>
  <c r="BX52" i="2"/>
  <c r="BU53" i="2"/>
  <c r="BV54" i="2"/>
  <c r="BU54" i="2" l="1"/>
  <c r="BV55" i="2"/>
  <c r="BU55" i="2" l="1"/>
  <c r="BV56" i="2"/>
  <c r="BX54" i="2"/>
  <c r="BW54" i="2"/>
  <c r="BU56" i="2" l="1"/>
  <c r="BV57" i="2"/>
  <c r="BU57" i="2" l="1"/>
  <c r="BV58" i="2"/>
  <c r="BW56" i="2"/>
  <c r="BX56" i="2"/>
  <c r="BV59" i="2" l="1"/>
  <c r="BU58" i="2"/>
  <c r="BX58" i="2" l="1"/>
  <c r="BW58" i="2"/>
  <c r="BV60" i="2"/>
  <c r="BU59" i="2"/>
  <c r="BV61" i="2" l="1"/>
  <c r="BU60" i="2"/>
  <c r="BX60" i="2" l="1"/>
  <c r="BW60" i="2"/>
  <c r="BU61" i="2"/>
  <c r="BV62" i="2"/>
  <c r="BU62" i="2" l="1"/>
  <c r="BV63" i="2"/>
  <c r="BU63" i="2" l="1"/>
  <c r="BV64" i="2"/>
  <c r="BX62" i="2"/>
  <c r="BW62" i="2"/>
  <c r="BU64" i="2" l="1"/>
  <c r="BV65" i="2"/>
  <c r="BX64" i="2" l="1"/>
  <c r="BW64" i="2"/>
  <c r="BU65" i="2"/>
  <c r="BV66" i="2"/>
  <c r="BV67" i="2" l="1"/>
  <c r="BU66" i="2"/>
  <c r="BW66" i="2" l="1"/>
  <c r="BX66" i="2"/>
  <c r="BV68" i="2"/>
  <c r="BU67" i="2"/>
  <c r="BV69" i="2" l="1"/>
  <c r="BU68" i="2"/>
  <c r="BX68" i="2" l="1"/>
  <c r="BW68" i="2"/>
  <c r="BU69" i="2"/>
  <c r="BV70" i="2"/>
  <c r="BU70" i="2" l="1"/>
  <c r="BV71" i="2"/>
  <c r="BU71" i="2" l="1"/>
  <c r="BV72" i="2"/>
  <c r="BW70" i="2"/>
  <c r="BX70" i="2"/>
  <c r="BU72" i="2" l="1"/>
  <c r="BV73" i="2"/>
  <c r="BU73" i="2" l="1"/>
  <c r="BV74" i="2"/>
  <c r="BX72" i="2"/>
  <c r="BW72" i="2"/>
  <c r="BV75" i="2" l="1"/>
  <c r="BU74" i="2"/>
  <c r="BX74" i="2" l="1"/>
  <c r="BW74" i="2"/>
  <c r="BV76" i="2"/>
  <c r="BU75" i="2"/>
  <c r="BV77" i="2" l="1"/>
  <c r="BU76" i="2"/>
  <c r="BX76" i="2" l="1"/>
  <c r="BW76" i="2"/>
  <c r="BU77" i="2"/>
  <c r="BV78" i="2"/>
  <c r="BU78" i="2" l="1"/>
  <c r="BV79" i="2"/>
  <c r="BU79" i="2" l="1"/>
  <c r="BV80" i="2"/>
  <c r="BW78" i="2"/>
  <c r="BX78" i="2"/>
  <c r="BU80" i="2" l="1"/>
  <c r="BV81" i="2"/>
  <c r="BU81" i="2" l="1"/>
  <c r="BV82" i="2"/>
  <c r="BX80" i="2"/>
  <c r="BW80" i="2"/>
  <c r="BV83" i="2" l="1"/>
  <c r="BU82" i="2"/>
  <c r="BV84" i="2" l="1"/>
  <c r="BU83" i="2"/>
  <c r="BX82" i="2"/>
  <c r="BW82" i="2"/>
  <c r="BV85" i="2" l="1"/>
  <c r="BU84" i="2"/>
  <c r="BW84" i="2" l="1"/>
  <c r="BX84" i="2"/>
  <c r="BU85" i="2"/>
  <c r="BV86" i="2"/>
  <c r="BU86" i="2" l="1"/>
  <c r="BV87" i="2"/>
  <c r="BU87" i="2" l="1"/>
  <c r="BV88" i="2"/>
  <c r="BX86" i="2"/>
  <c r="BW86" i="2"/>
  <c r="BU88" i="2" l="1"/>
  <c r="BV89" i="2"/>
  <c r="BU89" i="2" l="1"/>
  <c r="BV90" i="2"/>
  <c r="BW88" i="2"/>
  <c r="BX88" i="2"/>
  <c r="BV91" i="2" l="1"/>
  <c r="BU90" i="2"/>
  <c r="BW90" i="2" l="1"/>
  <c r="BX90" i="2"/>
  <c r="BV92" i="2"/>
  <c r="BU91" i="2"/>
  <c r="BV93" i="2" l="1"/>
  <c r="BU92" i="2"/>
  <c r="BW92" i="2" l="1"/>
  <c r="BX92" i="2"/>
  <c r="BU93" i="2"/>
  <c r="BV94" i="2"/>
  <c r="BU94" i="2" l="1"/>
  <c r="BV95" i="2"/>
  <c r="BU95" i="2" l="1"/>
  <c r="BV96" i="2"/>
  <c r="BW94" i="2"/>
  <c r="BX94" i="2"/>
  <c r="BU96" i="2" l="1"/>
  <c r="BV97" i="2"/>
  <c r="BW96" i="2" l="1"/>
  <c r="BX96" i="2"/>
  <c r="BU97" i="2"/>
  <c r="BV98" i="2"/>
  <c r="BV99" i="2" l="1"/>
  <c r="BU98" i="2"/>
  <c r="BW98" i="2" l="1"/>
  <c r="BX98" i="2"/>
  <c r="BV100" i="2"/>
  <c r="BU99" i="2"/>
  <c r="BV101" i="2" l="1"/>
  <c r="BU100" i="2"/>
  <c r="BW100" i="2" l="1"/>
  <c r="BX100" i="2"/>
  <c r="BU101" i="2"/>
  <c r="BV102" i="2"/>
  <c r="BU102" i="2" l="1"/>
  <c r="BV103" i="2"/>
  <c r="BU103" i="2" l="1"/>
  <c r="BV104" i="2"/>
  <c r="BX102" i="2"/>
  <c r="BW102" i="2"/>
  <c r="BU104" i="2" l="1"/>
  <c r="BV105" i="2"/>
  <c r="BU105" i="2" l="1"/>
  <c r="BV106" i="2"/>
  <c r="BW104" i="2"/>
  <c r="BX104" i="2"/>
  <c r="BV107" i="2" l="1"/>
  <c r="BU106" i="2"/>
  <c r="BW106" i="2" l="1"/>
  <c r="BX106" i="2"/>
  <c r="BV108" i="2"/>
  <c r="BU107" i="2"/>
  <c r="BV109" i="2" l="1"/>
  <c r="BU108" i="2"/>
  <c r="BX108" i="2" l="1"/>
  <c r="BW108" i="2"/>
  <c r="BU109" i="2"/>
  <c r="BV110" i="2"/>
  <c r="BU110" i="2" l="1"/>
  <c r="BV111" i="2"/>
  <c r="BW110" i="2" l="1"/>
  <c r="BX110" i="2"/>
  <c r="BU111" i="2"/>
  <c r="BV112" i="2"/>
  <c r="BU112" i="2" l="1"/>
  <c r="BV113" i="2"/>
  <c r="BX112" i="2" l="1"/>
  <c r="BW112" i="2"/>
  <c r="BU113" i="2"/>
  <c r="BV114" i="2"/>
  <c r="BV115" i="2" l="1"/>
  <c r="BU114" i="2"/>
  <c r="BX114" i="2" l="1"/>
  <c r="BW114" i="2"/>
  <c r="BV116" i="2"/>
  <c r="BU115" i="2"/>
  <c r="BV117" i="2" l="1"/>
  <c r="BU116" i="2"/>
  <c r="BW116" i="2" l="1"/>
  <c r="BX116" i="2"/>
  <c r="BU117" i="2"/>
  <c r="BV118" i="2"/>
  <c r="BU118" i="2" l="1"/>
  <c r="BV119" i="2"/>
  <c r="BW118" i="2" l="1"/>
  <c r="BX118" i="2"/>
  <c r="BU119" i="2"/>
  <c r="BV120" i="2"/>
  <c r="BU120" i="2" l="1"/>
  <c r="BV121" i="2"/>
  <c r="BU121" i="2" l="1"/>
  <c r="BV122" i="2"/>
  <c r="BW120" i="2"/>
  <c r="BX120" i="2"/>
  <c r="BV123" i="2" l="1"/>
  <c r="BU122" i="2"/>
  <c r="BX122" i="2" l="1"/>
  <c r="BW122" i="2"/>
  <c r="BV124" i="2"/>
  <c r="BU123" i="2"/>
  <c r="BV125" i="2" l="1"/>
  <c r="BU124" i="2"/>
  <c r="BU125" i="2" l="1"/>
  <c r="BV126" i="2"/>
  <c r="BW124" i="2"/>
  <c r="BX124" i="2"/>
  <c r="BU126" i="2" l="1"/>
  <c r="BV127" i="2"/>
  <c r="BU127" i="2" l="1"/>
  <c r="BV128" i="2"/>
  <c r="BX126" i="2"/>
  <c r="BW126" i="2"/>
  <c r="BU128" i="2" l="1"/>
  <c r="BV129" i="2"/>
  <c r="BU129" i="2" l="1"/>
  <c r="BV130" i="2"/>
  <c r="BX128" i="2"/>
  <c r="BW128" i="2"/>
  <c r="BV131" i="2" l="1"/>
  <c r="BU130" i="2"/>
  <c r="BV132" i="2" l="1"/>
  <c r="BU131" i="2"/>
  <c r="BX130" i="2"/>
  <c r="BW130" i="2"/>
  <c r="BV133" i="2" l="1"/>
  <c r="BU132" i="2"/>
  <c r="BX132" i="2" l="1"/>
  <c r="BW132" i="2"/>
  <c r="BU133" i="2"/>
  <c r="BV134" i="2"/>
  <c r="BU134" i="2" l="1"/>
  <c r="BV135" i="2"/>
  <c r="BU135" i="2" l="1"/>
  <c r="BV136" i="2"/>
  <c r="BX134" i="2"/>
  <c r="BW134" i="2"/>
  <c r="BU136" i="2" l="1"/>
  <c r="BV137" i="2"/>
  <c r="BU137" i="2" l="1"/>
  <c r="BV138" i="2"/>
  <c r="BX136" i="2"/>
  <c r="BW136" i="2"/>
  <c r="BV139" i="2" l="1"/>
  <c r="BU138" i="2"/>
  <c r="BX138" i="2" l="1"/>
  <c r="BW138" i="2"/>
  <c r="BV140" i="2"/>
  <c r="BU139" i="2"/>
  <c r="BV141" i="2" l="1"/>
  <c r="BU140" i="2"/>
  <c r="BW140" i="2" l="1"/>
  <c r="BX140" i="2"/>
  <c r="BU141" i="2"/>
  <c r="BV142" i="2"/>
  <c r="BU142" i="2" l="1"/>
  <c r="BV143" i="2"/>
  <c r="BU143" i="2" l="1"/>
  <c r="BV144" i="2"/>
  <c r="BW142" i="2"/>
  <c r="BX142" i="2"/>
  <c r="BU144" i="2" l="1"/>
  <c r="BV145" i="2"/>
  <c r="BU145" i="2" l="1"/>
  <c r="BV146" i="2"/>
  <c r="BX144" i="2"/>
  <c r="BW144" i="2"/>
  <c r="BV147" i="2" l="1"/>
  <c r="BU146" i="2"/>
  <c r="BX146" i="2" l="1"/>
  <c r="BW146" i="2"/>
  <c r="BV148" i="2"/>
  <c r="BU147" i="2"/>
  <c r="BV149" i="2" l="1"/>
  <c r="BU148" i="2"/>
  <c r="BW148" i="2" l="1"/>
  <c r="BX148" i="2"/>
  <c r="BU149" i="2"/>
  <c r="BV150" i="2"/>
  <c r="BU150" i="2" l="1"/>
  <c r="BV151" i="2"/>
  <c r="BU151" i="2" l="1"/>
  <c r="BV152" i="2"/>
  <c r="BX150" i="2"/>
  <c r="BW150" i="2"/>
  <c r="BU152" i="2" l="1"/>
  <c r="BV153" i="2"/>
  <c r="BU153" i="2" l="1"/>
  <c r="BV154" i="2"/>
  <c r="BX152" i="2"/>
  <c r="BW152" i="2"/>
  <c r="BV155" i="2" l="1"/>
  <c r="BU154" i="2"/>
  <c r="BX154" i="2" l="1"/>
  <c r="BW154" i="2"/>
  <c r="BV156" i="2"/>
  <c r="BU155" i="2"/>
  <c r="BV157" i="2" l="1"/>
  <c r="BU156" i="2"/>
  <c r="BW156" i="2" l="1"/>
  <c r="BX156" i="2"/>
  <c r="BU157" i="2"/>
  <c r="BV158" i="2"/>
  <c r="BU158" i="2" l="1"/>
  <c r="BV159" i="2"/>
  <c r="BU159" i="2" l="1"/>
  <c r="BV160" i="2"/>
  <c r="BX158" i="2"/>
  <c r="BW158" i="2"/>
  <c r="BU160" i="2" l="1"/>
  <c r="BV161" i="2"/>
  <c r="BU161" i="2" l="1"/>
  <c r="BV162" i="2"/>
  <c r="BX160" i="2"/>
  <c r="BW160" i="2"/>
  <c r="BV163" i="2" l="1"/>
  <c r="BU162" i="2"/>
  <c r="BX162" i="2" l="1"/>
  <c r="BW162" i="2"/>
  <c r="BV164" i="2"/>
  <c r="BU163" i="2"/>
  <c r="BV165" i="2" l="1"/>
  <c r="BU164" i="2"/>
  <c r="BX164" i="2" l="1"/>
  <c r="BW164" i="2"/>
  <c r="BU165" i="2"/>
  <c r="BV166" i="2"/>
  <c r="BU166" i="2" l="1"/>
  <c r="BV167" i="2"/>
  <c r="BU167" i="2" l="1"/>
  <c r="BV168" i="2"/>
  <c r="BX166" i="2"/>
  <c r="BW166" i="2"/>
  <c r="BU168" i="2" l="1"/>
  <c r="BV169" i="2"/>
  <c r="BU169" i="2" l="1"/>
  <c r="BV170" i="2"/>
  <c r="BX168" i="2"/>
  <c r="BW168" i="2"/>
  <c r="BV171" i="2" l="1"/>
  <c r="BU170" i="2"/>
  <c r="BX170" i="2" l="1"/>
  <c r="BW170" i="2"/>
  <c r="BV172" i="2"/>
  <c r="BU171" i="2"/>
  <c r="BV173" i="2" l="1"/>
  <c r="BU172" i="2"/>
  <c r="BX172" i="2" l="1"/>
  <c r="BW172" i="2"/>
  <c r="BU173" i="2"/>
  <c r="BV174" i="2"/>
  <c r="BU174" i="2" l="1"/>
  <c r="BV175" i="2"/>
  <c r="BU175" i="2" l="1"/>
  <c r="BV176" i="2"/>
  <c r="BW174" i="2"/>
  <c r="BX174" i="2"/>
  <c r="BU176" i="2" l="1"/>
  <c r="BV177" i="2"/>
  <c r="BU177" i="2" l="1"/>
  <c r="BV178" i="2"/>
  <c r="BX176" i="2"/>
  <c r="BW176" i="2"/>
  <c r="BV179" i="2" l="1"/>
  <c r="BU178" i="2"/>
  <c r="BX178" i="2" l="1"/>
  <c r="BW178" i="2"/>
  <c r="BV180" i="2"/>
  <c r="BU179" i="2"/>
  <c r="BV181" i="2" l="1"/>
  <c r="BU180" i="2"/>
  <c r="BW180" i="2" l="1"/>
  <c r="BX180" i="2"/>
  <c r="BU181" i="2"/>
  <c r="BV182" i="2"/>
  <c r="BU182" i="2" l="1"/>
  <c r="BV183" i="2"/>
  <c r="BU183" i="2" l="1"/>
  <c r="BV184" i="2"/>
  <c r="BW182" i="2"/>
  <c r="BX182" i="2"/>
  <c r="BU184" i="2" l="1"/>
  <c r="BV185" i="2"/>
  <c r="BU185" i="2" l="1"/>
  <c r="BV186" i="2"/>
  <c r="BX184" i="2"/>
  <c r="BW184" i="2"/>
  <c r="BV187" i="2" l="1"/>
  <c r="BU186" i="2"/>
  <c r="BX186" i="2" l="1"/>
  <c r="BW186" i="2"/>
  <c r="BV188" i="2"/>
  <c r="BU187" i="2"/>
  <c r="BV189" i="2" l="1"/>
  <c r="BU188" i="2"/>
  <c r="BX188" i="2" l="1"/>
  <c r="BW188" i="2"/>
  <c r="BU189" i="2"/>
  <c r="BV190" i="2"/>
  <c r="BU190" i="2" l="1"/>
  <c r="BV191" i="2"/>
  <c r="BU191" i="2" l="1"/>
  <c r="BV192" i="2"/>
  <c r="BX190" i="2"/>
  <c r="BW190" i="2"/>
  <c r="BU192" i="2" l="1"/>
  <c r="BV193" i="2"/>
  <c r="BU193" i="2" l="1"/>
  <c r="BV194" i="2"/>
  <c r="BX192" i="2"/>
  <c r="BW192" i="2"/>
  <c r="BV195" i="2" l="1"/>
  <c r="BU194" i="2"/>
  <c r="BX194" i="2" l="1"/>
  <c r="BW194" i="2"/>
  <c r="BV196" i="2"/>
  <c r="BU195" i="2"/>
  <c r="BV197" i="2" l="1"/>
  <c r="BU196" i="2"/>
  <c r="BX196" i="2" l="1"/>
  <c r="BW196" i="2"/>
  <c r="BU197" i="2"/>
  <c r="BV198" i="2"/>
  <c r="BU198" i="2" l="1"/>
  <c r="BV199" i="2"/>
  <c r="BU199" i="2" l="1"/>
  <c r="BV200" i="2"/>
  <c r="BX198" i="2"/>
  <c r="BW198" i="2"/>
  <c r="BU200" i="2" l="1"/>
  <c r="BV201" i="2"/>
  <c r="BU201" i="2" l="1"/>
  <c r="BV202" i="2"/>
  <c r="BX200" i="2"/>
  <c r="BW200" i="2"/>
  <c r="BV203" i="2" l="1"/>
  <c r="BU202" i="2"/>
  <c r="BX202" i="2" l="1"/>
  <c r="BW202" i="2"/>
  <c r="BV204" i="2"/>
  <c r="BU203" i="2"/>
  <c r="BV205" i="2" l="1"/>
  <c r="BU204" i="2"/>
  <c r="BX204" i="2" l="1"/>
  <c r="BW204" i="2"/>
  <c r="BU205" i="2"/>
  <c r="BV206" i="2"/>
  <c r="BU206" i="2" l="1"/>
  <c r="BV207" i="2"/>
  <c r="BU207" i="2" l="1"/>
  <c r="BV208" i="2"/>
  <c r="BU208" i="2" s="1"/>
  <c r="BW206" i="2"/>
  <c r="BX206" i="2"/>
  <c r="BX208" i="2" l="1"/>
  <c r="BW208" i="2"/>
</calcChain>
</file>

<file path=xl/sharedStrings.xml><?xml version="1.0" encoding="utf-8"?>
<sst xmlns="http://schemas.openxmlformats.org/spreadsheetml/2006/main" count="490" uniqueCount="280">
  <si>
    <t>Ion</t>
  </si>
  <si>
    <t>Charge</t>
  </si>
  <si>
    <t>Meq/mg</t>
  </si>
  <si>
    <t>Phrase</t>
  </si>
  <si>
    <t>Calcium</t>
  </si>
  <si>
    <t>Magnesium</t>
  </si>
  <si>
    <t>Sodium</t>
  </si>
  <si>
    <t>Potassium</t>
  </si>
  <si>
    <t>Chloride</t>
  </si>
  <si>
    <t>Fluoride</t>
  </si>
  <si>
    <t>Bicarbonate</t>
  </si>
  <si>
    <t>Carbonate</t>
  </si>
  <si>
    <t>Sulfate</t>
  </si>
  <si>
    <t>Triangle-X</t>
  </si>
  <si>
    <t>Triangle-Y_KEEP</t>
  </si>
  <si>
    <t>Cation</t>
  </si>
  <si>
    <t>Anion</t>
  </si>
  <si>
    <t>Diamond</t>
  </si>
  <si>
    <t>Offset =</t>
  </si>
  <si>
    <t>Number of divisions =</t>
  </si>
  <si>
    <r>
      <t>Ca</t>
    </r>
    <r>
      <rPr>
        <sz val="11"/>
        <color theme="1"/>
        <rFont val="Calibri"/>
        <family val="2"/>
      </rPr>
      <t>²</t>
    </r>
    <r>
      <rPr>
        <sz val="11"/>
        <color theme="1"/>
        <rFont val="Calibri"/>
        <family val="2"/>
        <scheme val="minor"/>
      </rPr>
      <t>⁺</t>
    </r>
  </si>
  <si>
    <t>Mg²⁺</t>
  </si>
  <si>
    <t>Na⁺</t>
  </si>
  <si>
    <t>K⁺</t>
  </si>
  <si>
    <r>
      <t>Cl</t>
    </r>
    <r>
      <rPr>
        <sz val="11"/>
        <color theme="1"/>
        <rFont val="Calibri"/>
        <family val="2"/>
      </rPr>
      <t>⁻</t>
    </r>
  </si>
  <si>
    <r>
      <t>HCO</t>
    </r>
    <r>
      <rPr>
        <sz val="11"/>
        <color theme="1"/>
        <rFont val="Calibri"/>
        <family val="2"/>
      </rPr>
      <t>₃</t>
    </r>
    <r>
      <rPr>
        <sz val="11"/>
        <color theme="1"/>
        <rFont val="Calibri"/>
        <family val="2"/>
        <scheme val="minor"/>
      </rPr>
      <t>⁻</t>
    </r>
  </si>
  <si>
    <t>F⁻</t>
  </si>
  <si>
    <r>
      <t>CO</t>
    </r>
    <r>
      <rPr>
        <sz val="11"/>
        <color theme="1"/>
        <rFont val="Calibri"/>
        <family val="2"/>
      </rPr>
      <t>₃</t>
    </r>
    <r>
      <rPr>
        <sz val="11"/>
        <color theme="1"/>
        <rFont val="Calibri"/>
        <family val="2"/>
        <scheme val="minor"/>
      </rPr>
      <t>⁻</t>
    </r>
  </si>
  <si>
    <r>
      <t>SO</t>
    </r>
    <r>
      <rPr>
        <sz val="11"/>
        <color theme="1"/>
        <rFont val="Calibri"/>
        <family val="2"/>
      </rPr>
      <t>₄²</t>
    </r>
    <r>
      <rPr>
        <sz val="11"/>
        <color theme="1"/>
        <rFont val="Calibri"/>
        <family val="2"/>
        <scheme val="minor"/>
      </rPr>
      <t>⁻</t>
    </r>
  </si>
  <si>
    <t>Group</t>
  </si>
  <si>
    <t>Site</t>
  </si>
  <si>
    <t>DIAMOND</t>
  </si>
  <si>
    <t>Bottom</t>
  </si>
  <si>
    <t>Ca²⁺</t>
  </si>
  <si>
    <t>HCO₃⁻</t>
  </si>
  <si>
    <t>CO₃⁻</t>
  </si>
  <si>
    <t>Cl⁻</t>
  </si>
  <si>
    <t>SO₄²⁻</t>
  </si>
  <si>
    <t>Side</t>
  </si>
  <si>
    <t>Element</t>
  </si>
  <si>
    <t>row</t>
  </si>
  <si>
    <t>Milliequivalents</t>
  </si>
  <si>
    <t>Cat/Anion</t>
  </si>
  <si>
    <t>Cat_Bottom</t>
  </si>
  <si>
    <t>Cat_Side</t>
  </si>
  <si>
    <t>Cat_DIAMOND</t>
  </si>
  <si>
    <t>An_Bottom</t>
  </si>
  <si>
    <t>An_Side</t>
  </si>
  <si>
    <t>An_DIAMOND</t>
  </si>
  <si>
    <t>Count =</t>
  </si>
  <si>
    <t>PartCNT</t>
  </si>
  <si>
    <t>Percentage</t>
  </si>
  <si>
    <t>x</t>
  </si>
  <si>
    <t>Y</t>
  </si>
  <si>
    <t>Null =</t>
  </si>
  <si>
    <t>TDS, mg/L</t>
  </si>
  <si>
    <t>Show</t>
  </si>
  <si>
    <t>Row OFF =</t>
  </si>
  <si>
    <t>AW</t>
  </si>
  <si>
    <t>LabelOffset:</t>
  </si>
  <si>
    <t>ValueOffset:</t>
  </si>
  <si>
    <t>fraction</t>
  </si>
  <si>
    <t>CATION GRIDS</t>
  </si>
  <si>
    <t>GRIDS_KEEP</t>
  </si>
  <si>
    <t>X</t>
  </si>
  <si>
    <t>Y-Label_KEEP</t>
  </si>
  <si>
    <t>LABELS</t>
  </si>
  <si>
    <t>Angle</t>
  </si>
  <si>
    <t>XGrid-Bottom</t>
  </si>
  <si>
    <t>XGrid-Left</t>
  </si>
  <si>
    <t>Xgrid-DIAMOND</t>
  </si>
  <si>
    <t>ANION GRIDS</t>
  </si>
  <si>
    <t>Xgrid-Right</t>
  </si>
  <si>
    <t>x-left</t>
  </si>
  <si>
    <t>X-right</t>
  </si>
  <si>
    <t xml:space="preserve"> + </t>
  </si>
  <si>
    <t>Addition symbol in labels:</t>
  </si>
  <si>
    <t>Position</t>
  </si>
  <si>
    <t>Size</t>
  </si>
  <si>
    <t>Visible Sites</t>
  </si>
  <si>
    <t>Visible</t>
  </si>
  <si>
    <t>VisCOUNT</t>
  </si>
  <si>
    <t>E</t>
  </si>
  <si>
    <t>Text format:</t>
  </si>
  <si>
    <t>#,##0.</t>
  </si>
  <si>
    <t>Highlight &gt;</t>
  </si>
  <si>
    <t>Charge balance</t>
  </si>
  <si>
    <t>Longitude</t>
  </si>
  <si>
    <t>Latitude</t>
  </si>
  <si>
    <t>Groups :</t>
  </si>
  <si>
    <t>CATION</t>
  </si>
  <si>
    <t>ANION</t>
  </si>
  <si>
    <t>HCO₃⁻ + CO₃⁻</t>
  </si>
  <si>
    <t>Na⁺ + K⁺</t>
  </si>
  <si>
    <t>Cl⁻ + F⁻</t>
  </si>
  <si>
    <t>Chart Directory:</t>
  </si>
  <si>
    <t>files</t>
  </si>
  <si>
    <t>UL_chart</t>
  </si>
  <si>
    <t>Folder Name:</t>
  </si>
  <si>
    <t>Milliequivalents per liter</t>
  </si>
  <si>
    <t>Output File KML:</t>
  </si>
  <si>
    <t>doc</t>
  </si>
  <si>
    <t>Row of current Site =</t>
  </si>
  <si>
    <t>UL_icon</t>
  </si>
  <si>
    <t>&lt;?xml version="1.0" encoding="UTF-8"?&gt;</t>
  </si>
  <si>
    <t>&lt;kml xmlns="http://www.opengis.net/kml/2.2" xmlns:gx="http://www.google.com/kml/ext/2.2" xmlns:kml="http://www.opengis.net/kml/2.2" xmlns:atom="http://www.w3.org/2005/Atom"&gt;</t>
  </si>
  <si>
    <t>&lt;Document&gt;</t>
  </si>
  <si>
    <t>KML_TEMPLATE</t>
  </si>
  <si>
    <t>Normal Icon scale =</t>
  </si>
  <si>
    <t>Highlight Icon scale =</t>
  </si>
  <si>
    <t>&lt;Style id="sh_StyTAG"&gt;</t>
  </si>
  <si>
    <t>&lt;IconStyle&gt;</t>
  </si>
  <si>
    <t>&lt;hotSpot x="0.5" y="0.0" xunits="fraction" yunits="fraction"/&gt;</t>
  </si>
  <si>
    <t>&lt;/IconStyle&gt;</t>
  </si>
  <si>
    <t>&lt;LabelStyle&gt;</t>
  </si>
  <si>
    <t>&lt;color&gt;ffe7ebef&lt;/color&gt;</t>
  </si>
  <si>
    <t>&lt;/LabelStyle&gt;</t>
  </si>
  <si>
    <t>&lt;/Style&gt;</t>
  </si>
  <si>
    <t>&lt;Style id="sn_StyTAG"&gt;</t>
  </si>
  <si>
    <t>&lt;scale&gt;0.0&lt;/scale&gt;</t>
  </si>
  <si>
    <t>&lt;StyleMap id="msn_StyTAG"&gt;</t>
  </si>
  <si>
    <t>&lt;Pair&gt;&lt;key&gt;normal&lt;/key&gt;&lt;styleUrl&gt;#sn_StyTAG&lt;/styleUrl&gt;&lt;/Pair&gt;</t>
  </si>
  <si>
    <t>&lt;Pair&gt;&lt;key&gt;highlight&lt;/key&gt;&lt;styleUrl&gt;#sh_StyTAG&lt;/styleUrl&gt;&lt;/Pair&gt;</t>
  </si>
  <si>
    <t>&lt;/StyleMap&gt;</t>
  </si>
  <si>
    <t>StyTAG</t>
  </si>
  <si>
    <t>FoldNAME</t>
  </si>
  <si>
    <t>&lt;name&gt;FoldNAME&lt;/name&gt;</t>
  </si>
  <si>
    <t>SclHIGH</t>
  </si>
  <si>
    <t>&lt;scale&gt;SclHIGH&lt;/scale&gt;</t>
  </si>
  <si>
    <t>FileHIGH</t>
  </si>
  <si>
    <t>&lt;Icon&gt;&lt;href&gt;FileHIGH&lt;/href&gt;&lt;/Icon&gt;</t>
  </si>
  <si>
    <t>SclNORM</t>
  </si>
  <si>
    <t>&lt;scale&gt;SclNORM&lt;/scale&gt;</t>
  </si>
  <si>
    <t>FileNORM</t>
  </si>
  <si>
    <t>&lt;Icon&gt;&lt;href&gt;FileNORM&lt;/href&gt;&lt;/Icon&gt;</t>
  </si>
  <si>
    <t>REPEAT</t>
  </si>
  <si>
    <t>REPLACE</t>
  </si>
  <si>
    <t>&lt;Folder&gt;</t>
  </si>
  <si>
    <t>&lt;Placemark&gt;</t>
  </si>
  <si>
    <t>&lt;name&gt;PmarkLABEL&lt;/name&gt;</t>
  </si>
  <si>
    <t>PmarkLABEL</t>
  </si>
  <si>
    <t>&lt;description&gt;</t>
  </si>
  <si>
    <t>&lt;/description&gt;</t>
  </si>
  <si>
    <t>&lt;Point&gt;&lt;coordinates&gt;PmarkCOORD&lt;/coordinates&gt;&lt;/Point&gt;</t>
  </si>
  <si>
    <t>&lt;/Placemark&gt;</t>
  </si>
  <si>
    <t>&lt;styleUrl&gt;#msn_StyTAG&lt;/styleUrl&gt;</t>
  </si>
  <si>
    <t>&lt;/Folder&gt;</t>
  </si>
  <si>
    <t>&lt;/Document&gt;</t>
  </si>
  <si>
    <t>&lt;/kml&gt;</t>
  </si>
  <si>
    <t>Y-axis buffer =</t>
  </si>
  <si>
    <t>~</t>
  </si>
  <si>
    <t>TEMP Directory:</t>
  </si>
  <si>
    <t>TEMP</t>
  </si>
  <si>
    <t>&lt;name&gt;QW-Sites for Piper&lt;/name&gt;</t>
  </si>
  <si>
    <t>PmarkCOORD</t>
  </si>
  <si>
    <t>IonTABLE</t>
  </si>
  <si>
    <t xml:space="preserve">&lt;BalloonStyle&gt;&lt;text&gt;&lt;b&gt;&lt;font color="#000000" size="+1.5"&gt;$[name]&lt;/font&gt;&lt;/b&gt;&lt;br/&gt;$[description]&lt;/text&gt;&lt;/BalloonStyle&gt; </t>
  </si>
  <si>
    <t>&lt;![CDATA[&lt;html&gt;&lt;body&gt;</t>
  </si>
  <si>
    <t>&lt;table cellpadding="0" cellspacing="0" style="font-family:Arial,Verdana,Times;font-size:12px;width:100%;border-collapse:collapse;padding:3px 3px 3px 3px"&gt;</t>
  </si>
  <si>
    <t>&lt;tbody&gt;</t>
  </si>
  <si>
    <t>&lt;/tbody&gt;&lt;/table&gt;&lt;/body&gt;&lt;/html&gt;]]&gt;</t>
  </si>
  <si>
    <t>KML_IonTABLE</t>
  </si>
  <si>
    <t>TDS =</t>
  </si>
  <si>
    <t>LABEL</t>
  </si>
  <si>
    <t>KOLOR</t>
  </si>
  <si>
    <t>&lt;tr bgcolor=#KOLOR style="text-align:right;"&gt; &lt;td&gt;LABEL&lt;/td&gt; &lt;td&gt;VALUE mg/L&lt;/td&gt;</t>
  </si>
  <si>
    <t>BDCBE9</t>
  </si>
  <si>
    <t>FFFFFF</t>
  </si>
  <si>
    <t>D9D9D9</t>
  </si>
  <si>
    <t>&lt;head&gt;&lt;META http-equiv="Content-Type" content="text/html; charset=utf-16"&gt;&lt;meta http-equiv="Content-Type" content="text/html; charset=utf-8"&gt;&lt;/head&gt;</t>
  </si>
  <si>
    <t>&lt;open&gt;1&lt;/open&gt;</t>
  </si>
  <si>
    <r>
      <t>NO</t>
    </r>
    <r>
      <rPr>
        <sz val="11"/>
        <color theme="1"/>
        <rFont val="Calibri"/>
        <family val="2"/>
      </rPr>
      <t>₃</t>
    </r>
    <r>
      <rPr>
        <sz val="11"/>
        <color theme="1"/>
        <rFont val="Calibri"/>
        <family val="2"/>
        <scheme val="minor"/>
      </rPr>
      <t>⁻</t>
    </r>
  </si>
  <si>
    <t>Nitrate</t>
  </si>
  <si>
    <t>BRINE</t>
  </si>
  <si>
    <t>FRESH</t>
  </si>
  <si>
    <t>Label</t>
  </si>
  <si>
    <t>Y-Log</t>
  </si>
  <si>
    <t>step</t>
  </si>
  <si>
    <t>Scale of X-axis:</t>
  </si>
  <si>
    <t>Maximum meq X-axis=</t>
  </si>
  <si>
    <t>X-Axis_Scaling:</t>
  </si>
  <si>
    <t>Major step meq X-axis=</t>
  </si>
  <si>
    <t>Carbonate in Ash Meadows</t>
  </si>
  <si>
    <t>Amargosa Tracer Well 2</t>
  </si>
  <si>
    <t>Army Well #1</t>
  </si>
  <si>
    <t>Central Amargosa Desert</t>
  </si>
  <si>
    <t>AW03</t>
  </si>
  <si>
    <t>AW04</t>
  </si>
  <si>
    <t>AW05</t>
  </si>
  <si>
    <t>AW06</t>
  </si>
  <si>
    <t>AW07</t>
  </si>
  <si>
    <t>AW08</t>
  </si>
  <si>
    <t>AW09</t>
  </si>
  <si>
    <t>AW10</t>
  </si>
  <si>
    <t>AW11</t>
  </si>
  <si>
    <t>AW12</t>
  </si>
  <si>
    <t>AW13</t>
  </si>
  <si>
    <t>AW14</t>
  </si>
  <si>
    <t>AW15</t>
  </si>
  <si>
    <t>AW16</t>
  </si>
  <si>
    <t>AW17</t>
  </si>
  <si>
    <t>AW18</t>
  </si>
  <si>
    <t>AW19</t>
  </si>
  <si>
    <t>AW23</t>
  </si>
  <si>
    <t>AW24</t>
  </si>
  <si>
    <t>AW25</t>
  </si>
  <si>
    <t>AW26</t>
  </si>
  <si>
    <t>Well AD-4 corridor</t>
  </si>
  <si>
    <t>AW27</t>
  </si>
  <si>
    <t>AW28</t>
  </si>
  <si>
    <t>AW29</t>
  </si>
  <si>
    <t>AW30</t>
  </si>
  <si>
    <t>AW31</t>
  </si>
  <si>
    <t>AW32</t>
  </si>
  <si>
    <t>AW33</t>
  </si>
  <si>
    <t>AW34</t>
  </si>
  <si>
    <t>AW35</t>
  </si>
  <si>
    <t>AW36</t>
  </si>
  <si>
    <t>AW37</t>
  </si>
  <si>
    <t>AW38</t>
  </si>
  <si>
    <t>AW39</t>
  </si>
  <si>
    <t>AW40</t>
  </si>
  <si>
    <t>AW41</t>
  </si>
  <si>
    <t>AW42</t>
  </si>
  <si>
    <t>Western Amargosa Desert</t>
  </si>
  <si>
    <t>AW45</t>
  </si>
  <si>
    <t>AW46</t>
  </si>
  <si>
    <t>AW48</t>
  </si>
  <si>
    <t>AW49</t>
  </si>
  <si>
    <t>AW52</t>
  </si>
  <si>
    <t>AW53</t>
  </si>
  <si>
    <t>AW54</t>
  </si>
  <si>
    <t>AW58</t>
  </si>
  <si>
    <t>AW61</t>
  </si>
  <si>
    <t>AW62</t>
  </si>
  <si>
    <t>BGMW-12</t>
  </si>
  <si>
    <t>Ash Meadows discharge area</t>
  </si>
  <si>
    <t>Big Spring</t>
  </si>
  <si>
    <t>Burrel Hot Spring</t>
  </si>
  <si>
    <t>Cold Creek Spring</t>
  </si>
  <si>
    <t>Crystal Pool</t>
  </si>
  <si>
    <t>Death Valley Junction Well</t>
  </si>
  <si>
    <t>Devils Hole</t>
  </si>
  <si>
    <t>Devils Hole Well</t>
  </si>
  <si>
    <t>Fairbanks Spring</t>
  </si>
  <si>
    <t>Five Springs Area</t>
  </si>
  <si>
    <t>Grapevine Spring</t>
  </si>
  <si>
    <t>II-1</t>
  </si>
  <si>
    <t>II-2</t>
  </si>
  <si>
    <t>Inyo-BLM 1</t>
  </si>
  <si>
    <t>Yucca Mtn–Jackass Flats</t>
  </si>
  <si>
    <t>J-12 WW</t>
  </si>
  <si>
    <t>J-13 WW</t>
  </si>
  <si>
    <t>Jack Rabbit Spring</t>
  </si>
  <si>
    <t>King Pool Spring</t>
  </si>
  <si>
    <t>Longstreet Spring</t>
  </si>
  <si>
    <t>Navel Spring</t>
  </si>
  <si>
    <t>Furnace Creek</t>
  </si>
  <si>
    <t>Nevares Spring</t>
  </si>
  <si>
    <t>North Scruggs Spring</t>
  </si>
  <si>
    <t>Point of Rocks Spring</t>
  </si>
  <si>
    <t>Rogers Spring</t>
  </si>
  <si>
    <t>Soda Spring</t>
  </si>
  <si>
    <t>Texas Spring</t>
  </si>
  <si>
    <t>Travertine springs</t>
  </si>
  <si>
    <t>TW-F</t>
  </si>
  <si>
    <t>UE-25b 1 HTH</t>
  </si>
  <si>
    <t>UE-25c 2 HTH</t>
  </si>
  <si>
    <t>UE-29a 2 HTH</t>
  </si>
  <si>
    <t>USW G-2</t>
  </si>
  <si>
    <t>USW G-4</t>
  </si>
  <si>
    <t>USW H-1 HTH</t>
  </si>
  <si>
    <t>USW H-4 HTH</t>
  </si>
  <si>
    <t>USW H-5 HTH</t>
  </si>
  <si>
    <t>USW H-6 HTH</t>
  </si>
  <si>
    <t>USW VH-1</t>
  </si>
  <si>
    <t>Well U3CN5</t>
  </si>
  <si>
    <t>WW-3</t>
  </si>
  <si>
    <t>WW-C-1</t>
  </si>
  <si>
    <t>Ash Meadows to Furnace Creek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</si>
</sst>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\+0;\-0"/>
    <numFmt numFmtId="165" formatCode="0.0%"/>
    <numFmt numFmtId="166" formatCode="0%;[Red]0%"/>
    <numFmt numFmtId="167" formatCode="mm/dd/yyyy\ hh:mm"/>
    <numFmt numFmtId="168" formatCode="0.00\ &quot;meq/L&quot;"/>
    <numFmt numFmtId="169" formatCode="#,##0.0"/>
    <numFmt numFmtId="170" formatCode="0.\ &quot;meq/L&quot;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1515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BDCBE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69B8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2" borderId="1" xfId="0" applyFill="1" applyBorder="1"/>
    <xf numFmtId="16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0" fontId="3" fillId="0" borderId="0" xfId="0" applyFont="1"/>
    <xf numFmtId="0" fontId="4" fillId="2" borderId="1" xfId="0" applyFont="1" applyFill="1" applyBorder="1" applyAlignment="1">
      <alignment horizontal="center"/>
    </xf>
    <xf numFmtId="2" fontId="2" fillId="0" borderId="0" xfId="0" applyNumberFormat="1" applyFont="1"/>
    <xf numFmtId="2" fontId="4" fillId="2" borderId="1" xfId="0" applyNumberFormat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Continuous"/>
    </xf>
    <xf numFmtId="0" fontId="2" fillId="2" borderId="2" xfId="0" applyFont="1" applyFill="1" applyBorder="1"/>
    <xf numFmtId="165" fontId="2" fillId="0" borderId="0" xfId="0" applyNumberFormat="1" applyFont="1"/>
    <xf numFmtId="0" fontId="2" fillId="0" borderId="0" xfId="0" applyFont="1" applyAlignment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3" fontId="2" fillId="0" borderId="0" xfId="0" applyNumberFormat="1" applyFont="1"/>
    <xf numFmtId="0" fontId="5" fillId="3" borderId="1" xfId="0" applyFont="1" applyFill="1" applyBorder="1" applyAlignment="1">
      <alignment horizontal="center"/>
    </xf>
    <xf numFmtId="0" fontId="0" fillId="5" borderId="2" xfId="0" applyFill="1" applyBorder="1" applyAlignment="1">
      <alignment horizontal="centerContinuous"/>
    </xf>
    <xf numFmtId="0" fontId="0" fillId="2" borderId="1" xfId="0" applyFill="1" applyBorder="1" applyAlignment="1">
      <alignment horizontal="right"/>
    </xf>
    <xf numFmtId="0" fontId="3" fillId="0" borderId="0" xfId="0" applyFont="1" applyAlignment="1">
      <alignment horizontal="left"/>
    </xf>
    <xf numFmtId="2" fontId="2" fillId="0" borderId="0" xfId="0" quotePrefix="1" applyNumberFormat="1" applyFon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0" fontId="0" fillId="0" borderId="1" xfId="0" applyBorder="1"/>
    <xf numFmtId="0" fontId="3" fillId="6" borderId="0" xfId="0" applyFont="1" applyFill="1"/>
    <xf numFmtId="0" fontId="6" fillId="0" borderId="0" xfId="0" quotePrefix="1" applyFont="1"/>
    <xf numFmtId="0" fontId="6" fillId="0" borderId="0" xfId="0" applyFont="1"/>
    <xf numFmtId="0" fontId="0" fillId="0" borderId="0" xfId="0" applyAlignment="1">
      <alignment horizontal="center"/>
    </xf>
    <xf numFmtId="9" fontId="2" fillId="6" borderId="0" xfId="0" applyNumberFormat="1" applyFont="1" applyFill="1" applyAlignment="1">
      <alignment horizontal="right"/>
    </xf>
    <xf numFmtId="166" fontId="2" fillId="0" borderId="0" xfId="0" applyNumberFormat="1" applyFont="1"/>
    <xf numFmtId="0" fontId="0" fillId="6" borderId="0" xfId="0" applyFill="1"/>
    <xf numFmtId="167" fontId="0" fillId="0" borderId="0" xfId="0" applyNumberFormat="1" applyAlignment="1">
      <alignment horizontal="right"/>
    </xf>
    <xf numFmtId="2" fontId="0" fillId="0" borderId="0" xfId="0" applyNumberFormat="1"/>
    <xf numFmtId="1" fontId="0" fillId="0" borderId="0" xfId="0" applyNumberFormat="1"/>
    <xf numFmtId="0" fontId="0" fillId="6" borderId="0" xfId="0" applyFill="1" applyAlignment="1">
      <alignment horizontal="left"/>
    </xf>
    <xf numFmtId="168" fontId="0" fillId="6" borderId="0" xfId="0" applyNumberFormat="1" applyFill="1" applyAlignment="1">
      <alignment horizontal="left"/>
    </xf>
    <xf numFmtId="0" fontId="5" fillId="4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0" xfId="0" applyFill="1"/>
    <xf numFmtId="0" fontId="7" fillId="0" borderId="0" xfId="0" applyFont="1"/>
    <xf numFmtId="0" fontId="7" fillId="2" borderId="1" xfId="0" applyFont="1" applyFill="1" applyBorder="1"/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9" borderId="0" xfId="0" applyFill="1" applyAlignment="1">
      <alignment horizontal="center"/>
    </xf>
    <xf numFmtId="167" fontId="8" fillId="0" borderId="0" xfId="0" applyNumberFormat="1" applyFont="1" applyAlignment="1">
      <alignment horizontal="right"/>
    </xf>
    <xf numFmtId="169" fontId="0" fillId="0" borderId="0" xfId="0" applyNumberFormat="1" applyAlignment="1">
      <alignment horizontal="left"/>
    </xf>
    <xf numFmtId="170" fontId="0" fillId="6" borderId="0" xfId="0" applyNumberFormat="1" applyFill="1" applyAlignment="1">
      <alignment horizontal="left"/>
    </xf>
  </cellXfs>
  <cellStyles count="1">
    <cellStyle name="Normal" xfId="0" builtinId="0"/>
  </cellStyles>
  <dxfs count="3">
    <dxf>
      <fill>
        <patternFill>
          <bgColor rgb="FFFFCDCD"/>
        </patternFill>
      </fill>
    </dxf>
    <dxf>
      <fill>
        <patternFill>
          <bgColor rgb="FFFFCDCD"/>
        </patternFill>
      </fill>
    </dxf>
    <dxf>
      <fill>
        <patternFill>
          <bgColor rgb="FFFFCDCD"/>
        </patternFill>
      </fill>
    </dxf>
  </dxfs>
  <tableStyles count="0" defaultTableStyle="TableStyleMedium2" defaultPivotStyle="PivotStyleLight16"/>
  <colors>
    <mruColors>
      <color rgb="FF0099FF"/>
      <color rgb="FFFFCDCD"/>
      <color rgb="FF84B4E0"/>
      <color rgb="FFFC9204"/>
      <color rgb="FFFF5353"/>
      <color rgb="FF62F200"/>
      <color rgb="FF0069B8"/>
      <color rgb="FF151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"/>
          <c:w val="1"/>
          <c:h val="0.9903788866882437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CONTROL!$BW$6</c:f>
              <c:strCache>
                <c:ptCount val="1"/>
                <c:pt idx="0">
                  <c:v>CATION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CONTROL!$BW$7:$BW$208</c:f>
              <c:numCache>
                <c:formatCode>General</c:formatCode>
                <c:ptCount val="202"/>
                <c:pt idx="0">
                  <c:v>0.2</c:v>
                </c:pt>
                <c:pt idx="1">
                  <c:v>3.4848929167377003</c:v>
                </c:pt>
                <c:pt idx="2">
                  <c:v>0.2</c:v>
                </c:pt>
                <c:pt idx="3">
                  <c:v>3.425175098323106</c:v>
                </c:pt>
                <c:pt idx="4">
                  <c:v>0.2</c:v>
                </c:pt>
                <c:pt idx="5">
                  <c:v>3.3654572799085116</c:v>
                </c:pt>
                <c:pt idx="6">
                  <c:v>0.2</c:v>
                </c:pt>
                <c:pt idx="7">
                  <c:v>3.3057394614939173</c:v>
                </c:pt>
                <c:pt idx="8">
                  <c:v>0.2</c:v>
                </c:pt>
                <c:pt idx="9">
                  <c:v>3.2460216430793229</c:v>
                </c:pt>
                <c:pt idx="10">
                  <c:v>0.2</c:v>
                </c:pt>
                <c:pt idx="11">
                  <c:v>3.1863038246647286</c:v>
                </c:pt>
                <c:pt idx="12">
                  <c:v>0.2</c:v>
                </c:pt>
                <c:pt idx="13">
                  <c:v>3.1265860062501343</c:v>
                </c:pt>
                <c:pt idx="14">
                  <c:v>0.2</c:v>
                </c:pt>
                <c:pt idx="15">
                  <c:v>3.0668681878355399</c:v>
                </c:pt>
                <c:pt idx="16">
                  <c:v>0.2</c:v>
                </c:pt>
                <c:pt idx="17">
                  <c:v>3.0071503694209456</c:v>
                </c:pt>
                <c:pt idx="18">
                  <c:v>0.2</c:v>
                </c:pt>
                <c:pt idx="19">
                  <c:v>2.9474325510063517</c:v>
                </c:pt>
                <c:pt idx="20">
                  <c:v>0.2</c:v>
                </c:pt>
                <c:pt idx="21">
                  <c:v>2.8877147325917569</c:v>
                </c:pt>
                <c:pt idx="22">
                  <c:v>0.2</c:v>
                </c:pt>
                <c:pt idx="23">
                  <c:v>2.8279969141771626</c:v>
                </c:pt>
                <c:pt idx="24">
                  <c:v>0.2</c:v>
                </c:pt>
                <c:pt idx="25">
                  <c:v>2.7682790957625683</c:v>
                </c:pt>
                <c:pt idx="26">
                  <c:v>0.2</c:v>
                </c:pt>
                <c:pt idx="27">
                  <c:v>2.7085612773479739</c:v>
                </c:pt>
                <c:pt idx="28">
                  <c:v>0.2</c:v>
                </c:pt>
                <c:pt idx="29">
                  <c:v>2.6488434589333796</c:v>
                </c:pt>
                <c:pt idx="30">
                  <c:v>0.2</c:v>
                </c:pt>
                <c:pt idx="31">
                  <c:v>2.5891256405187852</c:v>
                </c:pt>
                <c:pt idx="32">
                  <c:v>0.2</c:v>
                </c:pt>
                <c:pt idx="33">
                  <c:v>2.5294078221041909</c:v>
                </c:pt>
                <c:pt idx="34">
                  <c:v>0.2</c:v>
                </c:pt>
                <c:pt idx="35">
                  <c:v>2.4696900036895966</c:v>
                </c:pt>
                <c:pt idx="36">
                  <c:v>0.2</c:v>
                </c:pt>
                <c:pt idx="37">
                  <c:v>2.4099721852750022</c:v>
                </c:pt>
                <c:pt idx="38">
                  <c:v>0.2</c:v>
                </c:pt>
                <c:pt idx="39">
                  <c:v>2.3502543668604075</c:v>
                </c:pt>
                <c:pt idx="40">
                  <c:v>0.2</c:v>
                </c:pt>
                <c:pt idx="41">
                  <c:v>2.2905365484458136</c:v>
                </c:pt>
                <c:pt idx="42">
                  <c:v>0.2</c:v>
                </c:pt>
                <c:pt idx="43">
                  <c:v>2.2308187300312188</c:v>
                </c:pt>
                <c:pt idx="44">
                  <c:v>0.2</c:v>
                </c:pt>
                <c:pt idx="45">
                  <c:v>2.1711009116166249</c:v>
                </c:pt>
                <c:pt idx="46">
                  <c:v>0.2</c:v>
                </c:pt>
                <c:pt idx="47">
                  <c:v>2.1113830932020301</c:v>
                </c:pt>
                <c:pt idx="48">
                  <c:v>0.2</c:v>
                </c:pt>
                <c:pt idx="49">
                  <c:v>2.0516652747874358</c:v>
                </c:pt>
                <c:pt idx="50">
                  <c:v>0.2</c:v>
                </c:pt>
                <c:pt idx="51">
                  <c:v>1.9919474563728414</c:v>
                </c:pt>
                <c:pt idx="52">
                  <c:v>0.2</c:v>
                </c:pt>
                <c:pt idx="53">
                  <c:v>1.9322296379582471</c:v>
                </c:pt>
                <c:pt idx="54">
                  <c:v>0.2</c:v>
                </c:pt>
                <c:pt idx="55">
                  <c:v>1.8725118195436528</c:v>
                </c:pt>
                <c:pt idx="56">
                  <c:v>0.2</c:v>
                </c:pt>
                <c:pt idx="57">
                  <c:v>1.8127940011290582</c:v>
                </c:pt>
                <c:pt idx="58">
                  <c:v>0.2</c:v>
                </c:pt>
                <c:pt idx="59">
                  <c:v>1.7530761827144639</c:v>
                </c:pt>
                <c:pt idx="60">
                  <c:v>0.2</c:v>
                </c:pt>
                <c:pt idx="61">
                  <c:v>1.6933583642998695</c:v>
                </c:pt>
                <c:pt idx="62">
                  <c:v>0.2</c:v>
                </c:pt>
                <c:pt idx="63">
                  <c:v>1.6336405458852752</c:v>
                </c:pt>
                <c:pt idx="64">
                  <c:v>0.2</c:v>
                </c:pt>
                <c:pt idx="65">
                  <c:v>1.5739227274706808</c:v>
                </c:pt>
                <c:pt idx="66">
                  <c:v>0.2</c:v>
                </c:pt>
                <c:pt idx="67">
                  <c:v>1.5142049090560863</c:v>
                </c:pt>
                <c:pt idx="68">
                  <c:v>0.2</c:v>
                </c:pt>
                <c:pt idx="69">
                  <c:v>1.454487090641492</c:v>
                </c:pt>
                <c:pt idx="70">
                  <c:v>0.2</c:v>
                </c:pt>
                <c:pt idx="71">
                  <c:v>1.3947692722268976</c:v>
                </c:pt>
                <c:pt idx="72">
                  <c:v>0.2</c:v>
                </c:pt>
                <c:pt idx="73">
                  <c:v>1.3350514538123033</c:v>
                </c:pt>
                <c:pt idx="74">
                  <c:v>0.2</c:v>
                </c:pt>
                <c:pt idx="75">
                  <c:v>1.2753336353977089</c:v>
                </c:pt>
                <c:pt idx="76">
                  <c:v>0.2</c:v>
                </c:pt>
                <c:pt idx="77">
                  <c:v>1.2156158169831146</c:v>
                </c:pt>
                <c:pt idx="78">
                  <c:v>0.2</c:v>
                </c:pt>
                <c:pt idx="79">
                  <c:v>1.1558979985685203</c:v>
                </c:pt>
                <c:pt idx="80">
                  <c:v>0.2</c:v>
                </c:pt>
                <c:pt idx="81">
                  <c:v>1.0961801801539259</c:v>
                </c:pt>
                <c:pt idx="82">
                  <c:v>0.2</c:v>
                </c:pt>
                <c:pt idx="83">
                  <c:v>1.0364623617393312</c:v>
                </c:pt>
                <c:pt idx="84">
                  <c:v>0.2</c:v>
                </c:pt>
                <c:pt idx="85">
                  <c:v>0.97674454332473681</c:v>
                </c:pt>
                <c:pt idx="86">
                  <c:v>0.2</c:v>
                </c:pt>
                <c:pt idx="87">
                  <c:v>0.91702672491014248</c:v>
                </c:pt>
                <c:pt idx="88">
                  <c:v>0.2</c:v>
                </c:pt>
                <c:pt idx="89">
                  <c:v>0.85730890649554814</c:v>
                </c:pt>
                <c:pt idx="90">
                  <c:v>0.2</c:v>
                </c:pt>
                <c:pt idx="91">
                  <c:v>0.79759108808095425</c:v>
                </c:pt>
                <c:pt idx="92">
                  <c:v>0.2</c:v>
                </c:pt>
                <c:pt idx="93">
                  <c:v>0.73787326966635991</c:v>
                </c:pt>
                <c:pt idx="94">
                  <c:v>0.2</c:v>
                </c:pt>
                <c:pt idx="95">
                  <c:v>0.67815545125176557</c:v>
                </c:pt>
                <c:pt idx="96">
                  <c:v>0.2</c:v>
                </c:pt>
                <c:pt idx="97">
                  <c:v>0.61843763283717079</c:v>
                </c:pt>
                <c:pt idx="98">
                  <c:v>0.2</c:v>
                </c:pt>
                <c:pt idx="99">
                  <c:v>0.55871981442257646</c:v>
                </c:pt>
                <c:pt idx="100">
                  <c:v>0.2</c:v>
                </c:pt>
                <c:pt idx="101">
                  <c:v>0.49900199600798389</c:v>
                </c:pt>
                <c:pt idx="102">
                  <c:v>0.2</c:v>
                </c:pt>
                <c:pt idx="103">
                  <c:v>0.49149737778403435</c:v>
                </c:pt>
                <c:pt idx="104">
                  <c:v>0.2</c:v>
                </c:pt>
                <c:pt idx="105">
                  <c:v>0.48399275956008475</c:v>
                </c:pt>
                <c:pt idx="106">
                  <c:v>0.2</c:v>
                </c:pt>
                <c:pt idx="107">
                  <c:v>0.47648814133613521</c:v>
                </c:pt>
                <c:pt idx="108">
                  <c:v>0.2</c:v>
                </c:pt>
                <c:pt idx="109">
                  <c:v>0.46898352311218566</c:v>
                </c:pt>
                <c:pt idx="110">
                  <c:v>0.2</c:v>
                </c:pt>
                <c:pt idx="111">
                  <c:v>0.46147890488823606</c:v>
                </c:pt>
                <c:pt idx="112">
                  <c:v>0.2</c:v>
                </c:pt>
                <c:pt idx="113">
                  <c:v>0.45397428666428652</c:v>
                </c:pt>
                <c:pt idx="114">
                  <c:v>0.2</c:v>
                </c:pt>
                <c:pt idx="115">
                  <c:v>0.44646966844033698</c:v>
                </c:pt>
                <c:pt idx="116">
                  <c:v>0.2</c:v>
                </c:pt>
                <c:pt idx="117">
                  <c:v>0.43896505021638743</c:v>
                </c:pt>
                <c:pt idx="118">
                  <c:v>0.2</c:v>
                </c:pt>
                <c:pt idx="119">
                  <c:v>0.43146043199243783</c:v>
                </c:pt>
                <c:pt idx="120">
                  <c:v>0.2</c:v>
                </c:pt>
                <c:pt idx="121">
                  <c:v>0.42395581376848829</c:v>
                </c:pt>
                <c:pt idx="122">
                  <c:v>0.2</c:v>
                </c:pt>
                <c:pt idx="123">
                  <c:v>0.41645119554453874</c:v>
                </c:pt>
                <c:pt idx="124">
                  <c:v>0.2</c:v>
                </c:pt>
                <c:pt idx="125">
                  <c:v>0.40894657732058914</c:v>
                </c:pt>
                <c:pt idx="126">
                  <c:v>0.2</c:v>
                </c:pt>
                <c:pt idx="127">
                  <c:v>0.4014419590966396</c:v>
                </c:pt>
                <c:pt idx="128">
                  <c:v>0.2</c:v>
                </c:pt>
                <c:pt idx="129">
                  <c:v>0.39393734087269006</c:v>
                </c:pt>
                <c:pt idx="130">
                  <c:v>0.2</c:v>
                </c:pt>
                <c:pt idx="131">
                  <c:v>0.38643272264874051</c:v>
                </c:pt>
                <c:pt idx="132">
                  <c:v>0.2</c:v>
                </c:pt>
                <c:pt idx="133">
                  <c:v>0.37892810442479097</c:v>
                </c:pt>
                <c:pt idx="134">
                  <c:v>0.2</c:v>
                </c:pt>
                <c:pt idx="135">
                  <c:v>0.37142348620084137</c:v>
                </c:pt>
                <c:pt idx="136">
                  <c:v>0.2</c:v>
                </c:pt>
                <c:pt idx="137">
                  <c:v>0.36391886797689177</c:v>
                </c:pt>
                <c:pt idx="138">
                  <c:v>0.2</c:v>
                </c:pt>
                <c:pt idx="139">
                  <c:v>0.35641424975294222</c:v>
                </c:pt>
                <c:pt idx="140">
                  <c:v>0.2</c:v>
                </c:pt>
                <c:pt idx="141">
                  <c:v>0.34890963152899268</c:v>
                </c:pt>
                <c:pt idx="142">
                  <c:v>0.2</c:v>
                </c:pt>
                <c:pt idx="143">
                  <c:v>0.34140501330504314</c:v>
                </c:pt>
                <c:pt idx="144">
                  <c:v>0.2</c:v>
                </c:pt>
                <c:pt idx="145">
                  <c:v>0.33390039508109359</c:v>
                </c:pt>
                <c:pt idx="146">
                  <c:v>0.2</c:v>
                </c:pt>
                <c:pt idx="147">
                  <c:v>0.32639577685714405</c:v>
                </c:pt>
                <c:pt idx="148">
                  <c:v>0.2</c:v>
                </c:pt>
                <c:pt idx="149">
                  <c:v>0.31889115863319445</c:v>
                </c:pt>
                <c:pt idx="150">
                  <c:v>0.2</c:v>
                </c:pt>
                <c:pt idx="151">
                  <c:v>0.31138654040924491</c:v>
                </c:pt>
                <c:pt idx="152">
                  <c:v>0.2</c:v>
                </c:pt>
                <c:pt idx="153">
                  <c:v>0.30388192218529531</c:v>
                </c:pt>
                <c:pt idx="154">
                  <c:v>0.2</c:v>
                </c:pt>
                <c:pt idx="155">
                  <c:v>0.29637730396134576</c:v>
                </c:pt>
                <c:pt idx="156">
                  <c:v>0.2</c:v>
                </c:pt>
                <c:pt idx="157">
                  <c:v>0.28887268573739622</c:v>
                </c:pt>
                <c:pt idx="158">
                  <c:v>0.2</c:v>
                </c:pt>
                <c:pt idx="159">
                  <c:v>0.28136806751344667</c:v>
                </c:pt>
                <c:pt idx="160">
                  <c:v>0.2</c:v>
                </c:pt>
                <c:pt idx="161">
                  <c:v>0.27386344928949713</c:v>
                </c:pt>
                <c:pt idx="162">
                  <c:v>0.2</c:v>
                </c:pt>
                <c:pt idx="163">
                  <c:v>0.26635883106554753</c:v>
                </c:pt>
                <c:pt idx="164">
                  <c:v>0.2</c:v>
                </c:pt>
                <c:pt idx="165">
                  <c:v>0.25885421284159799</c:v>
                </c:pt>
                <c:pt idx="166">
                  <c:v>0.2</c:v>
                </c:pt>
                <c:pt idx="167">
                  <c:v>0.25134959461764839</c:v>
                </c:pt>
                <c:pt idx="168">
                  <c:v>0.2</c:v>
                </c:pt>
                <c:pt idx="169">
                  <c:v>0.24384497639369884</c:v>
                </c:pt>
                <c:pt idx="170">
                  <c:v>0.2</c:v>
                </c:pt>
                <c:pt idx="171">
                  <c:v>0.2363403581697493</c:v>
                </c:pt>
                <c:pt idx="172">
                  <c:v>0.2</c:v>
                </c:pt>
                <c:pt idx="173">
                  <c:v>0.2288357399457997</c:v>
                </c:pt>
                <c:pt idx="174">
                  <c:v>0.2</c:v>
                </c:pt>
                <c:pt idx="175">
                  <c:v>0.22133112172185015</c:v>
                </c:pt>
                <c:pt idx="176">
                  <c:v>0.2</c:v>
                </c:pt>
                <c:pt idx="177">
                  <c:v>0.21382650349790061</c:v>
                </c:pt>
                <c:pt idx="178">
                  <c:v>0.2</c:v>
                </c:pt>
                <c:pt idx="179">
                  <c:v>0.20632188527395107</c:v>
                </c:pt>
                <c:pt idx="180">
                  <c:v>0.2</c:v>
                </c:pt>
                <c:pt idx="181">
                  <c:v>0.19881726705000147</c:v>
                </c:pt>
                <c:pt idx="182">
                  <c:v>0.2</c:v>
                </c:pt>
                <c:pt idx="183">
                  <c:v>0.19131264882605192</c:v>
                </c:pt>
                <c:pt idx="184">
                  <c:v>0.2</c:v>
                </c:pt>
                <c:pt idx="185">
                  <c:v>0.18380803060210238</c:v>
                </c:pt>
                <c:pt idx="186">
                  <c:v>0.2</c:v>
                </c:pt>
                <c:pt idx="187">
                  <c:v>0.17630341237815284</c:v>
                </c:pt>
                <c:pt idx="188">
                  <c:v>0.2</c:v>
                </c:pt>
                <c:pt idx="189">
                  <c:v>0.16879879415420324</c:v>
                </c:pt>
                <c:pt idx="190">
                  <c:v>0.2</c:v>
                </c:pt>
                <c:pt idx="191">
                  <c:v>0.16129417593025369</c:v>
                </c:pt>
                <c:pt idx="192">
                  <c:v>0.2</c:v>
                </c:pt>
                <c:pt idx="193">
                  <c:v>0.15378955770630415</c:v>
                </c:pt>
                <c:pt idx="194">
                  <c:v>0.2</c:v>
                </c:pt>
                <c:pt idx="195">
                  <c:v>0.14628493948235455</c:v>
                </c:pt>
                <c:pt idx="196">
                  <c:v>0.2</c:v>
                </c:pt>
                <c:pt idx="197">
                  <c:v>0.138780321258405</c:v>
                </c:pt>
                <c:pt idx="198">
                  <c:v>0.2</c:v>
                </c:pt>
                <c:pt idx="199">
                  <c:v>0.13127570303445546</c:v>
                </c:pt>
                <c:pt idx="200">
                  <c:v>0.2</c:v>
                </c:pt>
                <c:pt idx="201">
                  <c:v>0.12377108481050592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5-476C-B157-5B48B17A33B1}"/>
            </c:ext>
          </c:extLst>
        </c:ser>
        <c:ser>
          <c:idx val="1"/>
          <c:order val="1"/>
          <c:tx>
            <c:strRef>
              <c:f>CONTROL!$BX$6</c:f>
              <c:strCache>
                <c:ptCount val="1"/>
                <c:pt idx="0">
                  <c:v>ANION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CONTROL!$BX$7:$BX$208</c:f>
              <c:numCache>
                <c:formatCode>General</c:formatCode>
                <c:ptCount val="202"/>
                <c:pt idx="0">
                  <c:v>-0.2</c:v>
                </c:pt>
                <c:pt idx="1">
                  <c:v>-2.7049180327868854</c:v>
                </c:pt>
                <c:pt idx="2">
                  <c:v>-0.2</c:v>
                </c:pt>
                <c:pt idx="3">
                  <c:v>-2.6691412491192468</c:v>
                </c:pt>
                <c:pt idx="4">
                  <c:v>-0.2</c:v>
                </c:pt>
                <c:pt idx="5">
                  <c:v>-2.6333644654516086</c:v>
                </c:pt>
                <c:pt idx="6">
                  <c:v>-0.2</c:v>
                </c:pt>
                <c:pt idx="7">
                  <c:v>-2.59758768178397</c:v>
                </c:pt>
                <c:pt idx="8">
                  <c:v>-0.2</c:v>
                </c:pt>
                <c:pt idx="9">
                  <c:v>-2.5618108981163319</c:v>
                </c:pt>
                <c:pt idx="10">
                  <c:v>-0.2</c:v>
                </c:pt>
                <c:pt idx="11">
                  <c:v>-2.5260341144486933</c:v>
                </c:pt>
                <c:pt idx="12">
                  <c:v>-0.2</c:v>
                </c:pt>
                <c:pt idx="13">
                  <c:v>-2.4902573307810552</c:v>
                </c:pt>
                <c:pt idx="14">
                  <c:v>-0.2</c:v>
                </c:pt>
                <c:pt idx="15">
                  <c:v>-2.4544805471134166</c:v>
                </c:pt>
                <c:pt idx="16">
                  <c:v>-0.2</c:v>
                </c:pt>
                <c:pt idx="17">
                  <c:v>-2.4187037634457784</c:v>
                </c:pt>
                <c:pt idx="18">
                  <c:v>-0.2</c:v>
                </c:pt>
                <c:pt idx="19">
                  <c:v>-2.3829269797781398</c:v>
                </c:pt>
                <c:pt idx="20">
                  <c:v>-0.2</c:v>
                </c:pt>
                <c:pt idx="21">
                  <c:v>-2.3471501961105012</c:v>
                </c:pt>
                <c:pt idx="22">
                  <c:v>-0.2</c:v>
                </c:pt>
                <c:pt idx="23">
                  <c:v>-2.3113734124428631</c:v>
                </c:pt>
                <c:pt idx="24">
                  <c:v>-0.2</c:v>
                </c:pt>
                <c:pt idx="25">
                  <c:v>-2.2755966287752245</c:v>
                </c:pt>
                <c:pt idx="26">
                  <c:v>-0.2</c:v>
                </c:pt>
                <c:pt idx="27">
                  <c:v>-2.2398198451075859</c:v>
                </c:pt>
                <c:pt idx="28">
                  <c:v>-0.2</c:v>
                </c:pt>
                <c:pt idx="29">
                  <c:v>-2.2040430614399478</c:v>
                </c:pt>
                <c:pt idx="30">
                  <c:v>-0.2</c:v>
                </c:pt>
                <c:pt idx="31">
                  <c:v>-2.1682662777723092</c:v>
                </c:pt>
                <c:pt idx="32">
                  <c:v>-0.2</c:v>
                </c:pt>
                <c:pt idx="33">
                  <c:v>-2.1324894941046706</c:v>
                </c:pt>
                <c:pt idx="34">
                  <c:v>-0.2</c:v>
                </c:pt>
                <c:pt idx="35">
                  <c:v>-2.0967127104370324</c:v>
                </c:pt>
                <c:pt idx="36">
                  <c:v>-0.2</c:v>
                </c:pt>
                <c:pt idx="37">
                  <c:v>-2.0609359267693939</c:v>
                </c:pt>
                <c:pt idx="38">
                  <c:v>-0.2</c:v>
                </c:pt>
                <c:pt idx="39">
                  <c:v>-2.0251591431017557</c:v>
                </c:pt>
                <c:pt idx="40">
                  <c:v>-0.2</c:v>
                </c:pt>
                <c:pt idx="41">
                  <c:v>-1.9893823594341171</c:v>
                </c:pt>
                <c:pt idx="42">
                  <c:v>-0.2</c:v>
                </c:pt>
                <c:pt idx="43">
                  <c:v>-1.9536055757664785</c:v>
                </c:pt>
                <c:pt idx="44">
                  <c:v>-0.2</c:v>
                </c:pt>
                <c:pt idx="45">
                  <c:v>-1.9178287920988402</c:v>
                </c:pt>
                <c:pt idx="46">
                  <c:v>-0.2</c:v>
                </c:pt>
                <c:pt idx="47">
                  <c:v>-1.8820520084312018</c:v>
                </c:pt>
                <c:pt idx="48">
                  <c:v>-0.2</c:v>
                </c:pt>
                <c:pt idx="49">
                  <c:v>-1.8462752247635632</c:v>
                </c:pt>
                <c:pt idx="50">
                  <c:v>-0.2</c:v>
                </c:pt>
                <c:pt idx="51">
                  <c:v>-1.8104984410959248</c:v>
                </c:pt>
                <c:pt idx="52">
                  <c:v>-0.2</c:v>
                </c:pt>
                <c:pt idx="53">
                  <c:v>-1.7747216574282865</c:v>
                </c:pt>
                <c:pt idx="54">
                  <c:v>-0.2</c:v>
                </c:pt>
                <c:pt idx="55">
                  <c:v>-1.7389448737606479</c:v>
                </c:pt>
                <c:pt idx="56">
                  <c:v>-0.2</c:v>
                </c:pt>
                <c:pt idx="57">
                  <c:v>-1.7031680900930095</c:v>
                </c:pt>
                <c:pt idx="58">
                  <c:v>-0.2</c:v>
                </c:pt>
                <c:pt idx="59">
                  <c:v>-1.6673913064253711</c:v>
                </c:pt>
                <c:pt idx="60">
                  <c:v>-0.2</c:v>
                </c:pt>
                <c:pt idx="61">
                  <c:v>-1.6316145227577328</c:v>
                </c:pt>
                <c:pt idx="62">
                  <c:v>-0.2</c:v>
                </c:pt>
                <c:pt idx="63">
                  <c:v>-1.5958377390900942</c:v>
                </c:pt>
                <c:pt idx="64">
                  <c:v>-0.2</c:v>
                </c:pt>
                <c:pt idx="65">
                  <c:v>-1.5600609554224558</c:v>
                </c:pt>
                <c:pt idx="66">
                  <c:v>-0.2</c:v>
                </c:pt>
                <c:pt idx="67">
                  <c:v>-1.5242841717548175</c:v>
                </c:pt>
                <c:pt idx="68">
                  <c:v>-0.2</c:v>
                </c:pt>
                <c:pt idx="69">
                  <c:v>-1.4885073880871789</c:v>
                </c:pt>
                <c:pt idx="70">
                  <c:v>-0.2</c:v>
                </c:pt>
                <c:pt idx="71">
                  <c:v>-1.4527306044195405</c:v>
                </c:pt>
                <c:pt idx="72">
                  <c:v>-0.2</c:v>
                </c:pt>
                <c:pt idx="73">
                  <c:v>-1.4169538207519021</c:v>
                </c:pt>
                <c:pt idx="74">
                  <c:v>-0.2</c:v>
                </c:pt>
                <c:pt idx="75">
                  <c:v>-1.3811770370842638</c:v>
                </c:pt>
                <c:pt idx="76">
                  <c:v>-0.2</c:v>
                </c:pt>
                <c:pt idx="77">
                  <c:v>-1.3454002534166252</c:v>
                </c:pt>
                <c:pt idx="78">
                  <c:v>-0.2</c:v>
                </c:pt>
                <c:pt idx="79">
                  <c:v>-1.3096234697489868</c:v>
                </c:pt>
                <c:pt idx="80">
                  <c:v>-0.2</c:v>
                </c:pt>
                <c:pt idx="81">
                  <c:v>-1.2738466860813484</c:v>
                </c:pt>
                <c:pt idx="82">
                  <c:v>-0.2</c:v>
                </c:pt>
                <c:pt idx="83">
                  <c:v>-1.2380699024137098</c:v>
                </c:pt>
                <c:pt idx="84">
                  <c:v>-0.2</c:v>
                </c:pt>
                <c:pt idx="85">
                  <c:v>-1.2022931187460715</c:v>
                </c:pt>
                <c:pt idx="86">
                  <c:v>-0.2</c:v>
                </c:pt>
                <c:pt idx="87">
                  <c:v>-1.1665163350784331</c:v>
                </c:pt>
                <c:pt idx="88">
                  <c:v>-0.2</c:v>
                </c:pt>
                <c:pt idx="89">
                  <c:v>-1.1307395514107945</c:v>
                </c:pt>
                <c:pt idx="90">
                  <c:v>-0.2</c:v>
                </c:pt>
                <c:pt idx="91">
                  <c:v>-1.0949627677431564</c:v>
                </c:pt>
                <c:pt idx="92">
                  <c:v>-0.2</c:v>
                </c:pt>
                <c:pt idx="93">
                  <c:v>-1.059185984075518</c:v>
                </c:pt>
                <c:pt idx="94">
                  <c:v>-0.2</c:v>
                </c:pt>
                <c:pt idx="95">
                  <c:v>-1.0234092004078794</c:v>
                </c:pt>
                <c:pt idx="96">
                  <c:v>-0.2</c:v>
                </c:pt>
                <c:pt idx="97">
                  <c:v>-0.98763241674024105</c:v>
                </c:pt>
                <c:pt idx="98">
                  <c:v>-0.2</c:v>
                </c:pt>
                <c:pt idx="99">
                  <c:v>-0.95185563307260268</c:v>
                </c:pt>
                <c:pt idx="100">
                  <c:v>-0.2</c:v>
                </c:pt>
                <c:pt idx="101">
                  <c:v>-0.91607884940496498</c:v>
                </c:pt>
                <c:pt idx="102">
                  <c:v>-0.2</c:v>
                </c:pt>
                <c:pt idx="103">
                  <c:v>-0.90625071671065982</c:v>
                </c:pt>
                <c:pt idx="104">
                  <c:v>-0.2</c:v>
                </c:pt>
                <c:pt idx="105">
                  <c:v>-0.89642258401635477</c:v>
                </c:pt>
                <c:pt idx="106">
                  <c:v>-0.2</c:v>
                </c:pt>
                <c:pt idx="107">
                  <c:v>-0.88659445132204961</c:v>
                </c:pt>
                <c:pt idx="108">
                  <c:v>-0.2</c:v>
                </c:pt>
                <c:pt idx="109">
                  <c:v>-0.87676631862774457</c:v>
                </c:pt>
                <c:pt idx="110">
                  <c:v>-0.2</c:v>
                </c:pt>
                <c:pt idx="111">
                  <c:v>-0.86693818593343941</c:v>
                </c:pt>
                <c:pt idx="112">
                  <c:v>-0.2</c:v>
                </c:pt>
                <c:pt idx="113">
                  <c:v>-0.85711005323913425</c:v>
                </c:pt>
                <c:pt idx="114">
                  <c:v>-0.2</c:v>
                </c:pt>
                <c:pt idx="115">
                  <c:v>-0.8472819205448292</c:v>
                </c:pt>
                <c:pt idx="116">
                  <c:v>-0.2</c:v>
                </c:pt>
                <c:pt idx="117">
                  <c:v>-0.83745378785052405</c:v>
                </c:pt>
                <c:pt idx="118">
                  <c:v>-0.2</c:v>
                </c:pt>
                <c:pt idx="119">
                  <c:v>-0.82762565515621889</c:v>
                </c:pt>
                <c:pt idx="120">
                  <c:v>-0.2</c:v>
                </c:pt>
                <c:pt idx="121">
                  <c:v>-0.81779752246191384</c:v>
                </c:pt>
                <c:pt idx="122">
                  <c:v>-0.2</c:v>
                </c:pt>
                <c:pt idx="123">
                  <c:v>-0.80796938976760868</c:v>
                </c:pt>
                <c:pt idx="124">
                  <c:v>-0.2</c:v>
                </c:pt>
                <c:pt idx="125">
                  <c:v>-0.79814125707330352</c:v>
                </c:pt>
                <c:pt idx="126">
                  <c:v>-0.2</c:v>
                </c:pt>
                <c:pt idx="127">
                  <c:v>-0.78831312437899848</c:v>
                </c:pt>
                <c:pt idx="128">
                  <c:v>-0.2</c:v>
                </c:pt>
                <c:pt idx="129">
                  <c:v>-0.77848499168469332</c:v>
                </c:pt>
                <c:pt idx="130">
                  <c:v>-0.2</c:v>
                </c:pt>
                <c:pt idx="131">
                  <c:v>-0.76865685899038827</c:v>
                </c:pt>
                <c:pt idx="132">
                  <c:v>-0.2</c:v>
                </c:pt>
                <c:pt idx="133">
                  <c:v>-0.75882872629608311</c:v>
                </c:pt>
                <c:pt idx="134">
                  <c:v>-0.2</c:v>
                </c:pt>
                <c:pt idx="135">
                  <c:v>-0.74900059360177806</c:v>
                </c:pt>
                <c:pt idx="136">
                  <c:v>-0.2</c:v>
                </c:pt>
                <c:pt idx="137">
                  <c:v>-0.73917246090747291</c:v>
                </c:pt>
                <c:pt idx="138">
                  <c:v>-0.2</c:v>
                </c:pt>
                <c:pt idx="139">
                  <c:v>-0.72934432821316775</c:v>
                </c:pt>
                <c:pt idx="140">
                  <c:v>-0.2</c:v>
                </c:pt>
                <c:pt idx="141">
                  <c:v>-0.71951619551886259</c:v>
                </c:pt>
                <c:pt idx="142">
                  <c:v>-0.2</c:v>
                </c:pt>
                <c:pt idx="143">
                  <c:v>-0.70968806282455754</c:v>
                </c:pt>
                <c:pt idx="144">
                  <c:v>-0.2</c:v>
                </c:pt>
                <c:pt idx="145">
                  <c:v>-0.69985993013025238</c:v>
                </c:pt>
                <c:pt idx="146">
                  <c:v>-0.2</c:v>
                </c:pt>
                <c:pt idx="147">
                  <c:v>-0.69003179743594734</c:v>
                </c:pt>
                <c:pt idx="148">
                  <c:v>-0.2</c:v>
                </c:pt>
                <c:pt idx="149">
                  <c:v>-0.68020366474164218</c:v>
                </c:pt>
                <c:pt idx="150">
                  <c:v>-0.2</c:v>
                </c:pt>
                <c:pt idx="151">
                  <c:v>-0.67037553204733702</c:v>
                </c:pt>
                <c:pt idx="152">
                  <c:v>-0.2</c:v>
                </c:pt>
                <c:pt idx="153">
                  <c:v>-0.66054739935303197</c:v>
                </c:pt>
                <c:pt idx="154">
                  <c:v>-0.2</c:v>
                </c:pt>
                <c:pt idx="155">
                  <c:v>-0.65071926665872681</c:v>
                </c:pt>
                <c:pt idx="156">
                  <c:v>-0.2</c:v>
                </c:pt>
                <c:pt idx="157">
                  <c:v>-0.64089113396442166</c:v>
                </c:pt>
                <c:pt idx="158">
                  <c:v>-0.2</c:v>
                </c:pt>
                <c:pt idx="159">
                  <c:v>-0.63106300127011661</c:v>
                </c:pt>
                <c:pt idx="160">
                  <c:v>-0.2</c:v>
                </c:pt>
                <c:pt idx="161">
                  <c:v>-0.62123486857581156</c:v>
                </c:pt>
                <c:pt idx="162">
                  <c:v>-0.2</c:v>
                </c:pt>
                <c:pt idx="163">
                  <c:v>-0.61140673588150629</c:v>
                </c:pt>
                <c:pt idx="164">
                  <c:v>-0.2</c:v>
                </c:pt>
                <c:pt idx="165">
                  <c:v>-0.60157860318720124</c:v>
                </c:pt>
                <c:pt idx="166">
                  <c:v>-0.2</c:v>
                </c:pt>
                <c:pt idx="167">
                  <c:v>-0.5917504704928962</c:v>
                </c:pt>
                <c:pt idx="168">
                  <c:v>-0.2</c:v>
                </c:pt>
                <c:pt idx="169">
                  <c:v>-0.58192233779859093</c:v>
                </c:pt>
                <c:pt idx="170">
                  <c:v>-0.2</c:v>
                </c:pt>
                <c:pt idx="171">
                  <c:v>-0.57209420510428588</c:v>
                </c:pt>
                <c:pt idx="172">
                  <c:v>-0.2</c:v>
                </c:pt>
                <c:pt idx="173">
                  <c:v>-0.56226607240998072</c:v>
                </c:pt>
                <c:pt idx="174">
                  <c:v>-0.2</c:v>
                </c:pt>
                <c:pt idx="175">
                  <c:v>-0.55243793971567567</c:v>
                </c:pt>
                <c:pt idx="176">
                  <c:v>-0.2</c:v>
                </c:pt>
                <c:pt idx="177">
                  <c:v>-0.54260980702137052</c:v>
                </c:pt>
                <c:pt idx="178">
                  <c:v>-0.2</c:v>
                </c:pt>
                <c:pt idx="179">
                  <c:v>-0.53278167432706547</c:v>
                </c:pt>
                <c:pt idx="180">
                  <c:v>-0.2</c:v>
                </c:pt>
                <c:pt idx="181">
                  <c:v>-0.5229535416327602</c:v>
                </c:pt>
                <c:pt idx="182">
                  <c:v>-0.2</c:v>
                </c:pt>
                <c:pt idx="183">
                  <c:v>-0.51312540893845515</c:v>
                </c:pt>
                <c:pt idx="184">
                  <c:v>-0.2</c:v>
                </c:pt>
                <c:pt idx="185">
                  <c:v>-0.5032972762441501</c:v>
                </c:pt>
                <c:pt idx="186">
                  <c:v>-0.2</c:v>
                </c:pt>
                <c:pt idx="187">
                  <c:v>-0.49346914354984495</c:v>
                </c:pt>
                <c:pt idx="188">
                  <c:v>-0.2</c:v>
                </c:pt>
                <c:pt idx="189">
                  <c:v>-0.48364101085553984</c:v>
                </c:pt>
                <c:pt idx="190">
                  <c:v>-0.2</c:v>
                </c:pt>
                <c:pt idx="191">
                  <c:v>-0.47381287816123474</c:v>
                </c:pt>
                <c:pt idx="192">
                  <c:v>-0.2</c:v>
                </c:pt>
                <c:pt idx="193">
                  <c:v>-0.46398474546692958</c:v>
                </c:pt>
                <c:pt idx="194">
                  <c:v>-0.2</c:v>
                </c:pt>
                <c:pt idx="195">
                  <c:v>-0.45415661277262448</c:v>
                </c:pt>
                <c:pt idx="196">
                  <c:v>-0.2</c:v>
                </c:pt>
                <c:pt idx="197">
                  <c:v>-0.44432848007831938</c:v>
                </c:pt>
                <c:pt idx="198">
                  <c:v>-0.2</c:v>
                </c:pt>
                <c:pt idx="199">
                  <c:v>-0.43450034738401427</c:v>
                </c:pt>
                <c:pt idx="200">
                  <c:v>-0.2</c:v>
                </c:pt>
                <c:pt idx="201">
                  <c:v>-0.42467221468970912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C5-476C-B157-5B48B17A33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8447"/>
        <c:axId val="86345199"/>
      </c:scatterChart>
      <c:valAx>
        <c:axId val="86768447"/>
        <c:scaling>
          <c:orientation val="maxMin"/>
          <c:max val="10"/>
          <c:min val="-10"/>
        </c:scaling>
        <c:delete val="0"/>
        <c:axPos val="t"/>
        <c:numFmt formatCode="General" sourceLinked="1"/>
        <c:majorTickMark val="cross"/>
        <c:minorTickMark val="in"/>
        <c:tickLblPos val="none"/>
        <c:spPr>
          <a:noFill/>
          <a:ln w="1587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6345199"/>
        <c:crossesAt val="3"/>
        <c:crossBetween val="midCat"/>
        <c:majorUnit val="5"/>
        <c:minorUnit val="1"/>
      </c:valAx>
      <c:valAx>
        <c:axId val="86345199"/>
        <c:scaling>
          <c:orientation val="maxMin"/>
          <c:max val="2.2000000000000002"/>
          <c:min val="0"/>
        </c:scaling>
        <c:delete val="0"/>
        <c:axPos val="r"/>
        <c:numFmt formatCode="General" sourceLinked="1"/>
        <c:majorTickMark val="cross"/>
        <c:minorTickMark val="none"/>
        <c:tickLblPos val="none"/>
        <c:spPr>
          <a:noFill/>
          <a:ln w="222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8447"/>
        <c:crosses val="autoZero"/>
        <c:crossBetween val="midCat"/>
        <c:majorUnit val="1.1000000000000001"/>
      </c:valAx>
      <c:spPr>
        <a:noFill/>
        <a:ln w="15875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144133579047256E-4"/>
          <c:y val="1.4416062165457664E-2"/>
          <c:w val="0.98564416150108891"/>
          <c:h val="1"/>
        </c:manualLayout>
      </c:layout>
      <c:scatterChart>
        <c:scatterStyle val="lineMarker"/>
        <c:varyColors val="0"/>
        <c:ser>
          <c:idx val="1"/>
          <c:order val="0"/>
          <c:tx>
            <c:strRef>
              <c:f>CONTROL!$AW$6</c:f>
              <c:strCache>
                <c:ptCount val="1"/>
                <c:pt idx="0">
                  <c:v>Ash Meadows discharge area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4"/>
            <c:spPr>
              <a:noFill/>
              <a:ln w="12700">
                <a:solidFill>
                  <a:srgbClr val="0000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CONTROL!$AW$7:$AW$1211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0.16571346148243313</c:v>
                </c:pt>
                <c:pt idx="51">
                  <c:v>-99</c:v>
                </c:pt>
                <c:pt idx="52">
                  <c:v>-99</c:v>
                </c:pt>
                <c:pt idx="53">
                  <c:v>0.19522029793335505</c:v>
                </c:pt>
                <c:pt idx="54">
                  <c:v>-99</c:v>
                </c:pt>
                <c:pt idx="55">
                  <c:v>0.20068987311878903</c:v>
                </c:pt>
                <c:pt idx="56">
                  <c:v>0.19894752170851604</c:v>
                </c:pt>
                <c:pt idx="57">
                  <c:v>0.19649012369741037</c:v>
                </c:pt>
                <c:pt idx="58">
                  <c:v>0.18931473677937058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0.20982046663908144</c:v>
                </c:pt>
                <c:pt idx="66">
                  <c:v>0.19192447901757095</c:v>
                </c:pt>
                <c:pt idx="67">
                  <c:v>0.18907730866292977</c:v>
                </c:pt>
                <c:pt idx="68">
                  <c:v>-99</c:v>
                </c:pt>
                <c:pt idx="69">
                  <c:v>-99</c:v>
                </c:pt>
                <c:pt idx="70">
                  <c:v>0.21535674626588752</c:v>
                </c:pt>
                <c:pt idx="71">
                  <c:v>0.20725386836253651</c:v>
                </c:pt>
                <c:pt idx="72">
                  <c:v>0.20568680567642922</c:v>
                </c:pt>
                <c:pt idx="73">
                  <c:v>0.15023808641237058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0.23957006141047868</c:v>
                </c:pt>
                <c:pt idx="141">
                  <c:v>-99</c:v>
                </c:pt>
                <c:pt idx="142">
                  <c:v>-99</c:v>
                </c:pt>
                <c:pt idx="143">
                  <c:v>0.2067958571401706</c:v>
                </c:pt>
                <c:pt idx="144">
                  <c:v>-99</c:v>
                </c:pt>
                <c:pt idx="145">
                  <c:v>0.2016865833093088</c:v>
                </c:pt>
                <c:pt idx="146">
                  <c:v>0.19350536003758967</c:v>
                </c:pt>
                <c:pt idx="147">
                  <c:v>0.19588377053232289</c:v>
                </c:pt>
                <c:pt idx="148">
                  <c:v>0.21836962493947201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0.19573761602271655</c:v>
                </c:pt>
                <c:pt idx="156">
                  <c:v>0.20808916483779738</c:v>
                </c:pt>
                <c:pt idx="157">
                  <c:v>0.19171228120802816</c:v>
                </c:pt>
                <c:pt idx="158">
                  <c:v>-99</c:v>
                </c:pt>
                <c:pt idx="159">
                  <c:v>-99</c:v>
                </c:pt>
                <c:pt idx="160">
                  <c:v>0.18992884730755002</c:v>
                </c:pt>
                <c:pt idx="161">
                  <c:v>0.18865862411262552</c:v>
                </c:pt>
                <c:pt idx="162">
                  <c:v>0.19409000843100549</c:v>
                </c:pt>
                <c:pt idx="163">
                  <c:v>0.20417156224849164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0.97862412007951827</c:v>
                </c:pt>
                <c:pt idx="231">
                  <c:v>-99</c:v>
                </c:pt>
                <c:pt idx="232">
                  <c:v>-99</c:v>
                </c:pt>
                <c:pt idx="233">
                  <c:v>1.0181266330549343</c:v>
                </c:pt>
                <c:pt idx="234">
                  <c:v>-99</c:v>
                </c:pt>
                <c:pt idx="235">
                  <c:v>1.0451173377510099</c:v>
                </c:pt>
                <c:pt idx="236">
                  <c:v>1.0087153018623758</c:v>
                </c:pt>
                <c:pt idx="237">
                  <c:v>1.0184187681358268</c:v>
                </c:pt>
                <c:pt idx="238">
                  <c:v>1.0230734030180517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1.0156077639606589</c:v>
                </c:pt>
                <c:pt idx="246">
                  <c:v>1.0169095928618801</c:v>
                </c:pt>
                <c:pt idx="247">
                  <c:v>1.0008485923426216</c:v>
                </c:pt>
                <c:pt idx="248">
                  <c:v>-99</c:v>
                </c:pt>
                <c:pt idx="249">
                  <c:v>-99</c:v>
                </c:pt>
                <c:pt idx="250">
                  <c:v>1.0200736410453934</c:v>
                </c:pt>
                <c:pt idx="251">
                  <c:v>1.0262493220018203</c:v>
                </c:pt>
                <c:pt idx="252">
                  <c:v>1.0190546888389365</c:v>
                </c:pt>
                <c:pt idx="253">
                  <c:v>0.89860924451072544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D-46D3-BF0A-309073C0C811}"/>
            </c:ext>
          </c:extLst>
        </c:ser>
        <c:ser>
          <c:idx val="2"/>
          <c:order val="1"/>
          <c:tx>
            <c:strRef>
              <c:f>CONTROL!$AX$6</c:f>
              <c:strCache>
                <c:ptCount val="1"/>
                <c:pt idx="0">
                  <c:v>Carbonate in Ash Meadows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noFill/>
              <a:ln w="12700">
                <a:solidFill>
                  <a:srgbClr val="CCCC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CONTROL!$AX$7:$AX$1211</c:f>
              <c:numCache>
                <c:formatCode>General</c:formatCode>
                <c:ptCount val="1205"/>
                <c:pt idx="0">
                  <c:v>0.20747151474769784</c:v>
                </c:pt>
                <c:pt idx="1">
                  <c:v>0.26797242335543953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0.23555361532698144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0.38783841064517588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0.17567069832284221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0.20047324461602292</c:v>
                </c:pt>
                <c:pt idx="88">
                  <c:v>0.2261071961154309</c:v>
                </c:pt>
                <c:pt idx="89">
                  <c:v>0.18007598058830304</c:v>
                </c:pt>
                <c:pt idx="90">
                  <c:v>0.18341119545009668</c:v>
                </c:pt>
                <c:pt idx="91">
                  <c:v>0.15880445047374339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3.2352768245356621E-2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0.31676013554919091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0.23112107432045195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0.11876431337873516</c:v>
                </c:pt>
                <c:pt idx="178">
                  <c:v>9.8207540202546129E-2</c:v>
                </c:pt>
                <c:pt idx="179">
                  <c:v>0.10126838049142335</c:v>
                </c:pt>
                <c:pt idx="180">
                  <c:v>1.0098147578019216</c:v>
                </c:pt>
                <c:pt idx="181">
                  <c:v>1.0895079144236794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1.1510747452458581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1.3404931470829151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1.0463778302493247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1.0037646110097933</c:v>
                </c:pt>
                <c:pt idx="268">
                  <c:v>0.85469958929111933</c:v>
                </c:pt>
                <c:pt idx="269">
                  <c:v>0.88031989288172663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D-46D3-BF0A-309073C0C811}"/>
            </c:ext>
          </c:extLst>
        </c:ser>
        <c:ser>
          <c:idx val="3"/>
          <c:order val="2"/>
          <c:tx>
            <c:strRef>
              <c:f>CONTROL!$AY$6</c:f>
              <c:strCache>
                <c:ptCount val="1"/>
                <c:pt idx="0">
                  <c:v>Central Amargosa Desert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5"/>
            <c:spPr>
              <a:noFill/>
              <a:ln w="3175">
                <a:solidFill>
                  <a:srgbClr val="FFCC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CONTROL!$AY$7:$AY$1211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4.0711626932898537E-2</c:v>
                </c:pt>
                <c:pt idx="3">
                  <c:v>4.7733984769867725E-2</c:v>
                </c:pt>
                <c:pt idx="4">
                  <c:v>5.3480599246399474E-2</c:v>
                </c:pt>
                <c:pt idx="5">
                  <c:v>5.5500810682508429E-2</c:v>
                </c:pt>
                <c:pt idx="6">
                  <c:v>5.717630383254068E-2</c:v>
                </c:pt>
                <c:pt idx="7">
                  <c:v>4.5990173737653267E-2</c:v>
                </c:pt>
                <c:pt idx="8">
                  <c:v>5.8787088562460586E-2</c:v>
                </c:pt>
                <c:pt idx="9">
                  <c:v>3.8639507957367397E-2</c:v>
                </c:pt>
                <c:pt idx="10">
                  <c:v>2.5579059447068692E-2</c:v>
                </c:pt>
                <c:pt idx="11">
                  <c:v>1.4325825673027662E-2</c:v>
                </c:pt>
                <c:pt idx="12">
                  <c:v>1.8558819108469297E-2</c:v>
                </c:pt>
                <c:pt idx="13">
                  <c:v>4.8985330745737785E-2</c:v>
                </c:pt>
                <c:pt idx="14">
                  <c:v>3.5704914107524854E-2</c:v>
                </c:pt>
                <c:pt idx="15">
                  <c:v>3.5422058171449715E-2</c:v>
                </c:pt>
                <c:pt idx="16">
                  <c:v>6.6108157274667068E-2</c:v>
                </c:pt>
                <c:pt idx="17">
                  <c:v>6.3531073204759106E-2</c:v>
                </c:pt>
                <c:pt idx="18">
                  <c:v>9.5673036886952945E-2</c:v>
                </c:pt>
                <c:pt idx="19">
                  <c:v>6.6737269439684568E-2</c:v>
                </c:pt>
                <c:pt idx="20">
                  <c:v>1.9347293454468086E-2</c:v>
                </c:pt>
                <c:pt idx="21">
                  <c:v>7.7742805562082115E-2</c:v>
                </c:pt>
                <c:pt idx="22">
                  <c:v>8.4264552173253529E-2</c:v>
                </c:pt>
                <c:pt idx="23">
                  <c:v>-99</c:v>
                </c:pt>
                <c:pt idx="24">
                  <c:v>-99</c:v>
                </c:pt>
                <c:pt idx="25">
                  <c:v>8.3574771595689878E-2</c:v>
                </c:pt>
                <c:pt idx="26">
                  <c:v>0.15541816900741148</c:v>
                </c:pt>
                <c:pt idx="27">
                  <c:v>0.15604073809483229</c:v>
                </c:pt>
                <c:pt idx="28">
                  <c:v>0.12490609997489384</c:v>
                </c:pt>
                <c:pt idx="29">
                  <c:v>0.13632228590064308</c:v>
                </c:pt>
                <c:pt idx="30">
                  <c:v>1.0799830285496068E-2</c:v>
                </c:pt>
                <c:pt idx="31">
                  <c:v>6.8849861830104974E-3</c:v>
                </c:pt>
                <c:pt idx="32">
                  <c:v>0.12911289740339876</c:v>
                </c:pt>
                <c:pt idx="33">
                  <c:v>5.3849954952524974E-2</c:v>
                </c:pt>
                <c:pt idx="34">
                  <c:v>2.2859485278441002E-2</c:v>
                </c:pt>
                <c:pt idx="35">
                  <c:v>9.3172082234078094E-2</c:v>
                </c:pt>
                <c:pt idx="36">
                  <c:v>0.12478080424556789</c:v>
                </c:pt>
                <c:pt idx="37">
                  <c:v>0.10818870007241671</c:v>
                </c:pt>
                <c:pt idx="38">
                  <c:v>8.6458010141362007E-2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3.5021131727749219E-2</c:v>
                </c:pt>
                <c:pt idx="45">
                  <c:v>-99</c:v>
                </c:pt>
                <c:pt idx="46">
                  <c:v>3.4521221978028843E-2</c:v>
                </c:pt>
                <c:pt idx="47">
                  <c:v>2.7239347937053196E-2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0.17331070814368854</c:v>
                </c:pt>
                <c:pt idx="93">
                  <c:v>0.15328778953758743</c:v>
                </c:pt>
                <c:pt idx="94">
                  <c:v>0.16206577228453509</c:v>
                </c:pt>
                <c:pt idx="95">
                  <c:v>0.17149017896721558</c:v>
                </c:pt>
                <c:pt idx="96">
                  <c:v>0.28795881912435423</c:v>
                </c:pt>
                <c:pt idx="97">
                  <c:v>0.30055109411507125</c:v>
                </c:pt>
                <c:pt idx="98">
                  <c:v>0.15234700110446397</c:v>
                </c:pt>
                <c:pt idx="99">
                  <c:v>0.265996502563909</c:v>
                </c:pt>
                <c:pt idx="100">
                  <c:v>0.1946384564751919</c:v>
                </c:pt>
                <c:pt idx="101">
                  <c:v>0.1599131175421093</c:v>
                </c:pt>
                <c:pt idx="102">
                  <c:v>0.16580688022484111</c:v>
                </c:pt>
                <c:pt idx="103">
                  <c:v>0.15381929528912586</c:v>
                </c:pt>
                <c:pt idx="104">
                  <c:v>0.14622133357848069</c:v>
                </c:pt>
                <c:pt idx="105">
                  <c:v>0.16145847518298406</c:v>
                </c:pt>
                <c:pt idx="106">
                  <c:v>0.31794743309912787</c:v>
                </c:pt>
                <c:pt idx="107">
                  <c:v>0.17489340787871976</c:v>
                </c:pt>
                <c:pt idx="108">
                  <c:v>0.20679585487643018</c:v>
                </c:pt>
                <c:pt idx="109">
                  <c:v>0.15746309139008383</c:v>
                </c:pt>
                <c:pt idx="110">
                  <c:v>0.14390926591076728</c:v>
                </c:pt>
                <c:pt idx="111">
                  <c:v>0.1634796156022979</c:v>
                </c:pt>
                <c:pt idx="112">
                  <c:v>0.24439980720297039</c:v>
                </c:pt>
                <c:pt idx="113">
                  <c:v>-99</c:v>
                </c:pt>
                <c:pt idx="114">
                  <c:v>-99</c:v>
                </c:pt>
                <c:pt idx="115">
                  <c:v>0.35774701895098143</c:v>
                </c:pt>
                <c:pt idx="116">
                  <c:v>0.32201420617968207</c:v>
                </c:pt>
                <c:pt idx="117">
                  <c:v>0.32178008122265839</c:v>
                </c:pt>
                <c:pt idx="118">
                  <c:v>0.31944410103665521</c:v>
                </c:pt>
                <c:pt idx="119">
                  <c:v>0.32683687946662182</c:v>
                </c:pt>
                <c:pt idx="120">
                  <c:v>0.30432996835808912</c:v>
                </c:pt>
                <c:pt idx="121">
                  <c:v>0.35883124300231728</c:v>
                </c:pt>
                <c:pt idx="122">
                  <c:v>0.37387377103548497</c:v>
                </c:pt>
                <c:pt idx="123">
                  <c:v>0.34741716779724569</c:v>
                </c:pt>
                <c:pt idx="124">
                  <c:v>0.17440789381769944</c:v>
                </c:pt>
                <c:pt idx="125">
                  <c:v>0.21856272062945128</c:v>
                </c:pt>
                <c:pt idx="126">
                  <c:v>0.26106273041617861</c:v>
                </c:pt>
                <c:pt idx="127">
                  <c:v>0.16601003105783549</c:v>
                </c:pt>
                <c:pt idx="128">
                  <c:v>0.2532080496290427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0.27872081960878481</c:v>
                </c:pt>
                <c:pt idx="135">
                  <c:v>-99</c:v>
                </c:pt>
                <c:pt idx="136">
                  <c:v>0.25479525545426407</c:v>
                </c:pt>
                <c:pt idx="137">
                  <c:v>0.19541074953059742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0.87964196428829111</c:v>
                </c:pt>
                <c:pt idx="183">
                  <c:v>0.90533547597217567</c:v>
                </c:pt>
                <c:pt idx="184">
                  <c:v>0.91558357568391324</c:v>
                </c:pt>
                <c:pt idx="185">
                  <c:v>0.85181743722420133</c:v>
                </c:pt>
                <c:pt idx="186">
                  <c:v>0.98846647179935276</c:v>
                </c:pt>
                <c:pt idx="187">
                  <c:v>0.92411007393861389</c:v>
                </c:pt>
                <c:pt idx="188">
                  <c:v>0.80614009269957054</c:v>
                </c:pt>
                <c:pt idx="189">
                  <c:v>0.99246179383248267</c:v>
                </c:pt>
                <c:pt idx="190">
                  <c:v>0.88620390114649328</c:v>
                </c:pt>
                <c:pt idx="191">
                  <c:v>0.73404224046123445</c:v>
                </c:pt>
                <c:pt idx="192">
                  <c:v>0.8056114525632514</c:v>
                </c:pt>
                <c:pt idx="193">
                  <c:v>0.79758397364315425</c:v>
                </c:pt>
                <c:pt idx="194">
                  <c:v>0.79112811614253165</c:v>
                </c:pt>
                <c:pt idx="195">
                  <c:v>0.83259336172915543</c:v>
                </c:pt>
                <c:pt idx="196">
                  <c:v>0.99874431803781905</c:v>
                </c:pt>
                <c:pt idx="197">
                  <c:v>0.87705564044151774</c:v>
                </c:pt>
                <c:pt idx="198">
                  <c:v>0.96791364900244625</c:v>
                </c:pt>
                <c:pt idx="199">
                  <c:v>0.65988896495397409</c:v>
                </c:pt>
                <c:pt idx="200">
                  <c:v>0.59858281286676207</c:v>
                </c:pt>
                <c:pt idx="201">
                  <c:v>0.66730790052744315</c:v>
                </c:pt>
                <c:pt idx="202">
                  <c:v>0.97596931724841718</c:v>
                </c:pt>
                <c:pt idx="203">
                  <c:v>-99</c:v>
                </c:pt>
                <c:pt idx="204">
                  <c:v>-99</c:v>
                </c:pt>
                <c:pt idx="205">
                  <c:v>1.0640126805421148</c:v>
                </c:pt>
                <c:pt idx="206">
                  <c:v>1.0301835456980954</c:v>
                </c:pt>
                <c:pt idx="207">
                  <c:v>1.0183420888490691</c:v>
                </c:pt>
                <c:pt idx="208">
                  <c:v>0.99743102679957185</c:v>
                </c:pt>
                <c:pt idx="209">
                  <c:v>1.0492843836921821</c:v>
                </c:pt>
                <c:pt idx="210">
                  <c:v>0.77313327864354808</c:v>
                </c:pt>
                <c:pt idx="211">
                  <c:v>0.83397354227777543</c:v>
                </c:pt>
                <c:pt idx="212">
                  <c:v>1.092332463091882</c:v>
                </c:pt>
                <c:pt idx="213">
                  <c:v>1.0688033093418352</c:v>
                </c:pt>
                <c:pt idx="214">
                  <c:v>0.85596250697263287</c:v>
                </c:pt>
                <c:pt idx="215">
                  <c:v>0.89466137788318179</c:v>
                </c:pt>
                <c:pt idx="216">
                  <c:v>0.86249092939572969</c:v>
                </c:pt>
                <c:pt idx="217">
                  <c:v>0.77437246567726081</c:v>
                </c:pt>
                <c:pt idx="218">
                  <c:v>0.92666919167554318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0.93693328047008828</c:v>
                </c:pt>
                <c:pt idx="225">
                  <c:v>-99</c:v>
                </c:pt>
                <c:pt idx="226">
                  <c:v>0.71251036821279956</c:v>
                </c:pt>
                <c:pt idx="227">
                  <c:v>0.82533299732610144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4D-46D3-BF0A-309073C0C811}"/>
            </c:ext>
          </c:extLst>
        </c:ser>
        <c:ser>
          <c:idx val="4"/>
          <c:order val="3"/>
          <c:tx>
            <c:strRef>
              <c:f>CONTROL!$AZ$6</c:f>
              <c:strCache>
                <c:ptCount val="1"/>
                <c:pt idx="0">
                  <c:v>Furnace Creek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CONTROL!$AZ$7:$AZ$1211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0.14021446637841789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0.13315906414735496</c:v>
                </c:pt>
                <c:pt idx="75">
                  <c:v>0.13153739542698448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0.297917116687692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0.27948183909694985</c:v>
                </c:pt>
                <c:pt idx="165">
                  <c:v>0.30551800930257511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0.99278786612895731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0.94440462670109149</c:v>
                </c:pt>
                <c:pt idx="255">
                  <c:v>0.96981838341680593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4D-46D3-BF0A-309073C0C811}"/>
            </c:ext>
          </c:extLst>
        </c:ser>
        <c:ser>
          <c:idx val="5"/>
          <c:order val="4"/>
          <c:tx>
            <c:strRef>
              <c:f>CONTROL!$BA$6</c:f>
              <c:strCache>
                <c:ptCount val="1"/>
                <c:pt idx="0">
                  <c:v>Well AD-4 corridor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6"/>
            <c:spPr>
              <a:noFill/>
              <a:ln w="12700">
                <a:solidFill>
                  <a:srgbClr val="0066CC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CONTROL!$BA$7:$BA$1211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0.13525497951161836</c:v>
                </c:pt>
                <c:pt idx="24">
                  <c:v>0.13453468664042928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0.31310637042775208</c:v>
                </c:pt>
                <c:pt idx="114">
                  <c:v>0.33057426841600279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1.0207529754875346</c:v>
                </c:pt>
                <c:pt idx="204">
                  <c:v>1.0113706344759823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D4D-46D3-BF0A-309073C0C811}"/>
            </c:ext>
          </c:extLst>
        </c:ser>
        <c:ser>
          <c:idx val="6"/>
          <c:order val="5"/>
          <c:tx>
            <c:strRef>
              <c:f>CONTROL!$BB$6</c:f>
              <c:strCache>
                <c:ptCount val="1"/>
                <c:pt idx="0">
                  <c:v>Western Amargosa Desert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plus"/>
            <c:size val="6"/>
            <c:spPr>
              <a:noFill/>
              <a:ln w="3175">
                <a:solidFill>
                  <a:srgbClr val="FF00FF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CONTROL!$BB$7:$BB$1211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3.8744948597760183E-2</c:v>
                </c:pt>
                <c:pt idx="40">
                  <c:v>6.9123008264785638E-2</c:v>
                </c:pt>
                <c:pt idx="41">
                  <c:v>7.442504249163745E-2</c:v>
                </c:pt>
                <c:pt idx="42">
                  <c:v>6.5481367797933052E-2</c:v>
                </c:pt>
                <c:pt idx="43">
                  <c:v>5.1402177353346852E-2</c:v>
                </c:pt>
                <c:pt idx="44">
                  <c:v>-99</c:v>
                </c:pt>
                <c:pt idx="45">
                  <c:v>0.12529604224463267</c:v>
                </c:pt>
                <c:pt idx="46">
                  <c:v>-99</c:v>
                </c:pt>
                <c:pt idx="47">
                  <c:v>-99</c:v>
                </c:pt>
                <c:pt idx="48">
                  <c:v>0.13116431642256002</c:v>
                </c:pt>
                <c:pt idx="49">
                  <c:v>0.11587334540981112</c:v>
                </c:pt>
                <c:pt idx="50">
                  <c:v>-99</c:v>
                </c:pt>
                <c:pt idx="51">
                  <c:v>3.5065838839898689E-3</c:v>
                </c:pt>
                <c:pt idx="52">
                  <c:v>-99</c:v>
                </c:pt>
                <c:pt idx="53">
                  <c:v>-99</c:v>
                </c:pt>
                <c:pt idx="54">
                  <c:v>7.3109998302098795E-3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5.5628708038327777E-2</c:v>
                </c:pt>
                <c:pt idx="61">
                  <c:v>3.4823915767567035E-2</c:v>
                </c:pt>
                <c:pt idx="62">
                  <c:v>8.0031966472943791E-2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7.0758311260483348E-2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0.32284692614578892</c:v>
                </c:pt>
                <c:pt idx="130">
                  <c:v>0.33633800728492214</c:v>
                </c:pt>
                <c:pt idx="131">
                  <c:v>0.33854497522076776</c:v>
                </c:pt>
                <c:pt idx="132">
                  <c:v>0.38024412890176967</c:v>
                </c:pt>
                <c:pt idx="133">
                  <c:v>0.3033535312691254</c:v>
                </c:pt>
                <c:pt idx="134">
                  <c:v>-99</c:v>
                </c:pt>
                <c:pt idx="135">
                  <c:v>0.18665790256324793</c:v>
                </c:pt>
                <c:pt idx="136">
                  <c:v>-99</c:v>
                </c:pt>
                <c:pt idx="137">
                  <c:v>-99</c:v>
                </c:pt>
                <c:pt idx="138">
                  <c:v>0.2523139596011314</c:v>
                </c:pt>
                <c:pt idx="139">
                  <c:v>0.29510124812452976</c:v>
                </c:pt>
                <c:pt idx="140">
                  <c:v>-99</c:v>
                </c:pt>
                <c:pt idx="141">
                  <c:v>0.26912066022843678</c:v>
                </c:pt>
                <c:pt idx="142">
                  <c:v>-99</c:v>
                </c:pt>
                <c:pt idx="143">
                  <c:v>-99</c:v>
                </c:pt>
                <c:pt idx="144">
                  <c:v>0.17874601715985336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0.23853633627266699</c:v>
                </c:pt>
                <c:pt idx="151">
                  <c:v>0.28777219707191892</c:v>
                </c:pt>
                <c:pt idx="152">
                  <c:v>0.23429717989256432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0.23306853628050678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1.0111531099148274</c:v>
                </c:pt>
                <c:pt idx="220">
                  <c:v>1.0593544449372605</c:v>
                </c:pt>
                <c:pt idx="221">
                  <c:v>1.0464592807862507</c:v>
                </c:pt>
                <c:pt idx="222">
                  <c:v>1.1272746036875601</c:v>
                </c:pt>
                <c:pt idx="223">
                  <c:v>1.0145843677974833</c:v>
                </c:pt>
                <c:pt idx="224">
                  <c:v>-99</c:v>
                </c:pt>
                <c:pt idx="225">
                  <c:v>0.88041127531621366</c:v>
                </c:pt>
                <c:pt idx="226">
                  <c:v>-99</c:v>
                </c:pt>
                <c:pt idx="227">
                  <c:v>-99</c:v>
                </c:pt>
                <c:pt idx="228">
                  <c:v>1.0608273483570978</c:v>
                </c:pt>
                <c:pt idx="229">
                  <c:v>1.0338913213584933</c:v>
                </c:pt>
                <c:pt idx="230">
                  <c:v>-99</c:v>
                </c:pt>
                <c:pt idx="231">
                  <c:v>0.84476315247719569</c:v>
                </c:pt>
                <c:pt idx="232">
                  <c:v>-99</c:v>
                </c:pt>
                <c:pt idx="233">
                  <c:v>-99</c:v>
                </c:pt>
                <c:pt idx="234">
                  <c:v>0.55764739172349087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0.86746048648078378</c:v>
                </c:pt>
                <c:pt idx="241">
                  <c:v>0.8480454201750296</c:v>
                </c:pt>
                <c:pt idx="242">
                  <c:v>0.76162155584409663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0.86966749769630791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D4D-46D3-BF0A-309073C0C811}"/>
            </c:ext>
          </c:extLst>
        </c:ser>
        <c:ser>
          <c:idx val="7"/>
          <c:order val="6"/>
          <c:tx>
            <c:strRef>
              <c:f>CONTROL!$BC$6</c:f>
              <c:strCache>
                <c:ptCount val="1"/>
                <c:pt idx="0">
                  <c:v>Yucca Mtn–Jackass Flats</c:v>
                </c:pt>
              </c:strCache>
            </c:strRef>
          </c:tx>
          <c:spPr>
            <a:ln w="12700" cap="rnd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0000"/>
                  </a:solidFill>
                  <a:prstDash val="solid"/>
                  <a:round/>
                </a14:hiddenLine>
              </a:ext>
            </a:extLst>
          </c:spPr>
          <c:marker>
            <c:symbol val="triangle"/>
            <c:size val="5"/>
            <c:spPr>
              <a:noFill/>
              <a:ln w="12700">
                <a:solidFill>
                  <a:srgbClr val="99CC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CONTROL!$BC$7:$BC$1211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5.6356685088365499E-2</c:v>
                </c:pt>
                <c:pt idx="64">
                  <c:v>5.4875953448980309E-2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1.1660529493783498E-2</c:v>
                </c:pt>
                <c:pt idx="78">
                  <c:v>7.0689027440096076E-3</c:v>
                </c:pt>
                <c:pt idx="79">
                  <c:v>5.7920048351286155E-3</c:v>
                </c:pt>
                <c:pt idx="80">
                  <c:v>1.1282987995260943E-2</c:v>
                </c:pt>
                <c:pt idx="81">
                  <c:v>4.4551449596846723E-3</c:v>
                </c:pt>
                <c:pt idx="82">
                  <c:v>0</c:v>
                </c:pt>
                <c:pt idx="83">
                  <c:v>5.1941353773855047E-3</c:v>
                </c:pt>
                <c:pt idx="84">
                  <c:v>2.5820139800045009E-4</c:v>
                </c:pt>
                <c:pt idx="85">
                  <c:v>1.7869411535914178E-3</c:v>
                </c:pt>
                <c:pt idx="86">
                  <c:v>2.601811029944821E-2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0.14555227422087197</c:v>
                </c:pt>
                <c:pt idx="154">
                  <c:v>0.11296893527686305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0.1373695468071868</c:v>
                </c:pt>
                <c:pt idx="168">
                  <c:v>0.12958530618495373</c:v>
                </c:pt>
                <c:pt idx="169">
                  <c:v>0.15037855531849506</c:v>
                </c:pt>
                <c:pt idx="170">
                  <c:v>9.8984228490706469E-2</c:v>
                </c:pt>
                <c:pt idx="171">
                  <c:v>0.1152591310049447</c:v>
                </c:pt>
                <c:pt idx="172">
                  <c:v>0.13598746009838292</c:v>
                </c:pt>
                <c:pt idx="173">
                  <c:v>0.12257196314468348</c:v>
                </c:pt>
                <c:pt idx="174">
                  <c:v>0.10909294291372505</c:v>
                </c:pt>
                <c:pt idx="175">
                  <c:v>0.12913550190201259</c:v>
                </c:pt>
                <c:pt idx="176">
                  <c:v>0.19612180630955353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0.79017460146543517</c:v>
                </c:pt>
                <c:pt idx="244">
                  <c:v>0.72210423209470176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0.72543818656260473</c:v>
                </c:pt>
                <c:pt idx="258">
                  <c:v>0.65510954221978279</c:v>
                </c:pt>
                <c:pt idx="259">
                  <c:v>0.70398292608675561</c:v>
                </c:pt>
                <c:pt idx="260">
                  <c:v>0.57515493384002159</c:v>
                </c:pt>
                <c:pt idx="261">
                  <c:v>0.64200979498329325</c:v>
                </c:pt>
                <c:pt idx="262">
                  <c:v>0.52925991353527668</c:v>
                </c:pt>
                <c:pt idx="263">
                  <c:v>0.66739077073619724</c:v>
                </c:pt>
                <c:pt idx="264">
                  <c:v>0.47939698110256157</c:v>
                </c:pt>
                <c:pt idx="265">
                  <c:v>0.53393149369484494</c:v>
                </c:pt>
                <c:pt idx="266">
                  <c:v>0.67797465866704609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D4D-46D3-BF0A-309073C0C811}"/>
            </c:ext>
          </c:extLst>
        </c:ser>
        <c:ser>
          <c:idx val="8"/>
          <c:order val="7"/>
          <c:tx>
            <c:strRef>
              <c:f>CONTROL!$BD$6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noFill/>
              <a:ln w="3175">
                <a:solidFill>
                  <a:srgbClr val="C0C0C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CONTROL!$BD$7:$BD$1211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D4D-46D3-BF0A-309073C0C811}"/>
            </c:ext>
          </c:extLst>
        </c:ser>
        <c:ser>
          <c:idx val="9"/>
          <c:order val="8"/>
          <c:tx>
            <c:strRef>
              <c:f>CONTROL!$BE$6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175">
                <a:solidFill>
                  <a:srgbClr val="997300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CONTROL!$BE$7:$BE$1211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D4D-46D3-BF0A-309073C0C811}"/>
            </c:ext>
          </c:extLst>
        </c:ser>
        <c:ser>
          <c:idx val="10"/>
          <c:order val="9"/>
          <c:tx>
            <c:strRef>
              <c:f>CONTROL!$BF$6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3175">
                <a:solidFill>
                  <a:srgbClr val="255E91"/>
                </a:solidFill>
                <a:prstDash val="solid"/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CONTROL!$BF$7:$BF$1211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D4D-46D3-BF0A-309073C0C811}"/>
            </c:ext>
          </c:extLst>
        </c:ser>
        <c:ser>
          <c:idx val="11"/>
          <c:order val="10"/>
          <c:tx>
            <c:strRef>
              <c:f>CONTROL!$BG$6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CONTROL!$BG$7:$BG$1211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D4D-46D3-BF0A-309073C0C811}"/>
            </c:ext>
          </c:extLst>
        </c:ser>
        <c:ser>
          <c:idx val="12"/>
          <c:order val="11"/>
          <c:tx>
            <c:strRef>
              <c:f>CONTROL!$BH$6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CONTROL!$AU$7:$AU$1211</c:f>
              <c:numCache>
                <c:formatCode>General</c:formatCode>
                <c:ptCount val="1205"/>
                <c:pt idx="0">
                  <c:v>0.56051562849674996</c:v>
                </c:pt>
                <c:pt idx="1">
                  <c:v>0.46136468585552443</c:v>
                </c:pt>
                <c:pt idx="2">
                  <c:v>0.59153604997545672</c:v>
                </c:pt>
                <c:pt idx="3">
                  <c:v>0.53171814227308656</c:v>
                </c:pt>
                <c:pt idx="4">
                  <c:v>0.53690131441321221</c:v>
                </c:pt>
                <c:pt idx="5">
                  <c:v>0.60257476716542335</c:v>
                </c:pt>
                <c:pt idx="6">
                  <c:v>0.60850143638394683</c:v>
                </c:pt>
                <c:pt idx="7">
                  <c:v>0.68848888709998846</c:v>
                </c:pt>
                <c:pt idx="8">
                  <c:v>0.66105175320707898</c:v>
                </c:pt>
                <c:pt idx="9">
                  <c:v>0.55036323996547654</c:v>
                </c:pt>
                <c:pt idx="10">
                  <c:v>0.59433210326598751</c:v>
                </c:pt>
                <c:pt idx="11">
                  <c:v>0.73370713967406198</c:v>
                </c:pt>
                <c:pt idx="12">
                  <c:v>0.6805568647759932</c:v>
                </c:pt>
                <c:pt idx="13">
                  <c:v>0.68007815609507449</c:v>
                </c:pt>
                <c:pt idx="14">
                  <c:v>0.66260946172276314</c:v>
                </c:pt>
                <c:pt idx="15">
                  <c:v>0.64874192788279128</c:v>
                </c:pt>
                <c:pt idx="16">
                  <c:v>0.64027770781695048</c:v>
                </c:pt>
                <c:pt idx="17">
                  <c:v>0.61721835291515381</c:v>
                </c:pt>
                <c:pt idx="18">
                  <c:v>0.59295069530591482</c:v>
                </c:pt>
                <c:pt idx="19">
                  <c:v>0.82123563645035191</c:v>
                </c:pt>
                <c:pt idx="20">
                  <c:v>0.86034235188826402</c:v>
                </c:pt>
                <c:pt idx="21">
                  <c:v>0.82666172055061771</c:v>
                </c:pt>
                <c:pt idx="22">
                  <c:v>0.61801688421690115</c:v>
                </c:pt>
                <c:pt idx="23">
                  <c:v>0.65442027284122983</c:v>
                </c:pt>
                <c:pt idx="24">
                  <c:v>0.66927199284538319</c:v>
                </c:pt>
                <c:pt idx="25">
                  <c:v>0.6317405998956348</c:v>
                </c:pt>
                <c:pt idx="26">
                  <c:v>0.65296631165762931</c:v>
                </c:pt>
                <c:pt idx="27">
                  <c:v>0.66375128829899743</c:v>
                </c:pt>
                <c:pt idx="28">
                  <c:v>0.68744629506576915</c:v>
                </c:pt>
                <c:pt idx="29">
                  <c:v>0.63831181751134425</c:v>
                </c:pt>
                <c:pt idx="30">
                  <c:v>0.86902932519616838</c:v>
                </c:pt>
                <c:pt idx="31">
                  <c:v>0.82903315912886932</c:v>
                </c:pt>
                <c:pt idx="32">
                  <c:v>0.66707364049583329</c:v>
                </c:pt>
                <c:pt idx="33">
                  <c:v>0.67736888585829413</c:v>
                </c:pt>
                <c:pt idx="34">
                  <c:v>0.6303731179008466</c:v>
                </c:pt>
                <c:pt idx="35">
                  <c:v>0.66536738624264258</c:v>
                </c:pt>
                <c:pt idx="36">
                  <c:v>0.7514858092409864</c:v>
                </c:pt>
                <c:pt idx="37">
                  <c:v>0.7544065917153655</c:v>
                </c:pt>
                <c:pt idx="38">
                  <c:v>0.7075738780710169</c:v>
                </c:pt>
                <c:pt idx="39">
                  <c:v>0.72634513641817045</c:v>
                </c:pt>
                <c:pt idx="40">
                  <c:v>0.68987976226679604</c:v>
                </c:pt>
                <c:pt idx="41">
                  <c:v>0.69533298351960815</c:v>
                </c:pt>
                <c:pt idx="42">
                  <c:v>0.68488661325902023</c:v>
                </c:pt>
                <c:pt idx="43">
                  <c:v>0.692034250289707</c:v>
                </c:pt>
                <c:pt idx="44">
                  <c:v>0.73259497000931051</c:v>
                </c:pt>
                <c:pt idx="45">
                  <c:v>0.65864095147476143</c:v>
                </c:pt>
                <c:pt idx="46">
                  <c:v>0.94976707829253237</c:v>
                </c:pt>
                <c:pt idx="47">
                  <c:v>0.66139541184785611</c:v>
                </c:pt>
                <c:pt idx="48">
                  <c:v>0.64100359141729402</c:v>
                </c:pt>
                <c:pt idx="49">
                  <c:v>0.72118083644203457</c:v>
                </c:pt>
                <c:pt idx="50">
                  <c:v>0.64164046253798945</c:v>
                </c:pt>
                <c:pt idx="51">
                  <c:v>0.8291183918230135</c:v>
                </c:pt>
                <c:pt idx="52">
                  <c:v>0.15249270198580994</c:v>
                </c:pt>
                <c:pt idx="53">
                  <c:v>0.5733076578823737</c:v>
                </c:pt>
                <c:pt idx="54">
                  <c:v>0.99236511537748628</c:v>
                </c:pt>
                <c:pt idx="55">
                  <c:v>0.54371893853997944</c:v>
                </c:pt>
                <c:pt idx="56">
                  <c:v>0.56463709430097109</c:v>
                </c:pt>
                <c:pt idx="57">
                  <c:v>0.55625201123355961</c:v>
                </c:pt>
                <c:pt idx="58">
                  <c:v>0.57664411092860968</c:v>
                </c:pt>
                <c:pt idx="59">
                  <c:v>0.38897706269953913</c:v>
                </c:pt>
                <c:pt idx="60">
                  <c:v>0.76557070697280405</c:v>
                </c:pt>
                <c:pt idx="61">
                  <c:v>0.87318123718484919</c:v>
                </c:pt>
                <c:pt idx="62">
                  <c:v>0.82871511614037829</c:v>
                </c:pt>
                <c:pt idx="63">
                  <c:v>0.70430448525738132</c:v>
                </c:pt>
                <c:pt idx="64">
                  <c:v>0.74867991363934094</c:v>
                </c:pt>
                <c:pt idx="65">
                  <c:v>0.5639378003553942</c:v>
                </c:pt>
                <c:pt idx="66">
                  <c:v>0.57080806369691373</c:v>
                </c:pt>
                <c:pt idx="67">
                  <c:v>0.55626432027672112</c:v>
                </c:pt>
                <c:pt idx="68">
                  <c:v>0.85836909489133428</c:v>
                </c:pt>
                <c:pt idx="69">
                  <c:v>0.70789590507858124</c:v>
                </c:pt>
                <c:pt idx="70">
                  <c:v>0.56026787468518902</c:v>
                </c:pt>
                <c:pt idx="71">
                  <c:v>0.54853386394559578</c:v>
                </c:pt>
                <c:pt idx="72">
                  <c:v>0.55880783534325362</c:v>
                </c:pt>
                <c:pt idx="73">
                  <c:v>0.69041855573143274</c:v>
                </c:pt>
                <c:pt idx="74">
                  <c:v>0.74640209473959074</c:v>
                </c:pt>
                <c:pt idx="75">
                  <c:v>0.74439900185332453</c:v>
                </c:pt>
                <c:pt idx="76">
                  <c:v>0.55251424557733309</c:v>
                </c:pt>
                <c:pt idx="77">
                  <c:v>0.71044765560224954</c:v>
                </c:pt>
                <c:pt idx="78">
                  <c:v>0.79786899800292888</c:v>
                </c:pt>
                <c:pt idx="79">
                  <c:v>0.79381240643322271</c:v>
                </c:pt>
                <c:pt idx="80">
                  <c:v>0.85193181790632699</c:v>
                </c:pt>
                <c:pt idx="81">
                  <c:v>0.79459532314721748</c:v>
                </c:pt>
                <c:pt idx="82">
                  <c:v>0.91200378876602839</c:v>
                </c:pt>
                <c:pt idx="83">
                  <c:v>0.79084170175487944</c:v>
                </c:pt>
                <c:pt idx="84">
                  <c:v>0.96548923597738923</c:v>
                </c:pt>
                <c:pt idx="85">
                  <c:v>0.94765187733411704</c:v>
                </c:pt>
                <c:pt idx="86">
                  <c:v>0.86348667410862623</c:v>
                </c:pt>
                <c:pt idx="87">
                  <c:v>0.54560467734760631</c:v>
                </c:pt>
                <c:pt idx="88">
                  <c:v>0.61187589648296536</c:v>
                </c:pt>
                <c:pt idx="89">
                  <c:v>0.58491260719701932</c:v>
                </c:pt>
                <c:pt idx="90">
                  <c:v>1.5008730350396755</c:v>
                </c:pt>
                <c:pt idx="91">
                  <c:v>1.4730203182198172</c:v>
                </c:pt>
                <c:pt idx="92">
                  <c:v>1.4836932469510691</c:v>
                </c:pt>
                <c:pt idx="93">
                  <c:v>1.4610495282826081</c:v>
                </c:pt>
                <c:pt idx="94">
                  <c:v>1.469680406560395</c:v>
                </c:pt>
                <c:pt idx="95">
                  <c:v>1.4551155115511551</c:v>
                </c:pt>
                <c:pt idx="96">
                  <c:v>1.5506203473945408</c:v>
                </c:pt>
                <c:pt idx="97">
                  <c:v>1.5554835927185113</c:v>
                </c:pt>
                <c:pt idx="98">
                  <c:v>1.4700038287520671</c:v>
                </c:pt>
                <c:pt idx="99">
                  <c:v>1.5204777249453694</c:v>
                </c:pt>
                <c:pt idx="100">
                  <c:v>1.4904895829356486</c:v>
                </c:pt>
                <c:pt idx="101">
                  <c:v>1.4807092091591862</c:v>
                </c:pt>
                <c:pt idx="102">
                  <c:v>1.5043532566358504</c:v>
                </c:pt>
                <c:pt idx="103">
                  <c:v>1.4839594944293575</c:v>
                </c:pt>
                <c:pt idx="104">
                  <c:v>1.4710903552853341</c:v>
                </c:pt>
                <c:pt idx="105">
                  <c:v>1.4964689019920587</c:v>
                </c:pt>
                <c:pt idx="106">
                  <c:v>1.5717937110723474</c:v>
                </c:pt>
                <c:pt idx="107">
                  <c:v>1.4923005347865905</c:v>
                </c:pt>
                <c:pt idx="108">
                  <c:v>1.5359706108325886</c:v>
                </c:pt>
                <c:pt idx="109">
                  <c:v>1.4537676408757549</c:v>
                </c:pt>
                <c:pt idx="110">
                  <c:v>1.4572700296735905</c:v>
                </c:pt>
                <c:pt idx="111">
                  <c:v>1.4579326827605565</c:v>
                </c:pt>
                <c:pt idx="112">
                  <c:v>1.5552147239263805</c:v>
                </c:pt>
                <c:pt idx="113">
                  <c:v>1.5742227371071897</c:v>
                </c:pt>
                <c:pt idx="114">
                  <c:v>1.5685714285714285</c:v>
                </c:pt>
                <c:pt idx="115">
                  <c:v>1.6055593603885969</c:v>
                </c:pt>
                <c:pt idx="116">
                  <c:v>1.5668740961705558</c:v>
                </c:pt>
                <c:pt idx="117">
                  <c:v>1.5637614678899083</c:v>
                </c:pt>
                <c:pt idx="118">
                  <c:v>1.5826347305389221</c:v>
                </c:pt>
                <c:pt idx="119">
                  <c:v>1.5825159914712152</c:v>
                </c:pt>
                <c:pt idx="120">
                  <c:v>1.5798264642082429</c:v>
                </c:pt>
                <c:pt idx="121">
                  <c:v>1.5808764940239044</c:v>
                </c:pt>
                <c:pt idx="122">
                  <c:v>1.637991035295181</c:v>
                </c:pt>
                <c:pt idx="123">
                  <c:v>1.6798449612403101</c:v>
                </c:pt>
                <c:pt idx="124">
                  <c:v>1.5048611111111112</c:v>
                </c:pt>
                <c:pt idx="125">
                  <c:v>1.5184531886024424</c:v>
                </c:pt>
                <c:pt idx="126">
                  <c:v>1.5246376811594204</c:v>
                </c:pt>
                <c:pt idx="127">
                  <c:v>1.4902661835094624</c:v>
                </c:pt>
                <c:pt idx="128">
                  <c:v>1.5814930015552098</c:v>
                </c:pt>
                <c:pt idx="129">
                  <c:v>1.6851590106007068</c:v>
                </c:pt>
                <c:pt idx="130">
                  <c:v>1.6790238836967808</c:v>
                </c:pt>
                <c:pt idx="131">
                  <c:v>1.6652517275419547</c:v>
                </c:pt>
                <c:pt idx="132">
                  <c:v>1.7292114695340504</c:v>
                </c:pt>
                <c:pt idx="133">
                  <c:v>1.6587570621468928</c:v>
                </c:pt>
                <c:pt idx="134">
                  <c:v>1.6333333333333333</c:v>
                </c:pt>
                <c:pt idx="135">
                  <c:v>1.4951456310679612</c:v>
                </c:pt>
                <c:pt idx="136">
                  <c:v>1.6054662379421221</c:v>
                </c:pt>
                <c:pt idx="137">
                  <c:v>1.4858607744944223</c:v>
                </c:pt>
                <c:pt idx="138">
                  <c:v>1.6445402158020173</c:v>
                </c:pt>
                <c:pt idx="139">
                  <c:v>1.6777394096331739</c:v>
                </c:pt>
                <c:pt idx="140">
                  <c:v>1.5376677098243881</c:v>
                </c:pt>
                <c:pt idx="141">
                  <c:v>1.6471654460146496</c:v>
                </c:pt>
                <c:pt idx="142">
                  <c:v>1.3269635073628534</c:v>
                </c:pt>
                <c:pt idx="143">
                  <c:v>1.5168348938588829</c:v>
                </c:pt>
                <c:pt idx="144">
                  <c:v>1.5288607899825548</c:v>
                </c:pt>
                <c:pt idx="145">
                  <c:v>1.5182043356762309</c:v>
                </c:pt>
                <c:pt idx="146">
                  <c:v>1.5028184195124872</c:v>
                </c:pt>
                <c:pt idx="147">
                  <c:v>1.5056835376390145</c:v>
                </c:pt>
                <c:pt idx="148">
                  <c:v>1.5226108442122723</c:v>
                </c:pt>
                <c:pt idx="149">
                  <c:v>1.5300450610139422</c:v>
                </c:pt>
                <c:pt idx="150">
                  <c:v>1.5973915302157617</c:v>
                </c:pt>
                <c:pt idx="151">
                  <c:v>1.6661687878436104</c:v>
                </c:pt>
                <c:pt idx="152">
                  <c:v>1.5266819194465282</c:v>
                </c:pt>
                <c:pt idx="153">
                  <c:v>1.5001473309741447</c:v>
                </c:pt>
                <c:pt idx="154">
                  <c:v>1.4855887675170605</c:v>
                </c:pt>
                <c:pt idx="155">
                  <c:v>1.5025115639860973</c:v>
                </c:pt>
                <c:pt idx="156">
                  <c:v>1.5140861330981321</c:v>
                </c:pt>
                <c:pt idx="157">
                  <c:v>1.4920957564742576</c:v>
                </c:pt>
                <c:pt idx="158">
                  <c:v>1.6871601104773715</c:v>
                </c:pt>
                <c:pt idx="159">
                  <c:v>1.6013132011703812</c:v>
                </c:pt>
                <c:pt idx="160">
                  <c:v>1.5041557106384869</c:v>
                </c:pt>
                <c:pt idx="161">
                  <c:v>1.5049643244663691</c:v>
                </c:pt>
                <c:pt idx="162">
                  <c:v>1.504699581942776</c:v>
                </c:pt>
                <c:pt idx="163">
                  <c:v>1.5234246281027908</c:v>
                </c:pt>
                <c:pt idx="164">
                  <c:v>1.5986682890724477</c:v>
                </c:pt>
                <c:pt idx="165">
                  <c:v>1.6119147557434137</c:v>
                </c:pt>
                <c:pt idx="166">
                  <c:v>1.5259059500746108</c:v>
                </c:pt>
                <c:pt idx="167">
                  <c:v>1.4620689655172414</c:v>
                </c:pt>
                <c:pt idx="168">
                  <c:v>1.475426994790465</c:v>
                </c:pt>
                <c:pt idx="169">
                  <c:v>1.5165367552512112</c:v>
                </c:pt>
                <c:pt idx="170">
                  <c:v>1.4524007225419189</c:v>
                </c:pt>
                <c:pt idx="171">
                  <c:v>1.4668073096051593</c:v>
                </c:pt>
                <c:pt idx="172">
                  <c:v>1.4446280991735538</c:v>
                </c:pt>
                <c:pt idx="173">
                  <c:v>1.4877123926582851</c:v>
                </c:pt>
                <c:pt idx="174">
                  <c:v>1.4559152755493365</c:v>
                </c:pt>
                <c:pt idx="175">
                  <c:v>1.4885947528200763</c:v>
                </c:pt>
                <c:pt idx="176">
                  <c:v>1.5180918368269856</c:v>
                </c:pt>
                <c:pt idx="177">
                  <c:v>1.5203403240429425</c:v>
                </c:pt>
                <c:pt idx="178">
                  <c:v>1.4115547720745996</c:v>
                </c:pt>
                <c:pt idx="179">
                  <c:v>1.4389842188491508</c:v>
                </c:pt>
                <c:pt idx="180">
                  <c:v>1.0237487158565834</c:v>
                </c:pt>
                <c:pt idx="181">
                  <c:v>0.93567842277260416</c:v>
                </c:pt>
                <c:pt idx="182">
                  <c:v>1.0758927060789363</c:v>
                </c:pt>
                <c:pt idx="183">
                  <c:v>1.0268545940761631</c:v>
                </c:pt>
                <c:pt idx="184">
                  <c:v>1.0346366999285883</c:v>
                </c:pt>
                <c:pt idx="185">
                  <c:v>1.0623283858594443</c:v>
                </c:pt>
                <c:pt idx="186">
                  <c:v>1.1461820655532375</c:v>
                </c:pt>
                <c:pt idx="187">
                  <c:v>1.1954716478617804</c:v>
                </c:pt>
                <c:pt idx="188">
                  <c:v>1.0925362113253148</c:v>
                </c:pt>
                <c:pt idx="189">
                  <c:v>1.1010527934745384</c:v>
                </c:pt>
                <c:pt idx="190">
                  <c:v>1.0912140872924294</c:v>
                </c:pt>
                <c:pt idx="191">
                  <c:v>1.1492356054922255</c:v>
                </c:pt>
                <c:pt idx="192">
                  <c:v>1.1349619145675156</c:v>
                </c:pt>
                <c:pt idx="193">
                  <c:v>1.1122817840868864</c:v>
                </c:pt>
                <c:pt idx="194">
                  <c:v>1.0987532507697635</c:v>
                </c:pt>
                <c:pt idx="195">
                  <c:v>1.1089889945820777</c:v>
                </c:pt>
                <c:pt idx="196">
                  <c:v>1.1787354462895352</c:v>
                </c:pt>
                <c:pt idx="197">
                  <c:v>1.0869069808016703</c:v>
                </c:pt>
                <c:pt idx="198">
                  <c:v>1.096539047508919</c:v>
                </c:pt>
                <c:pt idx="199">
                  <c:v>1.16369192752581</c:v>
                </c:pt>
                <c:pt idx="200">
                  <c:v>1.1947641349451448</c:v>
                </c:pt>
                <c:pt idx="201">
                  <c:v>1.1670472868336763</c:v>
                </c:pt>
                <c:pt idx="202">
                  <c:v>1.132842870370719</c:v>
                </c:pt>
                <c:pt idx="203">
                  <c:v>1.1656627791847993</c:v>
                </c:pt>
                <c:pt idx="204">
                  <c:v>1.1755134633633804</c:v>
                </c:pt>
                <c:pt idx="205">
                  <c:v>1.1977966905495669</c:v>
                </c:pt>
                <c:pt idx="206">
                  <c:v>1.1580123373677602</c:v>
                </c:pt>
                <c:pt idx="207">
                  <c:v>1.1616012052795339</c:v>
                </c:pt>
                <c:pt idx="208">
                  <c:v>1.1911987964426554</c:v>
                </c:pt>
                <c:pt idx="209">
                  <c:v>1.1654107304312147</c:v>
                </c:pt>
                <c:pt idx="210">
                  <c:v>1.3091627468179454</c:v>
                </c:pt>
                <c:pt idx="211">
                  <c:v>1.3065529596338408</c:v>
                </c:pt>
                <c:pt idx="212">
                  <c:v>1.2231887160347936</c:v>
                </c:pt>
                <c:pt idx="213">
                  <c:v>1.2633524782298757</c:v>
                </c:pt>
                <c:pt idx="214">
                  <c:v>1.1113653717386791</c:v>
                </c:pt>
                <c:pt idx="215">
                  <c:v>1.1281074468382564</c:v>
                </c:pt>
                <c:pt idx="216">
                  <c:v>1.1774029485803446</c:v>
                </c:pt>
                <c:pt idx="217">
                  <c:v>1.1390279681170807</c:v>
                </c:pt>
                <c:pt idx="218">
                  <c:v>1.1926700299059099</c:v>
                </c:pt>
                <c:pt idx="219">
                  <c:v>1.2877652501167682</c:v>
                </c:pt>
                <c:pt idx="220">
                  <c:v>1.261590148789679</c:v>
                </c:pt>
                <c:pt idx="221">
                  <c:v>1.2565372126605359</c:v>
                </c:pt>
                <c:pt idx="222">
                  <c:v>1.29791322382362</c:v>
                </c:pt>
                <c:pt idx="223">
                  <c:v>1.2481277472212824</c:v>
                </c:pt>
                <c:pt idx="224">
                  <c:v>1.2533141918710937</c:v>
                </c:pt>
                <c:pt idx="225">
                  <c:v>1.0946069345578255</c:v>
                </c:pt>
                <c:pt idx="226">
                  <c:v>1.3412042943788216</c:v>
                </c:pt>
                <c:pt idx="227">
                  <c:v>1.1221749951611539</c:v>
                </c:pt>
                <c:pt idx="228">
                  <c:v>1.1777447931603433</c:v>
                </c:pt>
                <c:pt idx="229">
                  <c:v>1.2511987619769216</c:v>
                </c:pt>
                <c:pt idx="230">
                  <c:v>1.1109746501061324</c:v>
                </c:pt>
                <c:pt idx="231">
                  <c:v>1.3148180981578417</c:v>
                </c:pt>
                <c:pt idx="232">
                  <c:v>0.68106907279326356</c:v>
                </c:pt>
                <c:pt idx="233">
                  <c:v>1.0484128519826659</c:v>
                </c:pt>
                <c:pt idx="234">
                  <c:v>1.3101019793819193</c:v>
                </c:pt>
                <c:pt idx="235">
                  <c:v>1.0312493625565056</c:v>
                </c:pt>
                <c:pt idx="236">
                  <c:v>1.0321567401538876</c:v>
                </c:pt>
                <c:pt idx="237">
                  <c:v>1.0307927353547435</c:v>
                </c:pt>
                <c:pt idx="238">
                  <c:v>1.0580149013206954</c:v>
                </c:pt>
                <c:pt idx="239">
                  <c:v>0.93899253122663984</c:v>
                </c:pt>
                <c:pt idx="240">
                  <c:v>1.2342820027932486</c:v>
                </c:pt>
                <c:pt idx="241">
                  <c:v>1.3426948916652899</c:v>
                </c:pt>
                <c:pt idx="242">
                  <c:v>1.2222310490406594</c:v>
                </c:pt>
                <c:pt idx="243">
                  <c:v>1.1279744568138528</c:v>
                </c:pt>
                <c:pt idx="244">
                  <c:v>1.1339043399263788</c:v>
                </c:pt>
                <c:pt idx="245">
                  <c:v>1.0291593133735879</c:v>
                </c:pt>
                <c:pt idx="246">
                  <c:v>1.0471134412523595</c:v>
                </c:pt>
                <c:pt idx="247">
                  <c:v>1.0249406894295991</c:v>
                </c:pt>
                <c:pt idx="248">
                  <c:v>1.3196195287381225</c:v>
                </c:pt>
                <c:pt idx="249">
                  <c:v>1.2001293869284695</c:v>
                </c:pt>
                <c:pt idx="250">
                  <c:v>1.0248713905075764</c:v>
                </c:pt>
                <c:pt idx="251">
                  <c:v>1.0213811095693157</c:v>
                </c:pt>
                <c:pt idx="252">
                  <c:v>1.0284060016373233</c:v>
                </c:pt>
                <c:pt idx="253">
                  <c:v>1.12249084531327</c:v>
                </c:pt>
                <c:pt idx="254">
                  <c:v>1.2147749386588798</c:v>
                </c:pt>
                <c:pt idx="255">
                  <c:v>1.2283807559257935</c:v>
                </c:pt>
                <c:pt idx="256">
                  <c:v>1.0552172425804149</c:v>
                </c:pt>
                <c:pt idx="257">
                  <c:v>1.1225473780524737</c:v>
                </c:pt>
                <c:pt idx="258">
                  <c:v>1.1720154356500836</c:v>
                </c:pt>
                <c:pt idx="259">
                  <c:v>1.1969131227636023</c:v>
                </c:pt>
                <c:pt idx="260">
                  <c:v>1.1774834376282775</c:v>
                </c:pt>
                <c:pt idx="261">
                  <c:v>1.1626876719614456</c:v>
                </c:pt>
                <c:pt idx="262">
                  <c:v>1.2175721423168984</c:v>
                </c:pt>
                <c:pt idx="263">
                  <c:v>1.1731611074357535</c:v>
                </c:pt>
                <c:pt idx="264">
                  <c:v>1.242120139419006</c:v>
                </c:pt>
                <c:pt idx="265">
                  <c:v>1.2548856779916029</c:v>
                </c:pt>
                <c:pt idx="266">
                  <c:v>1.2398939628085981</c:v>
                </c:pt>
                <c:pt idx="267">
                  <c:v>1.0093851639727518</c:v>
                </c:pt>
                <c:pt idx="268">
                  <c:v>0.97479388389350019</c:v>
                </c:pt>
                <c:pt idx="269">
                  <c:v>0.98919861845802415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xVal>
          <c:yVal>
            <c:numRef>
              <c:f>CONTROL!$BH$7:$BH$1211</c:f>
              <c:numCache>
                <c:formatCode>General</c:formatCode>
                <c:ptCount val="1205"/>
                <c:pt idx="0">
                  <c:v>-99</c:v>
                </c:pt>
                <c:pt idx="1">
                  <c:v>-99</c:v>
                </c:pt>
                <c:pt idx="2">
                  <c:v>-99</c:v>
                </c:pt>
                <c:pt idx="3">
                  <c:v>-99</c:v>
                </c:pt>
                <c:pt idx="4">
                  <c:v>-99</c:v>
                </c:pt>
                <c:pt idx="5">
                  <c:v>-99</c:v>
                </c:pt>
                <c:pt idx="6">
                  <c:v>-99</c:v>
                </c:pt>
                <c:pt idx="7">
                  <c:v>-99</c:v>
                </c:pt>
                <c:pt idx="8">
                  <c:v>-99</c:v>
                </c:pt>
                <c:pt idx="9">
                  <c:v>-99</c:v>
                </c:pt>
                <c:pt idx="10">
                  <c:v>-99</c:v>
                </c:pt>
                <c:pt idx="11">
                  <c:v>-99</c:v>
                </c:pt>
                <c:pt idx="12">
                  <c:v>-99</c:v>
                </c:pt>
                <c:pt idx="13">
                  <c:v>-99</c:v>
                </c:pt>
                <c:pt idx="14">
                  <c:v>-99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19">
                  <c:v>-99</c:v>
                </c:pt>
                <c:pt idx="20">
                  <c:v>-99</c:v>
                </c:pt>
                <c:pt idx="21">
                  <c:v>-99</c:v>
                </c:pt>
                <c:pt idx="22">
                  <c:v>-99</c:v>
                </c:pt>
                <c:pt idx="23">
                  <c:v>-99</c:v>
                </c:pt>
                <c:pt idx="24">
                  <c:v>-99</c:v>
                </c:pt>
                <c:pt idx="25">
                  <c:v>-99</c:v>
                </c:pt>
                <c:pt idx="26">
                  <c:v>-99</c:v>
                </c:pt>
                <c:pt idx="27">
                  <c:v>-99</c:v>
                </c:pt>
                <c:pt idx="28">
                  <c:v>-99</c:v>
                </c:pt>
                <c:pt idx="29">
                  <c:v>-99</c:v>
                </c:pt>
                <c:pt idx="30">
                  <c:v>-99</c:v>
                </c:pt>
                <c:pt idx="31">
                  <c:v>-99</c:v>
                </c:pt>
                <c:pt idx="32">
                  <c:v>-99</c:v>
                </c:pt>
                <c:pt idx="33">
                  <c:v>-99</c:v>
                </c:pt>
                <c:pt idx="34">
                  <c:v>-99</c:v>
                </c:pt>
                <c:pt idx="35">
                  <c:v>-99</c:v>
                </c:pt>
                <c:pt idx="36">
                  <c:v>-99</c:v>
                </c:pt>
                <c:pt idx="37">
                  <c:v>-99</c:v>
                </c:pt>
                <c:pt idx="38">
                  <c:v>-99</c:v>
                </c:pt>
                <c:pt idx="39">
                  <c:v>-99</c:v>
                </c:pt>
                <c:pt idx="40">
                  <c:v>-99</c:v>
                </c:pt>
                <c:pt idx="41">
                  <c:v>-99</c:v>
                </c:pt>
                <c:pt idx="42">
                  <c:v>-99</c:v>
                </c:pt>
                <c:pt idx="43">
                  <c:v>-99</c:v>
                </c:pt>
                <c:pt idx="44">
                  <c:v>-99</c:v>
                </c:pt>
                <c:pt idx="45">
                  <c:v>-99</c:v>
                </c:pt>
                <c:pt idx="46">
                  <c:v>-99</c:v>
                </c:pt>
                <c:pt idx="47">
                  <c:v>-99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2">
                  <c:v>-99</c:v>
                </c:pt>
                <c:pt idx="53">
                  <c:v>-99</c:v>
                </c:pt>
                <c:pt idx="54">
                  <c:v>-99</c:v>
                </c:pt>
                <c:pt idx="55">
                  <c:v>-99</c:v>
                </c:pt>
                <c:pt idx="56">
                  <c:v>-99</c:v>
                </c:pt>
                <c:pt idx="57">
                  <c:v>-99</c:v>
                </c:pt>
                <c:pt idx="58">
                  <c:v>-99</c:v>
                </c:pt>
                <c:pt idx="59">
                  <c:v>-99</c:v>
                </c:pt>
                <c:pt idx="60">
                  <c:v>-99</c:v>
                </c:pt>
                <c:pt idx="61">
                  <c:v>-99</c:v>
                </c:pt>
                <c:pt idx="62">
                  <c:v>-99</c:v>
                </c:pt>
                <c:pt idx="63">
                  <c:v>-99</c:v>
                </c:pt>
                <c:pt idx="64">
                  <c:v>-99</c:v>
                </c:pt>
                <c:pt idx="65">
                  <c:v>-99</c:v>
                </c:pt>
                <c:pt idx="66">
                  <c:v>-99</c:v>
                </c:pt>
                <c:pt idx="67">
                  <c:v>-99</c:v>
                </c:pt>
                <c:pt idx="68">
                  <c:v>-99</c:v>
                </c:pt>
                <c:pt idx="69">
                  <c:v>-99</c:v>
                </c:pt>
                <c:pt idx="70">
                  <c:v>-99</c:v>
                </c:pt>
                <c:pt idx="71">
                  <c:v>-99</c:v>
                </c:pt>
                <c:pt idx="72">
                  <c:v>-99</c:v>
                </c:pt>
                <c:pt idx="73">
                  <c:v>-99</c:v>
                </c:pt>
                <c:pt idx="74">
                  <c:v>-99</c:v>
                </c:pt>
                <c:pt idx="75">
                  <c:v>-99</c:v>
                </c:pt>
                <c:pt idx="76">
                  <c:v>-99</c:v>
                </c:pt>
                <c:pt idx="77">
                  <c:v>-99</c:v>
                </c:pt>
                <c:pt idx="78">
                  <c:v>-99</c:v>
                </c:pt>
                <c:pt idx="79">
                  <c:v>-99</c:v>
                </c:pt>
                <c:pt idx="80">
                  <c:v>-99</c:v>
                </c:pt>
                <c:pt idx="81">
                  <c:v>-99</c:v>
                </c:pt>
                <c:pt idx="82">
                  <c:v>-99</c:v>
                </c:pt>
                <c:pt idx="83">
                  <c:v>-99</c:v>
                </c:pt>
                <c:pt idx="84">
                  <c:v>-99</c:v>
                </c:pt>
                <c:pt idx="85">
                  <c:v>-99</c:v>
                </c:pt>
                <c:pt idx="86">
                  <c:v>-99</c:v>
                </c:pt>
                <c:pt idx="87">
                  <c:v>-99</c:v>
                </c:pt>
                <c:pt idx="88">
                  <c:v>-99</c:v>
                </c:pt>
                <c:pt idx="89">
                  <c:v>-99</c:v>
                </c:pt>
                <c:pt idx="90">
                  <c:v>-99</c:v>
                </c:pt>
                <c:pt idx="91">
                  <c:v>-99</c:v>
                </c:pt>
                <c:pt idx="92">
                  <c:v>-99</c:v>
                </c:pt>
                <c:pt idx="93">
                  <c:v>-99</c:v>
                </c:pt>
                <c:pt idx="94">
                  <c:v>-99</c:v>
                </c:pt>
                <c:pt idx="95">
                  <c:v>-99</c:v>
                </c:pt>
                <c:pt idx="96">
                  <c:v>-99</c:v>
                </c:pt>
                <c:pt idx="97">
                  <c:v>-99</c:v>
                </c:pt>
                <c:pt idx="98">
                  <c:v>-99</c:v>
                </c:pt>
                <c:pt idx="99">
                  <c:v>-99</c:v>
                </c:pt>
                <c:pt idx="100">
                  <c:v>-99</c:v>
                </c:pt>
                <c:pt idx="101">
                  <c:v>-99</c:v>
                </c:pt>
                <c:pt idx="102">
                  <c:v>-99</c:v>
                </c:pt>
                <c:pt idx="103">
                  <c:v>-99</c:v>
                </c:pt>
                <c:pt idx="104">
                  <c:v>-99</c:v>
                </c:pt>
                <c:pt idx="105">
                  <c:v>-99</c:v>
                </c:pt>
                <c:pt idx="106">
                  <c:v>-99</c:v>
                </c:pt>
                <c:pt idx="107">
                  <c:v>-99</c:v>
                </c:pt>
                <c:pt idx="108">
                  <c:v>-99</c:v>
                </c:pt>
                <c:pt idx="109">
                  <c:v>-99</c:v>
                </c:pt>
                <c:pt idx="110">
                  <c:v>-99</c:v>
                </c:pt>
                <c:pt idx="111">
                  <c:v>-99</c:v>
                </c:pt>
                <c:pt idx="112">
                  <c:v>-99</c:v>
                </c:pt>
                <c:pt idx="113">
                  <c:v>-99</c:v>
                </c:pt>
                <c:pt idx="114">
                  <c:v>-99</c:v>
                </c:pt>
                <c:pt idx="115">
                  <c:v>-99</c:v>
                </c:pt>
                <c:pt idx="116">
                  <c:v>-99</c:v>
                </c:pt>
                <c:pt idx="117">
                  <c:v>-99</c:v>
                </c:pt>
                <c:pt idx="118">
                  <c:v>-99</c:v>
                </c:pt>
                <c:pt idx="119">
                  <c:v>-99</c:v>
                </c:pt>
                <c:pt idx="120">
                  <c:v>-99</c:v>
                </c:pt>
                <c:pt idx="121">
                  <c:v>-99</c:v>
                </c:pt>
                <c:pt idx="122">
                  <c:v>-99</c:v>
                </c:pt>
                <c:pt idx="123">
                  <c:v>-99</c:v>
                </c:pt>
                <c:pt idx="124">
                  <c:v>-99</c:v>
                </c:pt>
                <c:pt idx="125">
                  <c:v>-99</c:v>
                </c:pt>
                <c:pt idx="126">
                  <c:v>-99</c:v>
                </c:pt>
                <c:pt idx="127">
                  <c:v>-99</c:v>
                </c:pt>
                <c:pt idx="128">
                  <c:v>-99</c:v>
                </c:pt>
                <c:pt idx="129">
                  <c:v>-99</c:v>
                </c:pt>
                <c:pt idx="130">
                  <c:v>-99</c:v>
                </c:pt>
                <c:pt idx="131">
                  <c:v>-99</c:v>
                </c:pt>
                <c:pt idx="132">
                  <c:v>-99</c:v>
                </c:pt>
                <c:pt idx="133">
                  <c:v>-99</c:v>
                </c:pt>
                <c:pt idx="134">
                  <c:v>-99</c:v>
                </c:pt>
                <c:pt idx="135">
                  <c:v>-99</c:v>
                </c:pt>
                <c:pt idx="136">
                  <c:v>-99</c:v>
                </c:pt>
                <c:pt idx="137">
                  <c:v>-99</c:v>
                </c:pt>
                <c:pt idx="138">
                  <c:v>-99</c:v>
                </c:pt>
                <c:pt idx="139">
                  <c:v>-99</c:v>
                </c:pt>
                <c:pt idx="140">
                  <c:v>-99</c:v>
                </c:pt>
                <c:pt idx="141">
                  <c:v>-99</c:v>
                </c:pt>
                <c:pt idx="142">
                  <c:v>-99</c:v>
                </c:pt>
                <c:pt idx="143">
                  <c:v>-99</c:v>
                </c:pt>
                <c:pt idx="144">
                  <c:v>-99</c:v>
                </c:pt>
                <c:pt idx="145">
                  <c:v>-99</c:v>
                </c:pt>
                <c:pt idx="146">
                  <c:v>-99</c:v>
                </c:pt>
                <c:pt idx="147">
                  <c:v>-99</c:v>
                </c:pt>
                <c:pt idx="148">
                  <c:v>-99</c:v>
                </c:pt>
                <c:pt idx="149">
                  <c:v>-99</c:v>
                </c:pt>
                <c:pt idx="150">
                  <c:v>-99</c:v>
                </c:pt>
                <c:pt idx="151">
                  <c:v>-99</c:v>
                </c:pt>
                <c:pt idx="152">
                  <c:v>-99</c:v>
                </c:pt>
                <c:pt idx="153">
                  <c:v>-99</c:v>
                </c:pt>
                <c:pt idx="154">
                  <c:v>-99</c:v>
                </c:pt>
                <c:pt idx="155">
                  <c:v>-99</c:v>
                </c:pt>
                <c:pt idx="156">
                  <c:v>-99</c:v>
                </c:pt>
                <c:pt idx="157">
                  <c:v>-99</c:v>
                </c:pt>
                <c:pt idx="158">
                  <c:v>-99</c:v>
                </c:pt>
                <c:pt idx="159">
                  <c:v>-99</c:v>
                </c:pt>
                <c:pt idx="160">
                  <c:v>-99</c:v>
                </c:pt>
                <c:pt idx="161">
                  <c:v>-99</c:v>
                </c:pt>
                <c:pt idx="162">
                  <c:v>-99</c:v>
                </c:pt>
                <c:pt idx="163">
                  <c:v>-99</c:v>
                </c:pt>
                <c:pt idx="164">
                  <c:v>-99</c:v>
                </c:pt>
                <c:pt idx="165">
                  <c:v>-99</c:v>
                </c:pt>
                <c:pt idx="166">
                  <c:v>-99</c:v>
                </c:pt>
                <c:pt idx="167">
                  <c:v>-99</c:v>
                </c:pt>
                <c:pt idx="168">
                  <c:v>-99</c:v>
                </c:pt>
                <c:pt idx="169">
                  <c:v>-99</c:v>
                </c:pt>
                <c:pt idx="170">
                  <c:v>-99</c:v>
                </c:pt>
                <c:pt idx="171">
                  <c:v>-99</c:v>
                </c:pt>
                <c:pt idx="172">
                  <c:v>-99</c:v>
                </c:pt>
                <c:pt idx="173">
                  <c:v>-99</c:v>
                </c:pt>
                <c:pt idx="174">
                  <c:v>-99</c:v>
                </c:pt>
                <c:pt idx="175">
                  <c:v>-99</c:v>
                </c:pt>
                <c:pt idx="176">
                  <c:v>-99</c:v>
                </c:pt>
                <c:pt idx="177">
                  <c:v>-99</c:v>
                </c:pt>
                <c:pt idx="178">
                  <c:v>-99</c:v>
                </c:pt>
                <c:pt idx="179">
                  <c:v>-99</c:v>
                </c:pt>
                <c:pt idx="180">
                  <c:v>-99</c:v>
                </c:pt>
                <c:pt idx="181">
                  <c:v>-99</c:v>
                </c:pt>
                <c:pt idx="182">
                  <c:v>-99</c:v>
                </c:pt>
                <c:pt idx="183">
                  <c:v>-99</c:v>
                </c:pt>
                <c:pt idx="184">
                  <c:v>-99</c:v>
                </c:pt>
                <c:pt idx="185">
                  <c:v>-99</c:v>
                </c:pt>
                <c:pt idx="186">
                  <c:v>-99</c:v>
                </c:pt>
                <c:pt idx="187">
                  <c:v>-99</c:v>
                </c:pt>
                <c:pt idx="188">
                  <c:v>-99</c:v>
                </c:pt>
                <c:pt idx="189">
                  <c:v>-99</c:v>
                </c:pt>
                <c:pt idx="190">
                  <c:v>-99</c:v>
                </c:pt>
                <c:pt idx="191">
                  <c:v>-99</c:v>
                </c:pt>
                <c:pt idx="192">
                  <c:v>-99</c:v>
                </c:pt>
                <c:pt idx="193">
                  <c:v>-99</c:v>
                </c:pt>
                <c:pt idx="194">
                  <c:v>-99</c:v>
                </c:pt>
                <c:pt idx="195">
                  <c:v>-99</c:v>
                </c:pt>
                <c:pt idx="196">
                  <c:v>-99</c:v>
                </c:pt>
                <c:pt idx="197">
                  <c:v>-99</c:v>
                </c:pt>
                <c:pt idx="198">
                  <c:v>-99</c:v>
                </c:pt>
                <c:pt idx="199">
                  <c:v>-99</c:v>
                </c:pt>
                <c:pt idx="200">
                  <c:v>-99</c:v>
                </c:pt>
                <c:pt idx="201">
                  <c:v>-99</c:v>
                </c:pt>
                <c:pt idx="202">
                  <c:v>-99</c:v>
                </c:pt>
                <c:pt idx="203">
                  <c:v>-99</c:v>
                </c:pt>
                <c:pt idx="204">
                  <c:v>-99</c:v>
                </c:pt>
                <c:pt idx="205">
                  <c:v>-99</c:v>
                </c:pt>
                <c:pt idx="206">
                  <c:v>-99</c:v>
                </c:pt>
                <c:pt idx="207">
                  <c:v>-99</c:v>
                </c:pt>
                <c:pt idx="208">
                  <c:v>-99</c:v>
                </c:pt>
                <c:pt idx="209">
                  <c:v>-99</c:v>
                </c:pt>
                <c:pt idx="210">
                  <c:v>-99</c:v>
                </c:pt>
                <c:pt idx="211">
                  <c:v>-99</c:v>
                </c:pt>
                <c:pt idx="212">
                  <c:v>-99</c:v>
                </c:pt>
                <c:pt idx="213">
                  <c:v>-99</c:v>
                </c:pt>
                <c:pt idx="214">
                  <c:v>-99</c:v>
                </c:pt>
                <c:pt idx="215">
                  <c:v>-99</c:v>
                </c:pt>
                <c:pt idx="216">
                  <c:v>-99</c:v>
                </c:pt>
                <c:pt idx="217">
                  <c:v>-99</c:v>
                </c:pt>
                <c:pt idx="218">
                  <c:v>-99</c:v>
                </c:pt>
                <c:pt idx="219">
                  <c:v>-99</c:v>
                </c:pt>
                <c:pt idx="220">
                  <c:v>-99</c:v>
                </c:pt>
                <c:pt idx="221">
                  <c:v>-99</c:v>
                </c:pt>
                <c:pt idx="222">
                  <c:v>-99</c:v>
                </c:pt>
                <c:pt idx="223">
                  <c:v>-99</c:v>
                </c:pt>
                <c:pt idx="224">
                  <c:v>-99</c:v>
                </c:pt>
                <c:pt idx="225">
                  <c:v>-99</c:v>
                </c:pt>
                <c:pt idx="226">
                  <c:v>-99</c:v>
                </c:pt>
                <c:pt idx="227">
                  <c:v>-99</c:v>
                </c:pt>
                <c:pt idx="228">
                  <c:v>-99</c:v>
                </c:pt>
                <c:pt idx="229">
                  <c:v>-99</c:v>
                </c:pt>
                <c:pt idx="230">
                  <c:v>-99</c:v>
                </c:pt>
                <c:pt idx="231">
                  <c:v>-99</c:v>
                </c:pt>
                <c:pt idx="232">
                  <c:v>-99</c:v>
                </c:pt>
                <c:pt idx="233">
                  <c:v>-99</c:v>
                </c:pt>
                <c:pt idx="234">
                  <c:v>-99</c:v>
                </c:pt>
                <c:pt idx="235">
                  <c:v>-99</c:v>
                </c:pt>
                <c:pt idx="236">
                  <c:v>-99</c:v>
                </c:pt>
                <c:pt idx="237">
                  <c:v>-99</c:v>
                </c:pt>
                <c:pt idx="238">
                  <c:v>-99</c:v>
                </c:pt>
                <c:pt idx="239">
                  <c:v>-99</c:v>
                </c:pt>
                <c:pt idx="240">
                  <c:v>-99</c:v>
                </c:pt>
                <c:pt idx="241">
                  <c:v>-99</c:v>
                </c:pt>
                <c:pt idx="242">
                  <c:v>-99</c:v>
                </c:pt>
                <c:pt idx="243">
                  <c:v>-99</c:v>
                </c:pt>
                <c:pt idx="244">
                  <c:v>-99</c:v>
                </c:pt>
                <c:pt idx="245">
                  <c:v>-99</c:v>
                </c:pt>
                <c:pt idx="246">
                  <c:v>-99</c:v>
                </c:pt>
                <c:pt idx="247">
                  <c:v>-99</c:v>
                </c:pt>
                <c:pt idx="248">
                  <c:v>-99</c:v>
                </c:pt>
                <c:pt idx="249">
                  <c:v>-99</c:v>
                </c:pt>
                <c:pt idx="250">
                  <c:v>-99</c:v>
                </c:pt>
                <c:pt idx="251">
                  <c:v>-99</c:v>
                </c:pt>
                <c:pt idx="252">
                  <c:v>-99</c:v>
                </c:pt>
                <c:pt idx="253">
                  <c:v>-99</c:v>
                </c:pt>
                <c:pt idx="254">
                  <c:v>-99</c:v>
                </c:pt>
                <c:pt idx="255">
                  <c:v>-99</c:v>
                </c:pt>
                <c:pt idx="256">
                  <c:v>-99</c:v>
                </c:pt>
                <c:pt idx="257">
                  <c:v>-99</c:v>
                </c:pt>
                <c:pt idx="258">
                  <c:v>-99</c:v>
                </c:pt>
                <c:pt idx="259">
                  <c:v>-99</c:v>
                </c:pt>
                <c:pt idx="260">
                  <c:v>-99</c:v>
                </c:pt>
                <c:pt idx="261">
                  <c:v>-99</c:v>
                </c:pt>
                <c:pt idx="262">
                  <c:v>-99</c:v>
                </c:pt>
                <c:pt idx="263">
                  <c:v>-99</c:v>
                </c:pt>
                <c:pt idx="264">
                  <c:v>-99</c:v>
                </c:pt>
                <c:pt idx="265">
                  <c:v>-99</c:v>
                </c:pt>
                <c:pt idx="266">
                  <c:v>-99</c:v>
                </c:pt>
                <c:pt idx="267">
                  <c:v>-99</c:v>
                </c:pt>
                <c:pt idx="268">
                  <c:v>-99</c:v>
                </c:pt>
                <c:pt idx="269">
                  <c:v>-99</c:v>
                </c:pt>
                <c:pt idx="270">
                  <c:v>-99</c:v>
                </c:pt>
                <c:pt idx="271">
                  <c:v>-99</c:v>
                </c:pt>
                <c:pt idx="272">
                  <c:v>-99</c:v>
                </c:pt>
                <c:pt idx="273">
                  <c:v>-99</c:v>
                </c:pt>
                <c:pt idx="274">
                  <c:v>-99</c:v>
                </c:pt>
                <c:pt idx="275">
                  <c:v>-99</c:v>
                </c:pt>
                <c:pt idx="276">
                  <c:v>-99</c:v>
                </c:pt>
                <c:pt idx="277">
                  <c:v>-99</c:v>
                </c:pt>
                <c:pt idx="278">
                  <c:v>-99</c:v>
                </c:pt>
                <c:pt idx="279">
                  <c:v>-99</c:v>
                </c:pt>
                <c:pt idx="280">
                  <c:v>-99</c:v>
                </c:pt>
                <c:pt idx="281">
                  <c:v>-99</c:v>
                </c:pt>
                <c:pt idx="282">
                  <c:v>-99</c:v>
                </c:pt>
                <c:pt idx="283">
                  <c:v>-99</c:v>
                </c:pt>
                <c:pt idx="284">
                  <c:v>-99</c:v>
                </c:pt>
                <c:pt idx="285">
                  <c:v>-99</c:v>
                </c:pt>
                <c:pt idx="286">
                  <c:v>-99</c:v>
                </c:pt>
                <c:pt idx="287">
                  <c:v>-99</c:v>
                </c:pt>
                <c:pt idx="288">
                  <c:v>-99</c:v>
                </c:pt>
                <c:pt idx="289">
                  <c:v>-99</c:v>
                </c:pt>
                <c:pt idx="290">
                  <c:v>-99</c:v>
                </c:pt>
                <c:pt idx="291">
                  <c:v>-99</c:v>
                </c:pt>
                <c:pt idx="292">
                  <c:v>-99</c:v>
                </c:pt>
                <c:pt idx="293">
                  <c:v>-99</c:v>
                </c:pt>
                <c:pt idx="294">
                  <c:v>-99</c:v>
                </c:pt>
                <c:pt idx="295">
                  <c:v>-99</c:v>
                </c:pt>
                <c:pt idx="296">
                  <c:v>-99</c:v>
                </c:pt>
                <c:pt idx="297">
                  <c:v>-99</c:v>
                </c:pt>
                <c:pt idx="298">
                  <c:v>-99</c:v>
                </c:pt>
                <c:pt idx="299">
                  <c:v>-99</c:v>
                </c:pt>
                <c:pt idx="300">
                  <c:v>-99</c:v>
                </c:pt>
                <c:pt idx="301">
                  <c:v>-99</c:v>
                </c:pt>
                <c:pt idx="302">
                  <c:v>-99</c:v>
                </c:pt>
                <c:pt idx="303">
                  <c:v>-99</c:v>
                </c:pt>
                <c:pt idx="304">
                  <c:v>-99</c:v>
                </c:pt>
                <c:pt idx="305">
                  <c:v>-99</c:v>
                </c:pt>
                <c:pt idx="306">
                  <c:v>-99</c:v>
                </c:pt>
                <c:pt idx="307">
                  <c:v>-99</c:v>
                </c:pt>
                <c:pt idx="308">
                  <c:v>-99</c:v>
                </c:pt>
                <c:pt idx="309">
                  <c:v>-99</c:v>
                </c:pt>
                <c:pt idx="310">
                  <c:v>-99</c:v>
                </c:pt>
                <c:pt idx="311">
                  <c:v>-99</c:v>
                </c:pt>
                <c:pt idx="312">
                  <c:v>-99</c:v>
                </c:pt>
                <c:pt idx="313">
                  <c:v>-99</c:v>
                </c:pt>
                <c:pt idx="314">
                  <c:v>-99</c:v>
                </c:pt>
                <c:pt idx="315">
                  <c:v>-99</c:v>
                </c:pt>
                <c:pt idx="316">
                  <c:v>-99</c:v>
                </c:pt>
                <c:pt idx="317">
                  <c:v>-99</c:v>
                </c:pt>
                <c:pt idx="318">
                  <c:v>-99</c:v>
                </c:pt>
                <c:pt idx="319">
                  <c:v>-99</c:v>
                </c:pt>
                <c:pt idx="320">
                  <c:v>-99</c:v>
                </c:pt>
                <c:pt idx="321">
                  <c:v>-99</c:v>
                </c:pt>
                <c:pt idx="322">
                  <c:v>-99</c:v>
                </c:pt>
                <c:pt idx="323">
                  <c:v>-99</c:v>
                </c:pt>
                <c:pt idx="324">
                  <c:v>-99</c:v>
                </c:pt>
                <c:pt idx="325">
                  <c:v>-99</c:v>
                </c:pt>
                <c:pt idx="326">
                  <c:v>-99</c:v>
                </c:pt>
                <c:pt idx="327">
                  <c:v>-99</c:v>
                </c:pt>
                <c:pt idx="328">
                  <c:v>-99</c:v>
                </c:pt>
                <c:pt idx="329">
                  <c:v>-99</c:v>
                </c:pt>
                <c:pt idx="330">
                  <c:v>-99</c:v>
                </c:pt>
                <c:pt idx="331">
                  <c:v>-99</c:v>
                </c:pt>
                <c:pt idx="332">
                  <c:v>-99</c:v>
                </c:pt>
                <c:pt idx="333">
                  <c:v>-99</c:v>
                </c:pt>
                <c:pt idx="334">
                  <c:v>-99</c:v>
                </c:pt>
                <c:pt idx="335">
                  <c:v>-99</c:v>
                </c:pt>
                <c:pt idx="336">
                  <c:v>-99</c:v>
                </c:pt>
                <c:pt idx="337">
                  <c:v>-99</c:v>
                </c:pt>
                <c:pt idx="338">
                  <c:v>-99</c:v>
                </c:pt>
                <c:pt idx="339">
                  <c:v>-99</c:v>
                </c:pt>
                <c:pt idx="340">
                  <c:v>-99</c:v>
                </c:pt>
                <c:pt idx="341">
                  <c:v>-99</c:v>
                </c:pt>
                <c:pt idx="342">
                  <c:v>-99</c:v>
                </c:pt>
                <c:pt idx="343">
                  <c:v>-99</c:v>
                </c:pt>
                <c:pt idx="344">
                  <c:v>-99</c:v>
                </c:pt>
                <c:pt idx="345">
                  <c:v>-99</c:v>
                </c:pt>
                <c:pt idx="346">
                  <c:v>-99</c:v>
                </c:pt>
                <c:pt idx="347">
                  <c:v>-99</c:v>
                </c:pt>
                <c:pt idx="348">
                  <c:v>-99</c:v>
                </c:pt>
                <c:pt idx="349">
                  <c:v>-99</c:v>
                </c:pt>
                <c:pt idx="350">
                  <c:v>-99</c:v>
                </c:pt>
                <c:pt idx="351">
                  <c:v>-99</c:v>
                </c:pt>
                <c:pt idx="352">
                  <c:v>-99</c:v>
                </c:pt>
                <c:pt idx="353">
                  <c:v>-99</c:v>
                </c:pt>
                <c:pt idx="354">
                  <c:v>-99</c:v>
                </c:pt>
                <c:pt idx="355">
                  <c:v>-99</c:v>
                </c:pt>
                <c:pt idx="356">
                  <c:v>-99</c:v>
                </c:pt>
                <c:pt idx="357">
                  <c:v>-99</c:v>
                </c:pt>
                <c:pt idx="358">
                  <c:v>-99</c:v>
                </c:pt>
                <c:pt idx="359">
                  <c:v>-99</c:v>
                </c:pt>
                <c:pt idx="360">
                  <c:v>-99</c:v>
                </c:pt>
                <c:pt idx="361">
                  <c:v>-99</c:v>
                </c:pt>
                <c:pt idx="362">
                  <c:v>-99</c:v>
                </c:pt>
                <c:pt idx="363">
                  <c:v>-99</c:v>
                </c:pt>
                <c:pt idx="364">
                  <c:v>-99</c:v>
                </c:pt>
                <c:pt idx="365">
                  <c:v>-99</c:v>
                </c:pt>
                <c:pt idx="366">
                  <c:v>-99</c:v>
                </c:pt>
                <c:pt idx="367">
                  <c:v>-99</c:v>
                </c:pt>
                <c:pt idx="368">
                  <c:v>-99</c:v>
                </c:pt>
                <c:pt idx="369">
                  <c:v>-99</c:v>
                </c:pt>
                <c:pt idx="370">
                  <c:v>-99</c:v>
                </c:pt>
                <c:pt idx="371">
                  <c:v>-99</c:v>
                </c:pt>
                <c:pt idx="372">
                  <c:v>-99</c:v>
                </c:pt>
                <c:pt idx="373">
                  <c:v>-99</c:v>
                </c:pt>
                <c:pt idx="374">
                  <c:v>-99</c:v>
                </c:pt>
                <c:pt idx="375">
                  <c:v>-99</c:v>
                </c:pt>
                <c:pt idx="376">
                  <c:v>-99</c:v>
                </c:pt>
                <c:pt idx="377">
                  <c:v>-99</c:v>
                </c:pt>
                <c:pt idx="378">
                  <c:v>-99</c:v>
                </c:pt>
                <c:pt idx="379">
                  <c:v>-99</c:v>
                </c:pt>
                <c:pt idx="380">
                  <c:v>-99</c:v>
                </c:pt>
                <c:pt idx="381">
                  <c:v>-99</c:v>
                </c:pt>
                <c:pt idx="382">
                  <c:v>-99</c:v>
                </c:pt>
                <c:pt idx="383">
                  <c:v>-99</c:v>
                </c:pt>
                <c:pt idx="384">
                  <c:v>-99</c:v>
                </c:pt>
                <c:pt idx="385">
                  <c:v>-99</c:v>
                </c:pt>
                <c:pt idx="386">
                  <c:v>-99</c:v>
                </c:pt>
                <c:pt idx="387">
                  <c:v>-99</c:v>
                </c:pt>
                <c:pt idx="388">
                  <c:v>-99</c:v>
                </c:pt>
                <c:pt idx="389">
                  <c:v>-99</c:v>
                </c:pt>
                <c:pt idx="390">
                  <c:v>-99</c:v>
                </c:pt>
                <c:pt idx="391">
                  <c:v>-99</c:v>
                </c:pt>
                <c:pt idx="392">
                  <c:v>-99</c:v>
                </c:pt>
                <c:pt idx="393">
                  <c:v>-99</c:v>
                </c:pt>
                <c:pt idx="394">
                  <c:v>-99</c:v>
                </c:pt>
                <c:pt idx="395">
                  <c:v>-99</c:v>
                </c:pt>
                <c:pt idx="396">
                  <c:v>-99</c:v>
                </c:pt>
                <c:pt idx="397">
                  <c:v>-99</c:v>
                </c:pt>
                <c:pt idx="398">
                  <c:v>-99</c:v>
                </c:pt>
                <c:pt idx="399">
                  <c:v>-99</c:v>
                </c:pt>
                <c:pt idx="400">
                  <c:v>-99</c:v>
                </c:pt>
                <c:pt idx="401">
                  <c:v>-99</c:v>
                </c:pt>
                <c:pt idx="402">
                  <c:v>-99</c:v>
                </c:pt>
                <c:pt idx="403">
                  <c:v>-99</c:v>
                </c:pt>
                <c:pt idx="404">
                  <c:v>-99</c:v>
                </c:pt>
                <c:pt idx="405">
                  <c:v>-99</c:v>
                </c:pt>
                <c:pt idx="406">
                  <c:v>-99</c:v>
                </c:pt>
                <c:pt idx="407">
                  <c:v>-99</c:v>
                </c:pt>
                <c:pt idx="408">
                  <c:v>-99</c:v>
                </c:pt>
                <c:pt idx="409">
                  <c:v>-99</c:v>
                </c:pt>
                <c:pt idx="410">
                  <c:v>-99</c:v>
                </c:pt>
                <c:pt idx="411">
                  <c:v>-99</c:v>
                </c:pt>
                <c:pt idx="412">
                  <c:v>-99</c:v>
                </c:pt>
                <c:pt idx="413">
                  <c:v>-99</c:v>
                </c:pt>
                <c:pt idx="414">
                  <c:v>-99</c:v>
                </c:pt>
                <c:pt idx="415">
                  <c:v>-99</c:v>
                </c:pt>
                <c:pt idx="416">
                  <c:v>-99</c:v>
                </c:pt>
                <c:pt idx="417">
                  <c:v>-99</c:v>
                </c:pt>
                <c:pt idx="418">
                  <c:v>-99</c:v>
                </c:pt>
                <c:pt idx="419">
                  <c:v>-99</c:v>
                </c:pt>
                <c:pt idx="420">
                  <c:v>-99</c:v>
                </c:pt>
                <c:pt idx="421">
                  <c:v>-99</c:v>
                </c:pt>
                <c:pt idx="422">
                  <c:v>-99</c:v>
                </c:pt>
                <c:pt idx="423">
                  <c:v>-99</c:v>
                </c:pt>
                <c:pt idx="424">
                  <c:v>-99</c:v>
                </c:pt>
                <c:pt idx="425">
                  <c:v>-99</c:v>
                </c:pt>
                <c:pt idx="426">
                  <c:v>-99</c:v>
                </c:pt>
                <c:pt idx="427">
                  <c:v>-99</c:v>
                </c:pt>
                <c:pt idx="428">
                  <c:v>-99</c:v>
                </c:pt>
                <c:pt idx="429">
                  <c:v>-99</c:v>
                </c:pt>
                <c:pt idx="430">
                  <c:v>-99</c:v>
                </c:pt>
                <c:pt idx="431">
                  <c:v>-99</c:v>
                </c:pt>
                <c:pt idx="432">
                  <c:v>-99</c:v>
                </c:pt>
                <c:pt idx="433">
                  <c:v>-99</c:v>
                </c:pt>
                <c:pt idx="434">
                  <c:v>-99</c:v>
                </c:pt>
                <c:pt idx="435">
                  <c:v>-99</c:v>
                </c:pt>
                <c:pt idx="436">
                  <c:v>-99</c:v>
                </c:pt>
                <c:pt idx="437">
                  <c:v>-99</c:v>
                </c:pt>
                <c:pt idx="438">
                  <c:v>-99</c:v>
                </c:pt>
                <c:pt idx="439">
                  <c:v>-99</c:v>
                </c:pt>
                <c:pt idx="440">
                  <c:v>-99</c:v>
                </c:pt>
                <c:pt idx="441">
                  <c:v>-99</c:v>
                </c:pt>
                <c:pt idx="442">
                  <c:v>-99</c:v>
                </c:pt>
                <c:pt idx="443">
                  <c:v>-99</c:v>
                </c:pt>
                <c:pt idx="444">
                  <c:v>-99</c:v>
                </c:pt>
                <c:pt idx="445">
                  <c:v>-99</c:v>
                </c:pt>
                <c:pt idx="446">
                  <c:v>-99</c:v>
                </c:pt>
                <c:pt idx="447">
                  <c:v>-99</c:v>
                </c:pt>
                <c:pt idx="448">
                  <c:v>-99</c:v>
                </c:pt>
                <c:pt idx="449">
                  <c:v>-99</c:v>
                </c:pt>
                <c:pt idx="450">
                  <c:v>-99</c:v>
                </c:pt>
                <c:pt idx="451">
                  <c:v>-99</c:v>
                </c:pt>
                <c:pt idx="452">
                  <c:v>-99</c:v>
                </c:pt>
                <c:pt idx="453">
                  <c:v>-99</c:v>
                </c:pt>
                <c:pt idx="454">
                  <c:v>-99</c:v>
                </c:pt>
                <c:pt idx="455">
                  <c:v>-99</c:v>
                </c:pt>
                <c:pt idx="456">
                  <c:v>-99</c:v>
                </c:pt>
                <c:pt idx="457">
                  <c:v>-99</c:v>
                </c:pt>
                <c:pt idx="458">
                  <c:v>-99</c:v>
                </c:pt>
                <c:pt idx="459">
                  <c:v>-99</c:v>
                </c:pt>
                <c:pt idx="460">
                  <c:v>-99</c:v>
                </c:pt>
                <c:pt idx="461">
                  <c:v>-99</c:v>
                </c:pt>
                <c:pt idx="462">
                  <c:v>-99</c:v>
                </c:pt>
                <c:pt idx="463">
                  <c:v>-99</c:v>
                </c:pt>
                <c:pt idx="464">
                  <c:v>-99</c:v>
                </c:pt>
                <c:pt idx="465">
                  <c:v>-99</c:v>
                </c:pt>
                <c:pt idx="466">
                  <c:v>-99</c:v>
                </c:pt>
                <c:pt idx="467">
                  <c:v>-99</c:v>
                </c:pt>
                <c:pt idx="468">
                  <c:v>-99</c:v>
                </c:pt>
                <c:pt idx="469">
                  <c:v>-99</c:v>
                </c:pt>
                <c:pt idx="470">
                  <c:v>-99</c:v>
                </c:pt>
                <c:pt idx="471">
                  <c:v>-99</c:v>
                </c:pt>
                <c:pt idx="472">
                  <c:v>-99</c:v>
                </c:pt>
                <c:pt idx="473">
                  <c:v>-99</c:v>
                </c:pt>
                <c:pt idx="474">
                  <c:v>-99</c:v>
                </c:pt>
                <c:pt idx="475">
                  <c:v>-99</c:v>
                </c:pt>
                <c:pt idx="476">
                  <c:v>-99</c:v>
                </c:pt>
                <c:pt idx="477">
                  <c:v>-99</c:v>
                </c:pt>
                <c:pt idx="478">
                  <c:v>-99</c:v>
                </c:pt>
                <c:pt idx="479">
                  <c:v>-99</c:v>
                </c:pt>
                <c:pt idx="480">
                  <c:v>-99</c:v>
                </c:pt>
                <c:pt idx="481">
                  <c:v>-99</c:v>
                </c:pt>
                <c:pt idx="482">
                  <c:v>-99</c:v>
                </c:pt>
                <c:pt idx="483">
                  <c:v>-99</c:v>
                </c:pt>
                <c:pt idx="484">
                  <c:v>-99</c:v>
                </c:pt>
                <c:pt idx="485">
                  <c:v>-99</c:v>
                </c:pt>
                <c:pt idx="486">
                  <c:v>-99</c:v>
                </c:pt>
                <c:pt idx="487">
                  <c:v>-99</c:v>
                </c:pt>
                <c:pt idx="488">
                  <c:v>-99</c:v>
                </c:pt>
                <c:pt idx="489">
                  <c:v>-99</c:v>
                </c:pt>
                <c:pt idx="490">
                  <c:v>-99</c:v>
                </c:pt>
                <c:pt idx="491">
                  <c:v>-99</c:v>
                </c:pt>
                <c:pt idx="492">
                  <c:v>-99</c:v>
                </c:pt>
                <c:pt idx="493">
                  <c:v>-99</c:v>
                </c:pt>
                <c:pt idx="494">
                  <c:v>-99</c:v>
                </c:pt>
                <c:pt idx="495">
                  <c:v>-99</c:v>
                </c:pt>
                <c:pt idx="496">
                  <c:v>-99</c:v>
                </c:pt>
                <c:pt idx="497">
                  <c:v>-99</c:v>
                </c:pt>
                <c:pt idx="498">
                  <c:v>-99</c:v>
                </c:pt>
                <c:pt idx="499">
                  <c:v>-99</c:v>
                </c:pt>
                <c:pt idx="500">
                  <c:v>-99</c:v>
                </c:pt>
                <c:pt idx="501">
                  <c:v>-99</c:v>
                </c:pt>
                <c:pt idx="502">
                  <c:v>-99</c:v>
                </c:pt>
                <c:pt idx="503">
                  <c:v>-99</c:v>
                </c:pt>
                <c:pt idx="504">
                  <c:v>-99</c:v>
                </c:pt>
                <c:pt idx="505">
                  <c:v>-99</c:v>
                </c:pt>
                <c:pt idx="506">
                  <c:v>-99</c:v>
                </c:pt>
                <c:pt idx="507">
                  <c:v>-99</c:v>
                </c:pt>
                <c:pt idx="508">
                  <c:v>-99</c:v>
                </c:pt>
                <c:pt idx="509">
                  <c:v>-99</c:v>
                </c:pt>
                <c:pt idx="510">
                  <c:v>-99</c:v>
                </c:pt>
                <c:pt idx="511">
                  <c:v>-99</c:v>
                </c:pt>
                <c:pt idx="512">
                  <c:v>-99</c:v>
                </c:pt>
                <c:pt idx="513">
                  <c:v>-99</c:v>
                </c:pt>
                <c:pt idx="514">
                  <c:v>-99</c:v>
                </c:pt>
                <c:pt idx="515">
                  <c:v>-99</c:v>
                </c:pt>
                <c:pt idx="516">
                  <c:v>-99</c:v>
                </c:pt>
                <c:pt idx="517">
                  <c:v>-99</c:v>
                </c:pt>
                <c:pt idx="518">
                  <c:v>-99</c:v>
                </c:pt>
                <c:pt idx="519">
                  <c:v>-99</c:v>
                </c:pt>
                <c:pt idx="520">
                  <c:v>-99</c:v>
                </c:pt>
                <c:pt idx="521">
                  <c:v>-99</c:v>
                </c:pt>
                <c:pt idx="522">
                  <c:v>-99</c:v>
                </c:pt>
                <c:pt idx="523">
                  <c:v>-99</c:v>
                </c:pt>
                <c:pt idx="524">
                  <c:v>-99</c:v>
                </c:pt>
                <c:pt idx="525">
                  <c:v>-99</c:v>
                </c:pt>
                <c:pt idx="526">
                  <c:v>-99</c:v>
                </c:pt>
                <c:pt idx="527">
                  <c:v>-99</c:v>
                </c:pt>
                <c:pt idx="528">
                  <c:v>-99</c:v>
                </c:pt>
                <c:pt idx="529">
                  <c:v>-99</c:v>
                </c:pt>
                <c:pt idx="530">
                  <c:v>-99</c:v>
                </c:pt>
                <c:pt idx="531">
                  <c:v>-99</c:v>
                </c:pt>
                <c:pt idx="532">
                  <c:v>-99</c:v>
                </c:pt>
                <c:pt idx="533">
                  <c:v>-99</c:v>
                </c:pt>
                <c:pt idx="534">
                  <c:v>-99</c:v>
                </c:pt>
                <c:pt idx="535">
                  <c:v>-99</c:v>
                </c:pt>
                <c:pt idx="536">
                  <c:v>-99</c:v>
                </c:pt>
                <c:pt idx="537">
                  <c:v>-99</c:v>
                </c:pt>
                <c:pt idx="538">
                  <c:v>-99</c:v>
                </c:pt>
                <c:pt idx="539">
                  <c:v>-99</c:v>
                </c:pt>
                <c:pt idx="540">
                  <c:v>-99</c:v>
                </c:pt>
                <c:pt idx="541">
                  <c:v>-99</c:v>
                </c:pt>
                <c:pt idx="542">
                  <c:v>-99</c:v>
                </c:pt>
                <c:pt idx="543">
                  <c:v>-99</c:v>
                </c:pt>
                <c:pt idx="544">
                  <c:v>-99</c:v>
                </c:pt>
                <c:pt idx="545">
                  <c:v>-99</c:v>
                </c:pt>
                <c:pt idx="546">
                  <c:v>-99</c:v>
                </c:pt>
                <c:pt idx="547">
                  <c:v>-99</c:v>
                </c:pt>
                <c:pt idx="548">
                  <c:v>-99</c:v>
                </c:pt>
                <c:pt idx="549">
                  <c:v>-99</c:v>
                </c:pt>
                <c:pt idx="550">
                  <c:v>-99</c:v>
                </c:pt>
                <c:pt idx="551">
                  <c:v>-99</c:v>
                </c:pt>
                <c:pt idx="552">
                  <c:v>-99</c:v>
                </c:pt>
                <c:pt idx="553">
                  <c:v>-99</c:v>
                </c:pt>
                <c:pt idx="554">
                  <c:v>-99</c:v>
                </c:pt>
                <c:pt idx="555">
                  <c:v>-99</c:v>
                </c:pt>
                <c:pt idx="556">
                  <c:v>-99</c:v>
                </c:pt>
                <c:pt idx="557">
                  <c:v>-99</c:v>
                </c:pt>
                <c:pt idx="558">
                  <c:v>-99</c:v>
                </c:pt>
                <c:pt idx="559">
                  <c:v>-99</c:v>
                </c:pt>
                <c:pt idx="560">
                  <c:v>-99</c:v>
                </c:pt>
                <c:pt idx="561">
                  <c:v>-99</c:v>
                </c:pt>
                <c:pt idx="562">
                  <c:v>-99</c:v>
                </c:pt>
                <c:pt idx="563">
                  <c:v>-99</c:v>
                </c:pt>
                <c:pt idx="564">
                  <c:v>-99</c:v>
                </c:pt>
                <c:pt idx="565">
                  <c:v>-99</c:v>
                </c:pt>
                <c:pt idx="566">
                  <c:v>-99</c:v>
                </c:pt>
                <c:pt idx="567">
                  <c:v>-99</c:v>
                </c:pt>
                <c:pt idx="568">
                  <c:v>-99</c:v>
                </c:pt>
                <c:pt idx="569">
                  <c:v>-99</c:v>
                </c:pt>
                <c:pt idx="570">
                  <c:v>-99</c:v>
                </c:pt>
                <c:pt idx="571">
                  <c:v>-99</c:v>
                </c:pt>
                <c:pt idx="572">
                  <c:v>-99</c:v>
                </c:pt>
                <c:pt idx="573">
                  <c:v>-99</c:v>
                </c:pt>
                <c:pt idx="574">
                  <c:v>-99</c:v>
                </c:pt>
                <c:pt idx="575">
                  <c:v>-99</c:v>
                </c:pt>
                <c:pt idx="576">
                  <c:v>-99</c:v>
                </c:pt>
                <c:pt idx="577">
                  <c:v>-99</c:v>
                </c:pt>
                <c:pt idx="578">
                  <c:v>-99</c:v>
                </c:pt>
                <c:pt idx="579">
                  <c:v>-99</c:v>
                </c:pt>
                <c:pt idx="580">
                  <c:v>-99</c:v>
                </c:pt>
                <c:pt idx="581">
                  <c:v>-99</c:v>
                </c:pt>
                <c:pt idx="582">
                  <c:v>-99</c:v>
                </c:pt>
                <c:pt idx="583">
                  <c:v>-99</c:v>
                </c:pt>
                <c:pt idx="584">
                  <c:v>-99</c:v>
                </c:pt>
                <c:pt idx="585">
                  <c:v>-99</c:v>
                </c:pt>
                <c:pt idx="586">
                  <c:v>-99</c:v>
                </c:pt>
                <c:pt idx="587">
                  <c:v>-99</c:v>
                </c:pt>
                <c:pt idx="588">
                  <c:v>-99</c:v>
                </c:pt>
                <c:pt idx="589">
                  <c:v>-99</c:v>
                </c:pt>
                <c:pt idx="590">
                  <c:v>-99</c:v>
                </c:pt>
                <c:pt idx="591">
                  <c:v>-99</c:v>
                </c:pt>
                <c:pt idx="592">
                  <c:v>-99</c:v>
                </c:pt>
                <c:pt idx="593">
                  <c:v>-99</c:v>
                </c:pt>
                <c:pt idx="594">
                  <c:v>-99</c:v>
                </c:pt>
                <c:pt idx="595">
                  <c:v>-99</c:v>
                </c:pt>
                <c:pt idx="596">
                  <c:v>-99</c:v>
                </c:pt>
                <c:pt idx="597">
                  <c:v>-99</c:v>
                </c:pt>
                <c:pt idx="598">
                  <c:v>-99</c:v>
                </c:pt>
                <c:pt idx="599">
                  <c:v>-99</c:v>
                </c:pt>
                <c:pt idx="600">
                  <c:v>-99</c:v>
                </c:pt>
                <c:pt idx="601">
                  <c:v>-99</c:v>
                </c:pt>
                <c:pt idx="602">
                  <c:v>-99</c:v>
                </c:pt>
                <c:pt idx="603">
                  <c:v>-99</c:v>
                </c:pt>
                <c:pt idx="604">
                  <c:v>-99</c:v>
                </c:pt>
                <c:pt idx="605">
                  <c:v>-99</c:v>
                </c:pt>
                <c:pt idx="606">
                  <c:v>-99</c:v>
                </c:pt>
                <c:pt idx="607">
                  <c:v>-99</c:v>
                </c:pt>
                <c:pt idx="608">
                  <c:v>-99</c:v>
                </c:pt>
                <c:pt idx="609">
                  <c:v>-99</c:v>
                </c:pt>
                <c:pt idx="610">
                  <c:v>-99</c:v>
                </c:pt>
                <c:pt idx="611">
                  <c:v>-99</c:v>
                </c:pt>
                <c:pt idx="612">
                  <c:v>-99</c:v>
                </c:pt>
                <c:pt idx="613">
                  <c:v>-99</c:v>
                </c:pt>
                <c:pt idx="614">
                  <c:v>-99</c:v>
                </c:pt>
                <c:pt idx="615">
                  <c:v>-99</c:v>
                </c:pt>
                <c:pt idx="616">
                  <c:v>-99</c:v>
                </c:pt>
                <c:pt idx="617">
                  <c:v>-99</c:v>
                </c:pt>
                <c:pt idx="618">
                  <c:v>-99</c:v>
                </c:pt>
                <c:pt idx="619">
                  <c:v>-99</c:v>
                </c:pt>
                <c:pt idx="620">
                  <c:v>-99</c:v>
                </c:pt>
                <c:pt idx="621">
                  <c:v>-99</c:v>
                </c:pt>
                <c:pt idx="622">
                  <c:v>-99</c:v>
                </c:pt>
                <c:pt idx="623">
                  <c:v>-99</c:v>
                </c:pt>
                <c:pt idx="624">
                  <c:v>-99</c:v>
                </c:pt>
                <c:pt idx="625">
                  <c:v>-99</c:v>
                </c:pt>
                <c:pt idx="626">
                  <c:v>-99</c:v>
                </c:pt>
                <c:pt idx="627">
                  <c:v>-99</c:v>
                </c:pt>
                <c:pt idx="628">
                  <c:v>-99</c:v>
                </c:pt>
                <c:pt idx="629">
                  <c:v>-99</c:v>
                </c:pt>
                <c:pt idx="630">
                  <c:v>-99</c:v>
                </c:pt>
                <c:pt idx="631">
                  <c:v>-99</c:v>
                </c:pt>
                <c:pt idx="632">
                  <c:v>-99</c:v>
                </c:pt>
                <c:pt idx="633">
                  <c:v>-99</c:v>
                </c:pt>
                <c:pt idx="634">
                  <c:v>-99</c:v>
                </c:pt>
                <c:pt idx="635">
                  <c:v>-99</c:v>
                </c:pt>
                <c:pt idx="636">
                  <c:v>-99</c:v>
                </c:pt>
                <c:pt idx="637">
                  <c:v>-99</c:v>
                </c:pt>
                <c:pt idx="638">
                  <c:v>-99</c:v>
                </c:pt>
                <c:pt idx="639">
                  <c:v>-99</c:v>
                </c:pt>
                <c:pt idx="640">
                  <c:v>-99</c:v>
                </c:pt>
                <c:pt idx="641">
                  <c:v>-99</c:v>
                </c:pt>
                <c:pt idx="642">
                  <c:v>-99</c:v>
                </c:pt>
                <c:pt idx="643">
                  <c:v>-99</c:v>
                </c:pt>
                <c:pt idx="644">
                  <c:v>-99</c:v>
                </c:pt>
                <c:pt idx="645">
                  <c:v>-99</c:v>
                </c:pt>
                <c:pt idx="646">
                  <c:v>-99</c:v>
                </c:pt>
                <c:pt idx="647">
                  <c:v>-99</c:v>
                </c:pt>
                <c:pt idx="648">
                  <c:v>-99</c:v>
                </c:pt>
                <c:pt idx="649">
                  <c:v>-99</c:v>
                </c:pt>
                <c:pt idx="650">
                  <c:v>-99</c:v>
                </c:pt>
                <c:pt idx="651">
                  <c:v>-99</c:v>
                </c:pt>
                <c:pt idx="652">
                  <c:v>-99</c:v>
                </c:pt>
                <c:pt idx="653">
                  <c:v>-99</c:v>
                </c:pt>
                <c:pt idx="654">
                  <c:v>-99</c:v>
                </c:pt>
                <c:pt idx="655">
                  <c:v>-99</c:v>
                </c:pt>
                <c:pt idx="656">
                  <c:v>-99</c:v>
                </c:pt>
                <c:pt idx="657">
                  <c:v>-99</c:v>
                </c:pt>
                <c:pt idx="658">
                  <c:v>-99</c:v>
                </c:pt>
                <c:pt idx="659">
                  <c:v>-99</c:v>
                </c:pt>
                <c:pt idx="660">
                  <c:v>-99</c:v>
                </c:pt>
                <c:pt idx="661">
                  <c:v>-99</c:v>
                </c:pt>
                <c:pt idx="662">
                  <c:v>-99</c:v>
                </c:pt>
                <c:pt idx="663">
                  <c:v>-99</c:v>
                </c:pt>
                <c:pt idx="664">
                  <c:v>-99</c:v>
                </c:pt>
                <c:pt idx="665">
                  <c:v>-99</c:v>
                </c:pt>
                <c:pt idx="666">
                  <c:v>-99</c:v>
                </c:pt>
                <c:pt idx="667">
                  <c:v>-99</c:v>
                </c:pt>
                <c:pt idx="668">
                  <c:v>-99</c:v>
                </c:pt>
                <c:pt idx="669">
                  <c:v>-99</c:v>
                </c:pt>
                <c:pt idx="670">
                  <c:v>-99</c:v>
                </c:pt>
                <c:pt idx="671">
                  <c:v>-99</c:v>
                </c:pt>
                <c:pt idx="672">
                  <c:v>-99</c:v>
                </c:pt>
                <c:pt idx="673">
                  <c:v>-99</c:v>
                </c:pt>
                <c:pt idx="674">
                  <c:v>-99</c:v>
                </c:pt>
                <c:pt idx="675">
                  <c:v>-99</c:v>
                </c:pt>
                <c:pt idx="676">
                  <c:v>-99</c:v>
                </c:pt>
                <c:pt idx="677">
                  <c:v>-99</c:v>
                </c:pt>
                <c:pt idx="678">
                  <c:v>-99</c:v>
                </c:pt>
                <c:pt idx="679">
                  <c:v>-99</c:v>
                </c:pt>
                <c:pt idx="680">
                  <c:v>-99</c:v>
                </c:pt>
                <c:pt idx="681">
                  <c:v>-99</c:v>
                </c:pt>
                <c:pt idx="682">
                  <c:v>-99</c:v>
                </c:pt>
                <c:pt idx="683">
                  <c:v>-99</c:v>
                </c:pt>
                <c:pt idx="684">
                  <c:v>-99</c:v>
                </c:pt>
                <c:pt idx="685">
                  <c:v>-99</c:v>
                </c:pt>
                <c:pt idx="686">
                  <c:v>-99</c:v>
                </c:pt>
                <c:pt idx="687">
                  <c:v>-99</c:v>
                </c:pt>
                <c:pt idx="688">
                  <c:v>-99</c:v>
                </c:pt>
                <c:pt idx="689">
                  <c:v>-99</c:v>
                </c:pt>
                <c:pt idx="690">
                  <c:v>-99</c:v>
                </c:pt>
                <c:pt idx="691">
                  <c:v>-99</c:v>
                </c:pt>
                <c:pt idx="692">
                  <c:v>-99</c:v>
                </c:pt>
                <c:pt idx="693">
                  <c:v>-99</c:v>
                </c:pt>
                <c:pt idx="694">
                  <c:v>-99</c:v>
                </c:pt>
                <c:pt idx="695">
                  <c:v>-99</c:v>
                </c:pt>
                <c:pt idx="696">
                  <c:v>-99</c:v>
                </c:pt>
                <c:pt idx="697">
                  <c:v>-99</c:v>
                </c:pt>
                <c:pt idx="698">
                  <c:v>-99</c:v>
                </c:pt>
                <c:pt idx="699">
                  <c:v>-99</c:v>
                </c:pt>
                <c:pt idx="700">
                  <c:v>-99</c:v>
                </c:pt>
                <c:pt idx="701">
                  <c:v>-99</c:v>
                </c:pt>
                <c:pt idx="702">
                  <c:v>-99</c:v>
                </c:pt>
                <c:pt idx="703">
                  <c:v>-99</c:v>
                </c:pt>
                <c:pt idx="704">
                  <c:v>-99</c:v>
                </c:pt>
                <c:pt idx="705">
                  <c:v>-99</c:v>
                </c:pt>
                <c:pt idx="706">
                  <c:v>-99</c:v>
                </c:pt>
                <c:pt idx="707">
                  <c:v>-99</c:v>
                </c:pt>
                <c:pt idx="708">
                  <c:v>-99</c:v>
                </c:pt>
                <c:pt idx="709">
                  <c:v>-99</c:v>
                </c:pt>
                <c:pt idx="710">
                  <c:v>-99</c:v>
                </c:pt>
                <c:pt idx="711">
                  <c:v>-99</c:v>
                </c:pt>
                <c:pt idx="712">
                  <c:v>-99</c:v>
                </c:pt>
                <c:pt idx="713">
                  <c:v>-99</c:v>
                </c:pt>
                <c:pt idx="714">
                  <c:v>-99</c:v>
                </c:pt>
                <c:pt idx="715">
                  <c:v>-99</c:v>
                </c:pt>
                <c:pt idx="716">
                  <c:v>-99</c:v>
                </c:pt>
                <c:pt idx="717">
                  <c:v>-99</c:v>
                </c:pt>
                <c:pt idx="718">
                  <c:v>-99</c:v>
                </c:pt>
                <c:pt idx="719">
                  <c:v>-99</c:v>
                </c:pt>
                <c:pt idx="720">
                  <c:v>-99</c:v>
                </c:pt>
                <c:pt idx="721">
                  <c:v>-99</c:v>
                </c:pt>
                <c:pt idx="722">
                  <c:v>-99</c:v>
                </c:pt>
                <c:pt idx="723">
                  <c:v>-99</c:v>
                </c:pt>
                <c:pt idx="724">
                  <c:v>-99</c:v>
                </c:pt>
                <c:pt idx="725">
                  <c:v>-99</c:v>
                </c:pt>
                <c:pt idx="726">
                  <c:v>-99</c:v>
                </c:pt>
                <c:pt idx="727">
                  <c:v>-99</c:v>
                </c:pt>
                <c:pt idx="728">
                  <c:v>-99</c:v>
                </c:pt>
                <c:pt idx="729">
                  <c:v>-99</c:v>
                </c:pt>
                <c:pt idx="730">
                  <c:v>-99</c:v>
                </c:pt>
                <c:pt idx="731">
                  <c:v>-99</c:v>
                </c:pt>
                <c:pt idx="732">
                  <c:v>-99</c:v>
                </c:pt>
                <c:pt idx="733">
                  <c:v>-99</c:v>
                </c:pt>
                <c:pt idx="734">
                  <c:v>-99</c:v>
                </c:pt>
                <c:pt idx="735">
                  <c:v>-99</c:v>
                </c:pt>
                <c:pt idx="736">
                  <c:v>-99</c:v>
                </c:pt>
                <c:pt idx="737">
                  <c:v>-99</c:v>
                </c:pt>
                <c:pt idx="738">
                  <c:v>-99</c:v>
                </c:pt>
                <c:pt idx="739">
                  <c:v>-99</c:v>
                </c:pt>
                <c:pt idx="740">
                  <c:v>-99</c:v>
                </c:pt>
                <c:pt idx="741">
                  <c:v>-99</c:v>
                </c:pt>
                <c:pt idx="742">
                  <c:v>-99</c:v>
                </c:pt>
                <c:pt idx="743">
                  <c:v>-99</c:v>
                </c:pt>
                <c:pt idx="744">
                  <c:v>-99</c:v>
                </c:pt>
                <c:pt idx="745">
                  <c:v>-99</c:v>
                </c:pt>
                <c:pt idx="746">
                  <c:v>-99</c:v>
                </c:pt>
                <c:pt idx="747">
                  <c:v>-99</c:v>
                </c:pt>
                <c:pt idx="748">
                  <c:v>-99</c:v>
                </c:pt>
                <c:pt idx="749">
                  <c:v>-99</c:v>
                </c:pt>
                <c:pt idx="750">
                  <c:v>-99</c:v>
                </c:pt>
                <c:pt idx="751">
                  <c:v>-99</c:v>
                </c:pt>
                <c:pt idx="752">
                  <c:v>-99</c:v>
                </c:pt>
                <c:pt idx="753">
                  <c:v>-99</c:v>
                </c:pt>
                <c:pt idx="754">
                  <c:v>-99</c:v>
                </c:pt>
                <c:pt idx="755">
                  <c:v>-99</c:v>
                </c:pt>
                <c:pt idx="756">
                  <c:v>-99</c:v>
                </c:pt>
                <c:pt idx="757">
                  <c:v>-99</c:v>
                </c:pt>
                <c:pt idx="758">
                  <c:v>-99</c:v>
                </c:pt>
                <c:pt idx="759">
                  <c:v>-99</c:v>
                </c:pt>
                <c:pt idx="760">
                  <c:v>-99</c:v>
                </c:pt>
                <c:pt idx="761">
                  <c:v>-99</c:v>
                </c:pt>
                <c:pt idx="762">
                  <c:v>-99</c:v>
                </c:pt>
                <c:pt idx="763">
                  <c:v>-99</c:v>
                </c:pt>
                <c:pt idx="764">
                  <c:v>-99</c:v>
                </c:pt>
                <c:pt idx="765">
                  <c:v>-99</c:v>
                </c:pt>
                <c:pt idx="766">
                  <c:v>-99</c:v>
                </c:pt>
                <c:pt idx="767">
                  <c:v>-99</c:v>
                </c:pt>
                <c:pt idx="768">
                  <c:v>-99</c:v>
                </c:pt>
                <c:pt idx="769">
                  <c:v>-99</c:v>
                </c:pt>
                <c:pt idx="770">
                  <c:v>-99</c:v>
                </c:pt>
                <c:pt idx="771">
                  <c:v>-99</c:v>
                </c:pt>
                <c:pt idx="772">
                  <c:v>-99</c:v>
                </c:pt>
                <c:pt idx="773">
                  <c:v>-99</c:v>
                </c:pt>
                <c:pt idx="774">
                  <c:v>-99</c:v>
                </c:pt>
                <c:pt idx="775">
                  <c:v>-99</c:v>
                </c:pt>
                <c:pt idx="776">
                  <c:v>-99</c:v>
                </c:pt>
                <c:pt idx="777">
                  <c:v>-99</c:v>
                </c:pt>
                <c:pt idx="778">
                  <c:v>-99</c:v>
                </c:pt>
                <c:pt idx="779">
                  <c:v>-99</c:v>
                </c:pt>
                <c:pt idx="780">
                  <c:v>-99</c:v>
                </c:pt>
                <c:pt idx="781">
                  <c:v>-99</c:v>
                </c:pt>
                <c:pt idx="782">
                  <c:v>-99</c:v>
                </c:pt>
                <c:pt idx="783">
                  <c:v>-99</c:v>
                </c:pt>
                <c:pt idx="784">
                  <c:v>-99</c:v>
                </c:pt>
                <c:pt idx="785">
                  <c:v>-99</c:v>
                </c:pt>
                <c:pt idx="786">
                  <c:v>-99</c:v>
                </c:pt>
                <c:pt idx="787">
                  <c:v>-99</c:v>
                </c:pt>
                <c:pt idx="788">
                  <c:v>-99</c:v>
                </c:pt>
                <c:pt idx="789">
                  <c:v>-99</c:v>
                </c:pt>
                <c:pt idx="790">
                  <c:v>-99</c:v>
                </c:pt>
                <c:pt idx="791">
                  <c:v>-99</c:v>
                </c:pt>
                <c:pt idx="792">
                  <c:v>-99</c:v>
                </c:pt>
                <c:pt idx="793">
                  <c:v>-99</c:v>
                </c:pt>
                <c:pt idx="794">
                  <c:v>-99</c:v>
                </c:pt>
                <c:pt idx="795">
                  <c:v>-99</c:v>
                </c:pt>
                <c:pt idx="796">
                  <c:v>-99</c:v>
                </c:pt>
                <c:pt idx="797">
                  <c:v>-99</c:v>
                </c:pt>
                <c:pt idx="798">
                  <c:v>-99</c:v>
                </c:pt>
                <c:pt idx="799">
                  <c:v>-99</c:v>
                </c:pt>
                <c:pt idx="800">
                  <c:v>-99</c:v>
                </c:pt>
                <c:pt idx="801">
                  <c:v>-99</c:v>
                </c:pt>
                <c:pt idx="802">
                  <c:v>-99</c:v>
                </c:pt>
                <c:pt idx="803">
                  <c:v>-99</c:v>
                </c:pt>
                <c:pt idx="804">
                  <c:v>-99</c:v>
                </c:pt>
                <c:pt idx="805">
                  <c:v>-99</c:v>
                </c:pt>
                <c:pt idx="806">
                  <c:v>-99</c:v>
                </c:pt>
                <c:pt idx="807">
                  <c:v>-99</c:v>
                </c:pt>
                <c:pt idx="808">
                  <c:v>-99</c:v>
                </c:pt>
                <c:pt idx="809">
                  <c:v>-99</c:v>
                </c:pt>
                <c:pt idx="810">
                  <c:v>-99</c:v>
                </c:pt>
                <c:pt idx="811">
                  <c:v>-99</c:v>
                </c:pt>
                <c:pt idx="812">
                  <c:v>-99</c:v>
                </c:pt>
                <c:pt idx="813">
                  <c:v>-99</c:v>
                </c:pt>
                <c:pt idx="814">
                  <c:v>-99</c:v>
                </c:pt>
                <c:pt idx="815">
                  <c:v>-99</c:v>
                </c:pt>
                <c:pt idx="816">
                  <c:v>-99</c:v>
                </c:pt>
                <c:pt idx="817">
                  <c:v>-99</c:v>
                </c:pt>
                <c:pt idx="818">
                  <c:v>-99</c:v>
                </c:pt>
                <c:pt idx="819">
                  <c:v>-99</c:v>
                </c:pt>
                <c:pt idx="820">
                  <c:v>-99</c:v>
                </c:pt>
                <c:pt idx="821">
                  <c:v>-99</c:v>
                </c:pt>
                <c:pt idx="822">
                  <c:v>-99</c:v>
                </c:pt>
                <c:pt idx="823">
                  <c:v>-99</c:v>
                </c:pt>
                <c:pt idx="824">
                  <c:v>-99</c:v>
                </c:pt>
                <c:pt idx="825">
                  <c:v>-99</c:v>
                </c:pt>
                <c:pt idx="826">
                  <c:v>-99</c:v>
                </c:pt>
                <c:pt idx="827">
                  <c:v>-99</c:v>
                </c:pt>
                <c:pt idx="828">
                  <c:v>-99</c:v>
                </c:pt>
                <c:pt idx="829">
                  <c:v>-99</c:v>
                </c:pt>
                <c:pt idx="830">
                  <c:v>-99</c:v>
                </c:pt>
                <c:pt idx="831">
                  <c:v>-99</c:v>
                </c:pt>
                <c:pt idx="832">
                  <c:v>-99</c:v>
                </c:pt>
                <c:pt idx="833">
                  <c:v>-99</c:v>
                </c:pt>
                <c:pt idx="834">
                  <c:v>-99</c:v>
                </c:pt>
                <c:pt idx="835">
                  <c:v>-99</c:v>
                </c:pt>
                <c:pt idx="836">
                  <c:v>-99</c:v>
                </c:pt>
                <c:pt idx="837">
                  <c:v>-99</c:v>
                </c:pt>
                <c:pt idx="838">
                  <c:v>-99</c:v>
                </c:pt>
                <c:pt idx="839">
                  <c:v>-99</c:v>
                </c:pt>
                <c:pt idx="840">
                  <c:v>-99</c:v>
                </c:pt>
                <c:pt idx="841">
                  <c:v>-99</c:v>
                </c:pt>
                <c:pt idx="842">
                  <c:v>-99</c:v>
                </c:pt>
                <c:pt idx="843">
                  <c:v>-99</c:v>
                </c:pt>
                <c:pt idx="844">
                  <c:v>-99</c:v>
                </c:pt>
                <c:pt idx="845">
                  <c:v>-99</c:v>
                </c:pt>
                <c:pt idx="846">
                  <c:v>-99</c:v>
                </c:pt>
                <c:pt idx="847">
                  <c:v>-99</c:v>
                </c:pt>
                <c:pt idx="848">
                  <c:v>-99</c:v>
                </c:pt>
                <c:pt idx="849">
                  <c:v>-99</c:v>
                </c:pt>
                <c:pt idx="850">
                  <c:v>-99</c:v>
                </c:pt>
                <c:pt idx="851">
                  <c:v>-99</c:v>
                </c:pt>
                <c:pt idx="852">
                  <c:v>-99</c:v>
                </c:pt>
                <c:pt idx="853">
                  <c:v>-99</c:v>
                </c:pt>
                <c:pt idx="854">
                  <c:v>-99</c:v>
                </c:pt>
                <c:pt idx="855">
                  <c:v>-99</c:v>
                </c:pt>
                <c:pt idx="856">
                  <c:v>-99</c:v>
                </c:pt>
                <c:pt idx="857">
                  <c:v>-99</c:v>
                </c:pt>
                <c:pt idx="858">
                  <c:v>-99</c:v>
                </c:pt>
                <c:pt idx="859">
                  <c:v>-99</c:v>
                </c:pt>
                <c:pt idx="860">
                  <c:v>-99</c:v>
                </c:pt>
                <c:pt idx="861">
                  <c:v>-99</c:v>
                </c:pt>
                <c:pt idx="862">
                  <c:v>-99</c:v>
                </c:pt>
                <c:pt idx="863">
                  <c:v>-99</c:v>
                </c:pt>
                <c:pt idx="864">
                  <c:v>-99</c:v>
                </c:pt>
                <c:pt idx="865">
                  <c:v>-99</c:v>
                </c:pt>
                <c:pt idx="866">
                  <c:v>-99</c:v>
                </c:pt>
                <c:pt idx="867">
                  <c:v>-99</c:v>
                </c:pt>
                <c:pt idx="868">
                  <c:v>-99</c:v>
                </c:pt>
                <c:pt idx="869">
                  <c:v>-99</c:v>
                </c:pt>
                <c:pt idx="870">
                  <c:v>-99</c:v>
                </c:pt>
                <c:pt idx="871">
                  <c:v>-99</c:v>
                </c:pt>
                <c:pt idx="872">
                  <c:v>-99</c:v>
                </c:pt>
                <c:pt idx="873">
                  <c:v>-99</c:v>
                </c:pt>
                <c:pt idx="874">
                  <c:v>-99</c:v>
                </c:pt>
                <c:pt idx="875">
                  <c:v>-99</c:v>
                </c:pt>
                <c:pt idx="876">
                  <c:v>-99</c:v>
                </c:pt>
                <c:pt idx="877">
                  <c:v>-99</c:v>
                </c:pt>
                <c:pt idx="878">
                  <c:v>-99</c:v>
                </c:pt>
                <c:pt idx="879">
                  <c:v>-99</c:v>
                </c:pt>
                <c:pt idx="880">
                  <c:v>-99</c:v>
                </c:pt>
                <c:pt idx="881">
                  <c:v>-99</c:v>
                </c:pt>
                <c:pt idx="882">
                  <c:v>-99</c:v>
                </c:pt>
                <c:pt idx="883">
                  <c:v>-99</c:v>
                </c:pt>
                <c:pt idx="884">
                  <c:v>-99</c:v>
                </c:pt>
                <c:pt idx="885">
                  <c:v>-99</c:v>
                </c:pt>
                <c:pt idx="886">
                  <c:v>-99</c:v>
                </c:pt>
                <c:pt idx="887">
                  <c:v>-99</c:v>
                </c:pt>
                <c:pt idx="888">
                  <c:v>-99</c:v>
                </c:pt>
                <c:pt idx="889">
                  <c:v>-99</c:v>
                </c:pt>
                <c:pt idx="890">
                  <c:v>-99</c:v>
                </c:pt>
                <c:pt idx="891">
                  <c:v>-99</c:v>
                </c:pt>
                <c:pt idx="892">
                  <c:v>-99</c:v>
                </c:pt>
                <c:pt idx="893">
                  <c:v>-99</c:v>
                </c:pt>
                <c:pt idx="894">
                  <c:v>-99</c:v>
                </c:pt>
                <c:pt idx="895">
                  <c:v>-99</c:v>
                </c:pt>
                <c:pt idx="896">
                  <c:v>-99</c:v>
                </c:pt>
                <c:pt idx="897">
                  <c:v>-99</c:v>
                </c:pt>
                <c:pt idx="898">
                  <c:v>-99</c:v>
                </c:pt>
                <c:pt idx="899">
                  <c:v>-99</c:v>
                </c:pt>
                <c:pt idx="900">
                  <c:v>-99</c:v>
                </c:pt>
                <c:pt idx="901">
                  <c:v>-99</c:v>
                </c:pt>
                <c:pt idx="902">
                  <c:v>-99</c:v>
                </c:pt>
                <c:pt idx="903">
                  <c:v>-99</c:v>
                </c:pt>
                <c:pt idx="904">
                  <c:v>-99</c:v>
                </c:pt>
                <c:pt idx="905">
                  <c:v>-99</c:v>
                </c:pt>
                <c:pt idx="906">
                  <c:v>-99</c:v>
                </c:pt>
                <c:pt idx="907">
                  <c:v>-99</c:v>
                </c:pt>
                <c:pt idx="908">
                  <c:v>-99</c:v>
                </c:pt>
                <c:pt idx="909">
                  <c:v>-99</c:v>
                </c:pt>
                <c:pt idx="910">
                  <c:v>-99</c:v>
                </c:pt>
                <c:pt idx="911">
                  <c:v>-99</c:v>
                </c:pt>
                <c:pt idx="912">
                  <c:v>-99</c:v>
                </c:pt>
                <c:pt idx="913">
                  <c:v>-99</c:v>
                </c:pt>
                <c:pt idx="914">
                  <c:v>-99</c:v>
                </c:pt>
                <c:pt idx="915">
                  <c:v>-99</c:v>
                </c:pt>
                <c:pt idx="916">
                  <c:v>-99</c:v>
                </c:pt>
                <c:pt idx="917">
                  <c:v>-99</c:v>
                </c:pt>
                <c:pt idx="918">
                  <c:v>-99</c:v>
                </c:pt>
                <c:pt idx="919">
                  <c:v>-99</c:v>
                </c:pt>
                <c:pt idx="920">
                  <c:v>-99</c:v>
                </c:pt>
                <c:pt idx="921">
                  <c:v>-99</c:v>
                </c:pt>
                <c:pt idx="922">
                  <c:v>-99</c:v>
                </c:pt>
                <c:pt idx="923">
                  <c:v>-99</c:v>
                </c:pt>
                <c:pt idx="924">
                  <c:v>-99</c:v>
                </c:pt>
                <c:pt idx="925">
                  <c:v>-99</c:v>
                </c:pt>
                <c:pt idx="926">
                  <c:v>-99</c:v>
                </c:pt>
                <c:pt idx="927">
                  <c:v>-99</c:v>
                </c:pt>
                <c:pt idx="928">
                  <c:v>-99</c:v>
                </c:pt>
                <c:pt idx="929">
                  <c:v>-99</c:v>
                </c:pt>
                <c:pt idx="930">
                  <c:v>-99</c:v>
                </c:pt>
                <c:pt idx="931">
                  <c:v>-99</c:v>
                </c:pt>
                <c:pt idx="932">
                  <c:v>-99</c:v>
                </c:pt>
                <c:pt idx="933">
                  <c:v>-99</c:v>
                </c:pt>
                <c:pt idx="934">
                  <c:v>-99</c:v>
                </c:pt>
                <c:pt idx="935">
                  <c:v>-99</c:v>
                </c:pt>
                <c:pt idx="936">
                  <c:v>-99</c:v>
                </c:pt>
                <c:pt idx="937">
                  <c:v>-99</c:v>
                </c:pt>
                <c:pt idx="938">
                  <c:v>-99</c:v>
                </c:pt>
                <c:pt idx="939">
                  <c:v>-99</c:v>
                </c:pt>
                <c:pt idx="940">
                  <c:v>-99</c:v>
                </c:pt>
                <c:pt idx="941">
                  <c:v>-99</c:v>
                </c:pt>
                <c:pt idx="942">
                  <c:v>-99</c:v>
                </c:pt>
                <c:pt idx="943">
                  <c:v>-99</c:v>
                </c:pt>
                <c:pt idx="944">
                  <c:v>-99</c:v>
                </c:pt>
                <c:pt idx="945">
                  <c:v>-99</c:v>
                </c:pt>
                <c:pt idx="946">
                  <c:v>-99</c:v>
                </c:pt>
                <c:pt idx="947">
                  <c:v>-99</c:v>
                </c:pt>
                <c:pt idx="948">
                  <c:v>-99</c:v>
                </c:pt>
                <c:pt idx="949">
                  <c:v>-99</c:v>
                </c:pt>
                <c:pt idx="950">
                  <c:v>-99</c:v>
                </c:pt>
                <c:pt idx="951">
                  <c:v>-99</c:v>
                </c:pt>
                <c:pt idx="952">
                  <c:v>-99</c:v>
                </c:pt>
                <c:pt idx="953">
                  <c:v>-99</c:v>
                </c:pt>
                <c:pt idx="954">
                  <c:v>-99</c:v>
                </c:pt>
                <c:pt idx="955">
                  <c:v>-99</c:v>
                </c:pt>
                <c:pt idx="956">
                  <c:v>-99</c:v>
                </c:pt>
                <c:pt idx="957">
                  <c:v>-99</c:v>
                </c:pt>
                <c:pt idx="958">
                  <c:v>-99</c:v>
                </c:pt>
                <c:pt idx="959">
                  <c:v>-99</c:v>
                </c:pt>
                <c:pt idx="960">
                  <c:v>-99</c:v>
                </c:pt>
                <c:pt idx="961">
                  <c:v>-99</c:v>
                </c:pt>
                <c:pt idx="962">
                  <c:v>-99</c:v>
                </c:pt>
                <c:pt idx="963">
                  <c:v>-99</c:v>
                </c:pt>
                <c:pt idx="964">
                  <c:v>-99</c:v>
                </c:pt>
                <c:pt idx="965">
                  <c:v>-99</c:v>
                </c:pt>
                <c:pt idx="966">
                  <c:v>-99</c:v>
                </c:pt>
                <c:pt idx="967">
                  <c:v>-99</c:v>
                </c:pt>
                <c:pt idx="968">
                  <c:v>-99</c:v>
                </c:pt>
                <c:pt idx="969">
                  <c:v>-99</c:v>
                </c:pt>
                <c:pt idx="970">
                  <c:v>-99</c:v>
                </c:pt>
                <c:pt idx="971">
                  <c:v>-99</c:v>
                </c:pt>
                <c:pt idx="972">
                  <c:v>-99</c:v>
                </c:pt>
                <c:pt idx="973">
                  <c:v>-99</c:v>
                </c:pt>
                <c:pt idx="974">
                  <c:v>-99</c:v>
                </c:pt>
                <c:pt idx="975">
                  <c:v>-99</c:v>
                </c:pt>
                <c:pt idx="976">
                  <c:v>-99</c:v>
                </c:pt>
                <c:pt idx="977">
                  <c:v>-99</c:v>
                </c:pt>
                <c:pt idx="978">
                  <c:v>-99</c:v>
                </c:pt>
                <c:pt idx="979">
                  <c:v>-99</c:v>
                </c:pt>
                <c:pt idx="980">
                  <c:v>-99</c:v>
                </c:pt>
                <c:pt idx="981">
                  <c:v>-99</c:v>
                </c:pt>
                <c:pt idx="982">
                  <c:v>-99</c:v>
                </c:pt>
                <c:pt idx="983">
                  <c:v>-99</c:v>
                </c:pt>
                <c:pt idx="984">
                  <c:v>-99</c:v>
                </c:pt>
                <c:pt idx="985">
                  <c:v>-99</c:v>
                </c:pt>
                <c:pt idx="986">
                  <c:v>-99</c:v>
                </c:pt>
                <c:pt idx="987">
                  <c:v>-99</c:v>
                </c:pt>
                <c:pt idx="988">
                  <c:v>-99</c:v>
                </c:pt>
                <c:pt idx="989">
                  <c:v>-99</c:v>
                </c:pt>
                <c:pt idx="990">
                  <c:v>-99</c:v>
                </c:pt>
                <c:pt idx="991">
                  <c:v>-99</c:v>
                </c:pt>
                <c:pt idx="992">
                  <c:v>-99</c:v>
                </c:pt>
                <c:pt idx="993">
                  <c:v>-99</c:v>
                </c:pt>
                <c:pt idx="994">
                  <c:v>-99</c:v>
                </c:pt>
                <c:pt idx="995">
                  <c:v>-99</c:v>
                </c:pt>
                <c:pt idx="996">
                  <c:v>-99</c:v>
                </c:pt>
                <c:pt idx="997">
                  <c:v>-99</c:v>
                </c:pt>
                <c:pt idx="998">
                  <c:v>-99</c:v>
                </c:pt>
                <c:pt idx="999">
                  <c:v>-99</c:v>
                </c:pt>
                <c:pt idx="1000">
                  <c:v>-99</c:v>
                </c:pt>
                <c:pt idx="1001">
                  <c:v>-99</c:v>
                </c:pt>
                <c:pt idx="1002">
                  <c:v>-99</c:v>
                </c:pt>
                <c:pt idx="1003">
                  <c:v>-99</c:v>
                </c:pt>
                <c:pt idx="1004">
                  <c:v>-99</c:v>
                </c:pt>
                <c:pt idx="1005">
                  <c:v>-99</c:v>
                </c:pt>
                <c:pt idx="1006">
                  <c:v>-99</c:v>
                </c:pt>
                <c:pt idx="1007">
                  <c:v>-99</c:v>
                </c:pt>
                <c:pt idx="1008">
                  <c:v>-99</c:v>
                </c:pt>
                <c:pt idx="1009">
                  <c:v>-99</c:v>
                </c:pt>
                <c:pt idx="1010">
                  <c:v>-99</c:v>
                </c:pt>
                <c:pt idx="1011">
                  <c:v>-99</c:v>
                </c:pt>
                <c:pt idx="1012">
                  <c:v>-99</c:v>
                </c:pt>
                <c:pt idx="1013">
                  <c:v>-99</c:v>
                </c:pt>
                <c:pt idx="1014">
                  <c:v>-99</c:v>
                </c:pt>
                <c:pt idx="1015">
                  <c:v>-99</c:v>
                </c:pt>
                <c:pt idx="1016">
                  <c:v>-99</c:v>
                </c:pt>
                <c:pt idx="1017">
                  <c:v>-99</c:v>
                </c:pt>
                <c:pt idx="1018">
                  <c:v>-99</c:v>
                </c:pt>
                <c:pt idx="1019">
                  <c:v>-99</c:v>
                </c:pt>
                <c:pt idx="1020">
                  <c:v>-99</c:v>
                </c:pt>
                <c:pt idx="1021">
                  <c:v>-99</c:v>
                </c:pt>
                <c:pt idx="1022">
                  <c:v>-99</c:v>
                </c:pt>
                <c:pt idx="1023">
                  <c:v>-99</c:v>
                </c:pt>
                <c:pt idx="1024">
                  <c:v>-99</c:v>
                </c:pt>
                <c:pt idx="1025">
                  <c:v>-99</c:v>
                </c:pt>
                <c:pt idx="1026">
                  <c:v>-99</c:v>
                </c:pt>
                <c:pt idx="1027">
                  <c:v>-99</c:v>
                </c:pt>
                <c:pt idx="1028">
                  <c:v>-99</c:v>
                </c:pt>
                <c:pt idx="1029">
                  <c:v>-99</c:v>
                </c:pt>
                <c:pt idx="1030">
                  <c:v>-99</c:v>
                </c:pt>
                <c:pt idx="1031">
                  <c:v>-99</c:v>
                </c:pt>
                <c:pt idx="1032">
                  <c:v>-99</c:v>
                </c:pt>
                <c:pt idx="1033">
                  <c:v>-99</c:v>
                </c:pt>
                <c:pt idx="1034">
                  <c:v>-99</c:v>
                </c:pt>
                <c:pt idx="1035">
                  <c:v>-99</c:v>
                </c:pt>
                <c:pt idx="1036">
                  <c:v>-99</c:v>
                </c:pt>
                <c:pt idx="1037">
                  <c:v>-99</c:v>
                </c:pt>
                <c:pt idx="1038">
                  <c:v>-99</c:v>
                </c:pt>
                <c:pt idx="1039">
                  <c:v>-99</c:v>
                </c:pt>
                <c:pt idx="1040">
                  <c:v>-99</c:v>
                </c:pt>
                <c:pt idx="1041">
                  <c:v>-99</c:v>
                </c:pt>
                <c:pt idx="1042">
                  <c:v>-99</c:v>
                </c:pt>
                <c:pt idx="1043">
                  <c:v>-99</c:v>
                </c:pt>
                <c:pt idx="1044">
                  <c:v>-99</c:v>
                </c:pt>
                <c:pt idx="1045">
                  <c:v>-99</c:v>
                </c:pt>
                <c:pt idx="1046">
                  <c:v>-99</c:v>
                </c:pt>
                <c:pt idx="1047">
                  <c:v>-99</c:v>
                </c:pt>
                <c:pt idx="1048">
                  <c:v>-99</c:v>
                </c:pt>
                <c:pt idx="1049">
                  <c:v>-99</c:v>
                </c:pt>
                <c:pt idx="1050">
                  <c:v>-99</c:v>
                </c:pt>
                <c:pt idx="1051">
                  <c:v>-99</c:v>
                </c:pt>
                <c:pt idx="1052">
                  <c:v>-99</c:v>
                </c:pt>
                <c:pt idx="1053">
                  <c:v>-99</c:v>
                </c:pt>
                <c:pt idx="1054">
                  <c:v>-99</c:v>
                </c:pt>
                <c:pt idx="1055">
                  <c:v>-99</c:v>
                </c:pt>
                <c:pt idx="1056">
                  <c:v>-99</c:v>
                </c:pt>
                <c:pt idx="1057">
                  <c:v>-99</c:v>
                </c:pt>
                <c:pt idx="1058">
                  <c:v>-99</c:v>
                </c:pt>
                <c:pt idx="1059">
                  <c:v>-99</c:v>
                </c:pt>
                <c:pt idx="1060">
                  <c:v>-99</c:v>
                </c:pt>
                <c:pt idx="1061">
                  <c:v>-99</c:v>
                </c:pt>
                <c:pt idx="1062">
                  <c:v>-99</c:v>
                </c:pt>
                <c:pt idx="1063">
                  <c:v>-99</c:v>
                </c:pt>
                <c:pt idx="1064">
                  <c:v>-99</c:v>
                </c:pt>
                <c:pt idx="1065">
                  <c:v>-99</c:v>
                </c:pt>
                <c:pt idx="1066">
                  <c:v>-99</c:v>
                </c:pt>
                <c:pt idx="1067">
                  <c:v>-99</c:v>
                </c:pt>
                <c:pt idx="1068">
                  <c:v>-99</c:v>
                </c:pt>
                <c:pt idx="1069">
                  <c:v>-99</c:v>
                </c:pt>
                <c:pt idx="1070">
                  <c:v>-99</c:v>
                </c:pt>
                <c:pt idx="1071">
                  <c:v>-99</c:v>
                </c:pt>
                <c:pt idx="1072">
                  <c:v>-99</c:v>
                </c:pt>
                <c:pt idx="1073">
                  <c:v>-99</c:v>
                </c:pt>
                <c:pt idx="1074">
                  <c:v>-99</c:v>
                </c:pt>
                <c:pt idx="1075">
                  <c:v>-99</c:v>
                </c:pt>
                <c:pt idx="1076">
                  <c:v>-99</c:v>
                </c:pt>
                <c:pt idx="1077">
                  <c:v>-99</c:v>
                </c:pt>
                <c:pt idx="1078">
                  <c:v>-99</c:v>
                </c:pt>
                <c:pt idx="1079">
                  <c:v>-99</c:v>
                </c:pt>
                <c:pt idx="1080">
                  <c:v>-99</c:v>
                </c:pt>
                <c:pt idx="1081">
                  <c:v>-99</c:v>
                </c:pt>
                <c:pt idx="1082">
                  <c:v>-99</c:v>
                </c:pt>
                <c:pt idx="1083">
                  <c:v>-99</c:v>
                </c:pt>
                <c:pt idx="1084">
                  <c:v>-99</c:v>
                </c:pt>
                <c:pt idx="1085">
                  <c:v>-99</c:v>
                </c:pt>
                <c:pt idx="1086">
                  <c:v>-99</c:v>
                </c:pt>
                <c:pt idx="1087">
                  <c:v>-99</c:v>
                </c:pt>
                <c:pt idx="1088">
                  <c:v>-99</c:v>
                </c:pt>
                <c:pt idx="1089">
                  <c:v>-99</c:v>
                </c:pt>
                <c:pt idx="1090">
                  <c:v>-99</c:v>
                </c:pt>
                <c:pt idx="1091">
                  <c:v>-99</c:v>
                </c:pt>
                <c:pt idx="1092">
                  <c:v>-99</c:v>
                </c:pt>
                <c:pt idx="1093">
                  <c:v>-99</c:v>
                </c:pt>
                <c:pt idx="1094">
                  <c:v>-99</c:v>
                </c:pt>
                <c:pt idx="1095">
                  <c:v>-99</c:v>
                </c:pt>
                <c:pt idx="1096">
                  <c:v>-99</c:v>
                </c:pt>
                <c:pt idx="1097">
                  <c:v>-99</c:v>
                </c:pt>
                <c:pt idx="1098">
                  <c:v>-99</c:v>
                </c:pt>
                <c:pt idx="1099">
                  <c:v>-99</c:v>
                </c:pt>
                <c:pt idx="1100">
                  <c:v>-99</c:v>
                </c:pt>
                <c:pt idx="1101">
                  <c:v>-99</c:v>
                </c:pt>
                <c:pt idx="1102">
                  <c:v>-99</c:v>
                </c:pt>
                <c:pt idx="1103">
                  <c:v>-99</c:v>
                </c:pt>
                <c:pt idx="1104">
                  <c:v>-99</c:v>
                </c:pt>
                <c:pt idx="1105">
                  <c:v>-99</c:v>
                </c:pt>
                <c:pt idx="1106">
                  <c:v>-99</c:v>
                </c:pt>
                <c:pt idx="1107">
                  <c:v>-99</c:v>
                </c:pt>
                <c:pt idx="1108">
                  <c:v>-99</c:v>
                </c:pt>
                <c:pt idx="1109">
                  <c:v>-99</c:v>
                </c:pt>
                <c:pt idx="1110">
                  <c:v>-99</c:v>
                </c:pt>
                <c:pt idx="1111">
                  <c:v>-99</c:v>
                </c:pt>
                <c:pt idx="1112">
                  <c:v>-99</c:v>
                </c:pt>
                <c:pt idx="1113">
                  <c:v>-99</c:v>
                </c:pt>
                <c:pt idx="1114">
                  <c:v>-99</c:v>
                </c:pt>
                <c:pt idx="1115">
                  <c:v>-99</c:v>
                </c:pt>
                <c:pt idx="1116">
                  <c:v>-99</c:v>
                </c:pt>
                <c:pt idx="1117">
                  <c:v>-99</c:v>
                </c:pt>
                <c:pt idx="1118">
                  <c:v>-99</c:v>
                </c:pt>
                <c:pt idx="1119">
                  <c:v>-99</c:v>
                </c:pt>
                <c:pt idx="1120">
                  <c:v>-99</c:v>
                </c:pt>
                <c:pt idx="1121">
                  <c:v>-99</c:v>
                </c:pt>
                <c:pt idx="1122">
                  <c:v>-99</c:v>
                </c:pt>
                <c:pt idx="1123">
                  <c:v>-99</c:v>
                </c:pt>
                <c:pt idx="1124">
                  <c:v>-99</c:v>
                </c:pt>
                <c:pt idx="1125">
                  <c:v>-99</c:v>
                </c:pt>
                <c:pt idx="1126">
                  <c:v>-99</c:v>
                </c:pt>
                <c:pt idx="1127">
                  <c:v>-99</c:v>
                </c:pt>
                <c:pt idx="1128">
                  <c:v>-99</c:v>
                </c:pt>
                <c:pt idx="1129">
                  <c:v>-99</c:v>
                </c:pt>
                <c:pt idx="1130">
                  <c:v>-99</c:v>
                </c:pt>
                <c:pt idx="1131">
                  <c:v>-99</c:v>
                </c:pt>
                <c:pt idx="1132">
                  <c:v>-99</c:v>
                </c:pt>
                <c:pt idx="1133">
                  <c:v>-99</c:v>
                </c:pt>
                <c:pt idx="1134">
                  <c:v>-99</c:v>
                </c:pt>
                <c:pt idx="1135">
                  <c:v>-99</c:v>
                </c:pt>
                <c:pt idx="1136">
                  <c:v>-99</c:v>
                </c:pt>
                <c:pt idx="1137">
                  <c:v>-99</c:v>
                </c:pt>
                <c:pt idx="1138">
                  <c:v>-99</c:v>
                </c:pt>
                <c:pt idx="1139">
                  <c:v>-99</c:v>
                </c:pt>
                <c:pt idx="1140">
                  <c:v>-99</c:v>
                </c:pt>
                <c:pt idx="1141">
                  <c:v>-99</c:v>
                </c:pt>
                <c:pt idx="1142">
                  <c:v>-99</c:v>
                </c:pt>
                <c:pt idx="1143">
                  <c:v>-99</c:v>
                </c:pt>
                <c:pt idx="1144">
                  <c:v>-99</c:v>
                </c:pt>
                <c:pt idx="1145">
                  <c:v>-99</c:v>
                </c:pt>
                <c:pt idx="1146">
                  <c:v>-99</c:v>
                </c:pt>
                <c:pt idx="1147">
                  <c:v>-99</c:v>
                </c:pt>
                <c:pt idx="1148">
                  <c:v>-99</c:v>
                </c:pt>
                <c:pt idx="1149">
                  <c:v>-99</c:v>
                </c:pt>
                <c:pt idx="1150">
                  <c:v>-99</c:v>
                </c:pt>
                <c:pt idx="1151">
                  <c:v>-99</c:v>
                </c:pt>
                <c:pt idx="1152">
                  <c:v>-99</c:v>
                </c:pt>
                <c:pt idx="1153">
                  <c:v>-99</c:v>
                </c:pt>
                <c:pt idx="1154">
                  <c:v>-99</c:v>
                </c:pt>
                <c:pt idx="1155">
                  <c:v>-99</c:v>
                </c:pt>
                <c:pt idx="1156">
                  <c:v>-99</c:v>
                </c:pt>
                <c:pt idx="1157">
                  <c:v>-99</c:v>
                </c:pt>
                <c:pt idx="1158">
                  <c:v>-99</c:v>
                </c:pt>
                <c:pt idx="1159">
                  <c:v>-99</c:v>
                </c:pt>
                <c:pt idx="1160">
                  <c:v>-99</c:v>
                </c:pt>
                <c:pt idx="1161">
                  <c:v>-99</c:v>
                </c:pt>
                <c:pt idx="1162">
                  <c:v>-99</c:v>
                </c:pt>
                <c:pt idx="1163">
                  <c:v>-99</c:v>
                </c:pt>
                <c:pt idx="1164">
                  <c:v>-99</c:v>
                </c:pt>
                <c:pt idx="1165">
                  <c:v>-99</c:v>
                </c:pt>
                <c:pt idx="1166">
                  <c:v>-99</c:v>
                </c:pt>
                <c:pt idx="1167">
                  <c:v>-99</c:v>
                </c:pt>
                <c:pt idx="1168">
                  <c:v>-99</c:v>
                </c:pt>
                <c:pt idx="1169">
                  <c:v>-99</c:v>
                </c:pt>
                <c:pt idx="1170">
                  <c:v>-99</c:v>
                </c:pt>
                <c:pt idx="1171">
                  <c:v>-99</c:v>
                </c:pt>
                <c:pt idx="1172">
                  <c:v>-99</c:v>
                </c:pt>
                <c:pt idx="1173">
                  <c:v>-99</c:v>
                </c:pt>
                <c:pt idx="1174">
                  <c:v>-99</c:v>
                </c:pt>
                <c:pt idx="1175">
                  <c:v>-99</c:v>
                </c:pt>
                <c:pt idx="1176">
                  <c:v>-99</c:v>
                </c:pt>
                <c:pt idx="1177">
                  <c:v>-99</c:v>
                </c:pt>
                <c:pt idx="1178">
                  <c:v>-99</c:v>
                </c:pt>
                <c:pt idx="1179">
                  <c:v>-99</c:v>
                </c:pt>
                <c:pt idx="1180">
                  <c:v>-99</c:v>
                </c:pt>
                <c:pt idx="1181">
                  <c:v>-99</c:v>
                </c:pt>
                <c:pt idx="1182">
                  <c:v>-99</c:v>
                </c:pt>
                <c:pt idx="1183">
                  <c:v>-99</c:v>
                </c:pt>
                <c:pt idx="1184">
                  <c:v>-99</c:v>
                </c:pt>
                <c:pt idx="1185">
                  <c:v>-99</c:v>
                </c:pt>
                <c:pt idx="1186">
                  <c:v>-99</c:v>
                </c:pt>
                <c:pt idx="1187">
                  <c:v>-99</c:v>
                </c:pt>
                <c:pt idx="1188">
                  <c:v>-99</c:v>
                </c:pt>
                <c:pt idx="1189">
                  <c:v>-99</c:v>
                </c:pt>
                <c:pt idx="1190">
                  <c:v>-99</c:v>
                </c:pt>
                <c:pt idx="1191">
                  <c:v>-99</c:v>
                </c:pt>
                <c:pt idx="1192">
                  <c:v>-99</c:v>
                </c:pt>
                <c:pt idx="1193">
                  <c:v>-99</c:v>
                </c:pt>
                <c:pt idx="1194">
                  <c:v>-99</c:v>
                </c:pt>
                <c:pt idx="1195">
                  <c:v>-99</c:v>
                </c:pt>
                <c:pt idx="1196">
                  <c:v>-99</c:v>
                </c:pt>
                <c:pt idx="1197">
                  <c:v>-99</c:v>
                </c:pt>
                <c:pt idx="1198">
                  <c:v>-99</c:v>
                </c:pt>
                <c:pt idx="1199">
                  <c:v>-99</c:v>
                </c:pt>
                <c:pt idx="1200">
                  <c:v>-99</c:v>
                </c:pt>
                <c:pt idx="1201">
                  <c:v>-99</c:v>
                </c:pt>
                <c:pt idx="1202">
                  <c:v>-99</c:v>
                </c:pt>
                <c:pt idx="1203">
                  <c:v>-99</c:v>
                </c:pt>
                <c:pt idx="1204">
                  <c:v>-99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8D4D-46D3-BF0A-309073C0C811}"/>
            </c:ext>
          </c:extLst>
        </c:ser>
        <c:ser>
          <c:idx val="0"/>
          <c:order val="12"/>
          <c:tx>
            <c:strRef>
              <c:f>CONTROL!$L$6</c:f>
              <c:strCache>
                <c:ptCount val="1"/>
                <c:pt idx="0">
                  <c:v>Triangle-Y_KEEP</c:v>
                </c:pt>
              </c:strCache>
            </c:strRef>
          </c:tx>
          <c:spPr>
            <a:ln w="15875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CONTROL!$K$7:$K$21</c:f>
              <c:numCache>
                <c:formatCode>General</c:formatCode>
                <c:ptCount val="15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0</c:v>
                </c:pt>
                <c:pt idx="5">
                  <c:v>1.3</c:v>
                </c:pt>
                <c:pt idx="6">
                  <c:v>1.8</c:v>
                </c:pt>
                <c:pt idx="7">
                  <c:v>2.2999999999999998</c:v>
                </c:pt>
                <c:pt idx="8">
                  <c:v>1.3</c:v>
                </c:pt>
                <c:pt idx="10">
                  <c:v>1.1499999999999999</c:v>
                </c:pt>
                <c:pt idx="11">
                  <c:v>0.64999999999999991</c:v>
                </c:pt>
                <c:pt idx="12">
                  <c:v>1.1499999999999999</c:v>
                </c:pt>
                <c:pt idx="13">
                  <c:v>1.65</c:v>
                </c:pt>
                <c:pt idx="14">
                  <c:v>1.1499999999999999</c:v>
                </c:pt>
              </c:numCache>
            </c:numRef>
          </c:xVal>
          <c:yVal>
            <c:numRef>
              <c:f>CONTROL!$L$7:$L$21</c:f>
              <c:numCache>
                <c:formatCode>General</c:formatCode>
                <c:ptCount val="15"/>
                <c:pt idx="0">
                  <c:v>0</c:v>
                </c:pt>
                <c:pt idx="1">
                  <c:v>0.8660254037844386</c:v>
                </c:pt>
                <c:pt idx="2">
                  <c:v>0</c:v>
                </c:pt>
                <c:pt idx="3">
                  <c:v>0</c:v>
                </c:pt>
                <c:pt idx="5">
                  <c:v>0</c:v>
                </c:pt>
                <c:pt idx="6">
                  <c:v>0.8660254037844386</c:v>
                </c:pt>
                <c:pt idx="7">
                  <c:v>0</c:v>
                </c:pt>
                <c:pt idx="8">
                  <c:v>0</c:v>
                </c:pt>
                <c:pt idx="10">
                  <c:v>0.25980762113533157</c:v>
                </c:pt>
                <c:pt idx="11">
                  <c:v>1.1258330249197701</c:v>
                </c:pt>
                <c:pt idx="12">
                  <c:v>1.9918584287042087</c:v>
                </c:pt>
                <c:pt idx="13">
                  <c:v>1.1258330249197701</c:v>
                </c:pt>
                <c:pt idx="14">
                  <c:v>0.25980762113533157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8D4D-46D3-BF0A-309073C0C811}"/>
            </c:ext>
          </c:extLst>
        </c:ser>
        <c:ser>
          <c:idx val="13"/>
          <c:order val="13"/>
          <c:tx>
            <c:strRef>
              <c:f>CONTROL!$O$6</c:f>
              <c:strCache>
                <c:ptCount val="1"/>
                <c:pt idx="0">
                  <c:v>GRIDS_KEEP</c:v>
                </c:pt>
              </c:strCache>
            </c:strRef>
          </c:tx>
          <c:spPr>
            <a:ln w="635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CONTROL!$N$7:$N$245</c:f>
              <c:numCache>
                <c:formatCode>General</c:formatCode>
                <c:ptCount val="239"/>
                <c:pt idx="0">
                  <c:v>0.2</c:v>
                </c:pt>
                <c:pt idx="1">
                  <c:v>0.1</c:v>
                </c:pt>
                <c:pt idx="3">
                  <c:v>0.4</c:v>
                </c:pt>
                <c:pt idx="4">
                  <c:v>0.2</c:v>
                </c:pt>
                <c:pt idx="6">
                  <c:v>0.60000000000000009</c:v>
                </c:pt>
                <c:pt idx="7">
                  <c:v>0.30000000000000004</c:v>
                </c:pt>
                <c:pt idx="9">
                  <c:v>0.8</c:v>
                </c:pt>
                <c:pt idx="10">
                  <c:v>0.4</c:v>
                </c:pt>
                <c:pt idx="12">
                  <c:v>-99</c:v>
                </c:pt>
                <c:pt idx="13">
                  <c:v>-49.5</c:v>
                </c:pt>
                <c:pt idx="15">
                  <c:v>-98.8</c:v>
                </c:pt>
                <c:pt idx="16">
                  <c:v>-49.4</c:v>
                </c:pt>
                <c:pt idx="18">
                  <c:v>-98.6</c:v>
                </c:pt>
                <c:pt idx="19">
                  <c:v>-49.3</c:v>
                </c:pt>
                <c:pt idx="21">
                  <c:v>-98.399999999999991</c:v>
                </c:pt>
                <c:pt idx="22">
                  <c:v>-49.199999999999996</c:v>
                </c:pt>
                <c:pt idx="24">
                  <c:v>-98.199999999999989</c:v>
                </c:pt>
                <c:pt idx="25">
                  <c:v>-49.099999999999994</c:v>
                </c:pt>
                <c:pt idx="27">
                  <c:v>-97.999999999999986</c:v>
                </c:pt>
                <c:pt idx="28">
                  <c:v>-48.999999999999993</c:v>
                </c:pt>
                <c:pt idx="30">
                  <c:v>0.1</c:v>
                </c:pt>
                <c:pt idx="31">
                  <c:v>0.9</c:v>
                </c:pt>
                <c:pt idx="33">
                  <c:v>0.2</c:v>
                </c:pt>
                <c:pt idx="34">
                  <c:v>0.8</c:v>
                </c:pt>
                <c:pt idx="36">
                  <c:v>0.30000000000000004</c:v>
                </c:pt>
                <c:pt idx="37">
                  <c:v>0.7</c:v>
                </c:pt>
                <c:pt idx="39">
                  <c:v>0.4</c:v>
                </c:pt>
                <c:pt idx="40">
                  <c:v>0.6</c:v>
                </c:pt>
                <c:pt idx="42">
                  <c:v>-99</c:v>
                </c:pt>
                <c:pt idx="43">
                  <c:v>-99</c:v>
                </c:pt>
                <c:pt idx="45">
                  <c:v>-99</c:v>
                </c:pt>
                <c:pt idx="46">
                  <c:v>-99</c:v>
                </c:pt>
                <c:pt idx="48">
                  <c:v>-99</c:v>
                </c:pt>
                <c:pt idx="49">
                  <c:v>-99</c:v>
                </c:pt>
                <c:pt idx="51">
                  <c:v>-99</c:v>
                </c:pt>
                <c:pt idx="52">
                  <c:v>-99</c:v>
                </c:pt>
                <c:pt idx="54">
                  <c:v>-99</c:v>
                </c:pt>
                <c:pt idx="55">
                  <c:v>-99</c:v>
                </c:pt>
                <c:pt idx="57">
                  <c:v>-99</c:v>
                </c:pt>
                <c:pt idx="58">
                  <c:v>-99</c:v>
                </c:pt>
                <c:pt idx="60">
                  <c:v>0.2</c:v>
                </c:pt>
                <c:pt idx="61">
                  <c:v>0.60000000000000009</c:v>
                </c:pt>
                <c:pt idx="63">
                  <c:v>0.4</c:v>
                </c:pt>
                <c:pt idx="64">
                  <c:v>0.7</c:v>
                </c:pt>
                <c:pt idx="66">
                  <c:v>0.60000000000000009</c:v>
                </c:pt>
                <c:pt idx="67">
                  <c:v>0.8</c:v>
                </c:pt>
                <c:pt idx="69">
                  <c:v>0.8</c:v>
                </c:pt>
                <c:pt idx="70">
                  <c:v>0.9</c:v>
                </c:pt>
                <c:pt idx="72">
                  <c:v>-99</c:v>
                </c:pt>
                <c:pt idx="73">
                  <c:v>-49</c:v>
                </c:pt>
                <c:pt idx="75">
                  <c:v>-98.8</c:v>
                </c:pt>
                <c:pt idx="76">
                  <c:v>-48.9</c:v>
                </c:pt>
                <c:pt idx="78">
                  <c:v>-98.6</c:v>
                </c:pt>
                <c:pt idx="79">
                  <c:v>-48.8</c:v>
                </c:pt>
                <c:pt idx="81">
                  <c:v>-98.399999999999991</c:v>
                </c:pt>
                <c:pt idx="82">
                  <c:v>-48.699999999999996</c:v>
                </c:pt>
                <c:pt idx="84">
                  <c:v>-98.199999999999989</c:v>
                </c:pt>
                <c:pt idx="85">
                  <c:v>-48.599999999999994</c:v>
                </c:pt>
                <c:pt idx="87">
                  <c:v>-97.999999999999986</c:v>
                </c:pt>
                <c:pt idx="88">
                  <c:v>-48.499999999999993</c:v>
                </c:pt>
                <c:pt idx="90">
                  <c:v>1.5</c:v>
                </c:pt>
                <c:pt idx="91">
                  <c:v>1.4000000000000001</c:v>
                </c:pt>
                <c:pt idx="93">
                  <c:v>1.7</c:v>
                </c:pt>
                <c:pt idx="94">
                  <c:v>1.5</c:v>
                </c:pt>
                <c:pt idx="96">
                  <c:v>1.9000000000000001</c:v>
                </c:pt>
                <c:pt idx="97">
                  <c:v>1.6</c:v>
                </c:pt>
                <c:pt idx="99">
                  <c:v>2.1</c:v>
                </c:pt>
                <c:pt idx="100">
                  <c:v>1.7</c:v>
                </c:pt>
                <c:pt idx="102">
                  <c:v>-97.7</c:v>
                </c:pt>
                <c:pt idx="103">
                  <c:v>-48.2</c:v>
                </c:pt>
                <c:pt idx="105">
                  <c:v>-97.5</c:v>
                </c:pt>
                <c:pt idx="106">
                  <c:v>-48.1</c:v>
                </c:pt>
                <c:pt idx="108">
                  <c:v>-97.3</c:v>
                </c:pt>
                <c:pt idx="109">
                  <c:v>-48</c:v>
                </c:pt>
                <c:pt idx="111">
                  <c:v>-97.1</c:v>
                </c:pt>
                <c:pt idx="112">
                  <c:v>-47.9</c:v>
                </c:pt>
                <c:pt idx="114">
                  <c:v>-96.899999999999991</c:v>
                </c:pt>
                <c:pt idx="115">
                  <c:v>-47.8</c:v>
                </c:pt>
                <c:pt idx="117">
                  <c:v>-96.699999999999989</c:v>
                </c:pt>
                <c:pt idx="118">
                  <c:v>-47.699999999999996</c:v>
                </c:pt>
                <c:pt idx="120">
                  <c:v>1.4000000000000001</c:v>
                </c:pt>
                <c:pt idx="121">
                  <c:v>2.1999999999999997</c:v>
                </c:pt>
                <c:pt idx="123">
                  <c:v>1.5</c:v>
                </c:pt>
                <c:pt idx="124">
                  <c:v>2.1</c:v>
                </c:pt>
                <c:pt idx="126">
                  <c:v>1.6</c:v>
                </c:pt>
                <c:pt idx="127">
                  <c:v>2</c:v>
                </c:pt>
                <c:pt idx="129">
                  <c:v>1.7</c:v>
                </c:pt>
                <c:pt idx="130">
                  <c:v>1.9000000000000001</c:v>
                </c:pt>
                <c:pt idx="132">
                  <c:v>-97.7</c:v>
                </c:pt>
                <c:pt idx="133">
                  <c:v>-97.7</c:v>
                </c:pt>
                <c:pt idx="135">
                  <c:v>-97.7</c:v>
                </c:pt>
                <c:pt idx="136">
                  <c:v>-97.7</c:v>
                </c:pt>
                <c:pt idx="138">
                  <c:v>-97.7</c:v>
                </c:pt>
                <c:pt idx="139">
                  <c:v>-97.7</c:v>
                </c:pt>
                <c:pt idx="141">
                  <c:v>-97.7</c:v>
                </c:pt>
                <c:pt idx="142">
                  <c:v>-97.7</c:v>
                </c:pt>
                <c:pt idx="144">
                  <c:v>-97.7</c:v>
                </c:pt>
                <c:pt idx="145">
                  <c:v>-97.7</c:v>
                </c:pt>
                <c:pt idx="147">
                  <c:v>-97.7</c:v>
                </c:pt>
                <c:pt idx="148">
                  <c:v>-97.7</c:v>
                </c:pt>
                <c:pt idx="150">
                  <c:v>1.5</c:v>
                </c:pt>
                <c:pt idx="151">
                  <c:v>1.9000000000000001</c:v>
                </c:pt>
                <c:pt idx="153">
                  <c:v>1.7</c:v>
                </c:pt>
                <c:pt idx="154">
                  <c:v>2</c:v>
                </c:pt>
                <c:pt idx="156">
                  <c:v>1.9000000000000001</c:v>
                </c:pt>
                <c:pt idx="157">
                  <c:v>2.1</c:v>
                </c:pt>
                <c:pt idx="159">
                  <c:v>2.1</c:v>
                </c:pt>
                <c:pt idx="160">
                  <c:v>2.1999999999999997</c:v>
                </c:pt>
                <c:pt idx="162">
                  <c:v>-97.7</c:v>
                </c:pt>
                <c:pt idx="163">
                  <c:v>-47.7</c:v>
                </c:pt>
                <c:pt idx="165">
                  <c:v>-97.5</c:v>
                </c:pt>
                <c:pt idx="166">
                  <c:v>-47.6</c:v>
                </c:pt>
                <c:pt idx="168">
                  <c:v>-97.3</c:v>
                </c:pt>
                <c:pt idx="169">
                  <c:v>-47.5</c:v>
                </c:pt>
                <c:pt idx="171">
                  <c:v>-97.1</c:v>
                </c:pt>
                <c:pt idx="172">
                  <c:v>-47.4</c:v>
                </c:pt>
                <c:pt idx="174">
                  <c:v>-96.899999999999991</c:v>
                </c:pt>
                <c:pt idx="175">
                  <c:v>-47.3</c:v>
                </c:pt>
                <c:pt idx="177">
                  <c:v>-96.699999999999989</c:v>
                </c:pt>
                <c:pt idx="178">
                  <c:v>-47.199999999999996</c:v>
                </c:pt>
                <c:pt idx="180">
                  <c:v>0.75000000000000011</c:v>
                </c:pt>
                <c:pt idx="181">
                  <c:v>1.25</c:v>
                </c:pt>
                <c:pt idx="183">
                  <c:v>0.85</c:v>
                </c:pt>
                <c:pt idx="184">
                  <c:v>1.35</c:v>
                </c:pt>
                <c:pt idx="186">
                  <c:v>0.95000000000000007</c:v>
                </c:pt>
                <c:pt idx="187">
                  <c:v>1.4500000000000002</c:v>
                </c:pt>
                <c:pt idx="189">
                  <c:v>1.05</c:v>
                </c:pt>
                <c:pt idx="190">
                  <c:v>1.55</c:v>
                </c:pt>
                <c:pt idx="192">
                  <c:v>-48.85</c:v>
                </c:pt>
                <c:pt idx="193">
                  <c:v>-48.35</c:v>
                </c:pt>
                <c:pt idx="195">
                  <c:v>-48.75</c:v>
                </c:pt>
                <c:pt idx="196">
                  <c:v>-48.25</c:v>
                </c:pt>
                <c:pt idx="198">
                  <c:v>-48.65</c:v>
                </c:pt>
                <c:pt idx="199">
                  <c:v>-48.15</c:v>
                </c:pt>
                <c:pt idx="201">
                  <c:v>-48.55</c:v>
                </c:pt>
                <c:pt idx="202">
                  <c:v>-48.05</c:v>
                </c:pt>
                <c:pt idx="204">
                  <c:v>-48.449999999999996</c:v>
                </c:pt>
                <c:pt idx="205">
                  <c:v>-47.949999999999996</c:v>
                </c:pt>
                <c:pt idx="207">
                  <c:v>-48.349999999999994</c:v>
                </c:pt>
                <c:pt idx="208">
                  <c:v>-47.849999999999994</c:v>
                </c:pt>
                <c:pt idx="210">
                  <c:v>1.2500000000000002</c:v>
                </c:pt>
                <c:pt idx="211">
                  <c:v>0.75000000000000022</c:v>
                </c:pt>
                <c:pt idx="213">
                  <c:v>1.35</c:v>
                </c:pt>
                <c:pt idx="214">
                  <c:v>0.85000000000000009</c:v>
                </c:pt>
                <c:pt idx="216">
                  <c:v>1.4500000000000002</c:v>
                </c:pt>
                <c:pt idx="217">
                  <c:v>0.95000000000000018</c:v>
                </c:pt>
                <c:pt idx="219">
                  <c:v>1.55</c:v>
                </c:pt>
                <c:pt idx="220">
                  <c:v>1.05</c:v>
                </c:pt>
                <c:pt idx="222">
                  <c:v>-48.35</c:v>
                </c:pt>
                <c:pt idx="223">
                  <c:v>-48.85</c:v>
                </c:pt>
                <c:pt idx="225">
                  <c:v>-48.25</c:v>
                </c:pt>
                <c:pt idx="226">
                  <c:v>-48.75</c:v>
                </c:pt>
                <c:pt idx="228">
                  <c:v>-48.15</c:v>
                </c:pt>
                <c:pt idx="229">
                  <c:v>-48.65</c:v>
                </c:pt>
                <c:pt idx="231">
                  <c:v>-48.05</c:v>
                </c:pt>
                <c:pt idx="232">
                  <c:v>-48.55</c:v>
                </c:pt>
                <c:pt idx="234">
                  <c:v>-47.949999999999996</c:v>
                </c:pt>
                <c:pt idx="235">
                  <c:v>-48.449999999999996</c:v>
                </c:pt>
                <c:pt idx="237">
                  <c:v>-47.849999999999994</c:v>
                </c:pt>
                <c:pt idx="238">
                  <c:v>-48.349999999999994</c:v>
                </c:pt>
              </c:numCache>
            </c:numRef>
          </c:xVal>
          <c:yVal>
            <c:numRef>
              <c:f>CONTROL!$O$7:$O$245</c:f>
              <c:numCache>
                <c:formatCode>General</c:formatCode>
                <c:ptCount val="239"/>
                <c:pt idx="0">
                  <c:v>0</c:v>
                </c:pt>
                <c:pt idx="1">
                  <c:v>0.17320508075688773</c:v>
                </c:pt>
                <c:pt idx="3">
                  <c:v>0</c:v>
                </c:pt>
                <c:pt idx="4">
                  <c:v>0.34641016151377546</c:v>
                </c:pt>
                <c:pt idx="6">
                  <c:v>0</c:v>
                </c:pt>
                <c:pt idx="7">
                  <c:v>0.51961524227066325</c:v>
                </c:pt>
                <c:pt idx="9">
                  <c:v>0</c:v>
                </c:pt>
                <c:pt idx="10">
                  <c:v>0.69282032302755092</c:v>
                </c:pt>
                <c:pt idx="12">
                  <c:v>0</c:v>
                </c:pt>
                <c:pt idx="13">
                  <c:v>-85.736514974659414</c:v>
                </c:pt>
                <c:pt idx="15">
                  <c:v>0</c:v>
                </c:pt>
                <c:pt idx="16">
                  <c:v>-85.563309893902527</c:v>
                </c:pt>
                <c:pt idx="18">
                  <c:v>0</c:v>
                </c:pt>
                <c:pt idx="19">
                  <c:v>-85.390104813145641</c:v>
                </c:pt>
                <c:pt idx="21">
                  <c:v>0</c:v>
                </c:pt>
                <c:pt idx="22">
                  <c:v>-85.216899732388754</c:v>
                </c:pt>
                <c:pt idx="24">
                  <c:v>0</c:v>
                </c:pt>
                <c:pt idx="25">
                  <c:v>-85.043694651631867</c:v>
                </c:pt>
                <c:pt idx="27">
                  <c:v>0</c:v>
                </c:pt>
                <c:pt idx="28">
                  <c:v>-84.870489570874966</c:v>
                </c:pt>
                <c:pt idx="30">
                  <c:v>0.17320508075688773</c:v>
                </c:pt>
                <c:pt idx="31">
                  <c:v>0.17320508075688773</c:v>
                </c:pt>
                <c:pt idx="33">
                  <c:v>0.34641016151377546</c:v>
                </c:pt>
                <c:pt idx="34">
                  <c:v>0.34641016151377546</c:v>
                </c:pt>
                <c:pt idx="36">
                  <c:v>0.51961524227066325</c:v>
                </c:pt>
                <c:pt idx="37">
                  <c:v>0.51961524227066325</c:v>
                </c:pt>
                <c:pt idx="39">
                  <c:v>0.69282032302755092</c:v>
                </c:pt>
                <c:pt idx="40">
                  <c:v>0.69282032302755092</c:v>
                </c:pt>
                <c:pt idx="42">
                  <c:v>0.8660254037844386</c:v>
                </c:pt>
                <c:pt idx="43">
                  <c:v>0.8660254037844386</c:v>
                </c:pt>
                <c:pt idx="45">
                  <c:v>1.0392304845413263</c:v>
                </c:pt>
                <c:pt idx="46">
                  <c:v>1.0392304845413263</c:v>
                </c:pt>
                <c:pt idx="48">
                  <c:v>1.2124355652982139</c:v>
                </c:pt>
                <c:pt idx="49">
                  <c:v>1.2124355652982139</c:v>
                </c:pt>
                <c:pt idx="51">
                  <c:v>1.3856406460551016</c:v>
                </c:pt>
                <c:pt idx="52">
                  <c:v>1.3856406460551016</c:v>
                </c:pt>
                <c:pt idx="54">
                  <c:v>1.5588457268119893</c:v>
                </c:pt>
                <c:pt idx="55">
                  <c:v>1.5588457268119893</c:v>
                </c:pt>
                <c:pt idx="57">
                  <c:v>1.732050807568877</c:v>
                </c:pt>
                <c:pt idx="58">
                  <c:v>1.732050807568877</c:v>
                </c:pt>
                <c:pt idx="60">
                  <c:v>0</c:v>
                </c:pt>
                <c:pt idx="61">
                  <c:v>0.69282032302755092</c:v>
                </c:pt>
                <c:pt idx="63">
                  <c:v>0</c:v>
                </c:pt>
                <c:pt idx="64">
                  <c:v>0.51961524227066314</c:v>
                </c:pt>
                <c:pt idx="66">
                  <c:v>0</c:v>
                </c:pt>
                <c:pt idx="67">
                  <c:v>0.34641016151377535</c:v>
                </c:pt>
                <c:pt idx="69">
                  <c:v>0</c:v>
                </c:pt>
                <c:pt idx="70">
                  <c:v>0.17320508075688767</c:v>
                </c:pt>
                <c:pt idx="72">
                  <c:v>0</c:v>
                </c:pt>
                <c:pt idx="73">
                  <c:v>86.602540378443862</c:v>
                </c:pt>
                <c:pt idx="75">
                  <c:v>0</c:v>
                </c:pt>
                <c:pt idx="76">
                  <c:v>86.429335297686976</c:v>
                </c:pt>
                <c:pt idx="78">
                  <c:v>0</c:v>
                </c:pt>
                <c:pt idx="79">
                  <c:v>86.256130216930075</c:v>
                </c:pt>
                <c:pt idx="81">
                  <c:v>0</c:v>
                </c:pt>
                <c:pt idx="82">
                  <c:v>86.082925136173188</c:v>
                </c:pt>
                <c:pt idx="84">
                  <c:v>0</c:v>
                </c:pt>
                <c:pt idx="85">
                  <c:v>85.909720055416301</c:v>
                </c:pt>
                <c:pt idx="87">
                  <c:v>0</c:v>
                </c:pt>
                <c:pt idx="88">
                  <c:v>85.736514974659414</c:v>
                </c:pt>
                <c:pt idx="90">
                  <c:v>0</c:v>
                </c:pt>
                <c:pt idx="91">
                  <c:v>0.17320508075688773</c:v>
                </c:pt>
                <c:pt idx="93">
                  <c:v>0</c:v>
                </c:pt>
                <c:pt idx="94">
                  <c:v>0.34641016151377546</c:v>
                </c:pt>
                <c:pt idx="96">
                  <c:v>0</c:v>
                </c:pt>
                <c:pt idx="97">
                  <c:v>0.51961524227066325</c:v>
                </c:pt>
                <c:pt idx="99">
                  <c:v>0</c:v>
                </c:pt>
                <c:pt idx="100">
                  <c:v>0.69282032302755092</c:v>
                </c:pt>
                <c:pt idx="102">
                  <c:v>0</c:v>
                </c:pt>
                <c:pt idx="103">
                  <c:v>-85.736514974659414</c:v>
                </c:pt>
                <c:pt idx="105">
                  <c:v>0</c:v>
                </c:pt>
                <c:pt idx="106">
                  <c:v>-85.563309893902527</c:v>
                </c:pt>
                <c:pt idx="108">
                  <c:v>0</c:v>
                </c:pt>
                <c:pt idx="109">
                  <c:v>-85.390104813145641</c:v>
                </c:pt>
                <c:pt idx="111">
                  <c:v>0</c:v>
                </c:pt>
                <c:pt idx="112">
                  <c:v>-85.216899732388754</c:v>
                </c:pt>
                <c:pt idx="114">
                  <c:v>0</c:v>
                </c:pt>
                <c:pt idx="115">
                  <c:v>-85.043694651631867</c:v>
                </c:pt>
                <c:pt idx="117">
                  <c:v>0</c:v>
                </c:pt>
                <c:pt idx="118">
                  <c:v>-84.870489570874966</c:v>
                </c:pt>
                <c:pt idx="120">
                  <c:v>0.17320508075688773</c:v>
                </c:pt>
                <c:pt idx="121">
                  <c:v>0.17320508075688773</c:v>
                </c:pt>
                <c:pt idx="123">
                  <c:v>0.34641016151377546</c:v>
                </c:pt>
                <c:pt idx="124">
                  <c:v>0.34641016151377546</c:v>
                </c:pt>
                <c:pt idx="126">
                  <c:v>0.51961524227066325</c:v>
                </c:pt>
                <c:pt idx="127">
                  <c:v>0.51961524227066325</c:v>
                </c:pt>
                <c:pt idx="129">
                  <c:v>0.69282032302755092</c:v>
                </c:pt>
                <c:pt idx="130">
                  <c:v>0.69282032302755092</c:v>
                </c:pt>
                <c:pt idx="132">
                  <c:v>0.8660254037844386</c:v>
                </c:pt>
                <c:pt idx="133">
                  <c:v>0.8660254037844386</c:v>
                </c:pt>
                <c:pt idx="135">
                  <c:v>1.0392304845413263</c:v>
                </c:pt>
                <c:pt idx="136">
                  <c:v>1.0392304845413263</c:v>
                </c:pt>
                <c:pt idx="138">
                  <c:v>1.2124355652982139</c:v>
                </c:pt>
                <c:pt idx="139">
                  <c:v>1.2124355652982139</c:v>
                </c:pt>
                <c:pt idx="141">
                  <c:v>1.3856406460551016</c:v>
                </c:pt>
                <c:pt idx="142">
                  <c:v>1.3856406460551016</c:v>
                </c:pt>
                <c:pt idx="144">
                  <c:v>1.5588457268119893</c:v>
                </c:pt>
                <c:pt idx="145">
                  <c:v>1.5588457268119893</c:v>
                </c:pt>
                <c:pt idx="147">
                  <c:v>1.732050807568877</c:v>
                </c:pt>
                <c:pt idx="148">
                  <c:v>1.732050807568877</c:v>
                </c:pt>
                <c:pt idx="150">
                  <c:v>0</c:v>
                </c:pt>
                <c:pt idx="151">
                  <c:v>0.69282032302755092</c:v>
                </c:pt>
                <c:pt idx="153">
                  <c:v>0</c:v>
                </c:pt>
                <c:pt idx="154">
                  <c:v>0.51961524227066314</c:v>
                </c:pt>
                <c:pt idx="156">
                  <c:v>0</c:v>
                </c:pt>
                <c:pt idx="157">
                  <c:v>0.34641016151377535</c:v>
                </c:pt>
                <c:pt idx="159">
                  <c:v>0</c:v>
                </c:pt>
                <c:pt idx="160">
                  <c:v>0.17320508075688767</c:v>
                </c:pt>
                <c:pt idx="162">
                  <c:v>0</c:v>
                </c:pt>
                <c:pt idx="163">
                  <c:v>86.602540378443862</c:v>
                </c:pt>
                <c:pt idx="165">
                  <c:v>0</c:v>
                </c:pt>
                <c:pt idx="166">
                  <c:v>86.429335297686976</c:v>
                </c:pt>
                <c:pt idx="168">
                  <c:v>0</c:v>
                </c:pt>
                <c:pt idx="169">
                  <c:v>86.256130216930075</c:v>
                </c:pt>
                <c:pt idx="171">
                  <c:v>0</c:v>
                </c:pt>
                <c:pt idx="172">
                  <c:v>86.082925136173188</c:v>
                </c:pt>
                <c:pt idx="174">
                  <c:v>0</c:v>
                </c:pt>
                <c:pt idx="175">
                  <c:v>85.909720055416301</c:v>
                </c:pt>
                <c:pt idx="177">
                  <c:v>0</c:v>
                </c:pt>
                <c:pt idx="178">
                  <c:v>85.736514974659414</c:v>
                </c:pt>
                <c:pt idx="180">
                  <c:v>0.95262794416288243</c:v>
                </c:pt>
                <c:pt idx="181">
                  <c:v>1.818653347947321</c:v>
                </c:pt>
                <c:pt idx="183">
                  <c:v>0.77942286340599476</c:v>
                </c:pt>
                <c:pt idx="184">
                  <c:v>1.6454482671904334</c:v>
                </c:pt>
                <c:pt idx="186">
                  <c:v>0.60621778264910686</c:v>
                </c:pt>
                <c:pt idx="187">
                  <c:v>1.4722431864335455</c:v>
                </c:pt>
                <c:pt idx="189">
                  <c:v>0.43301270189221924</c:v>
                </c:pt>
                <c:pt idx="190">
                  <c:v>1.2990381056766578</c:v>
                </c:pt>
                <c:pt idx="192">
                  <c:v>86.8623479995792</c:v>
                </c:pt>
                <c:pt idx="193">
                  <c:v>87.728373403363634</c:v>
                </c:pt>
                <c:pt idx="195">
                  <c:v>86.689142918822313</c:v>
                </c:pt>
                <c:pt idx="196">
                  <c:v>87.555168322606747</c:v>
                </c:pt>
                <c:pt idx="198">
                  <c:v>86.515937838065412</c:v>
                </c:pt>
                <c:pt idx="199">
                  <c:v>87.381963241849846</c:v>
                </c:pt>
                <c:pt idx="201">
                  <c:v>86.342732757308525</c:v>
                </c:pt>
                <c:pt idx="202">
                  <c:v>87.208758161092959</c:v>
                </c:pt>
                <c:pt idx="204">
                  <c:v>86.169527676551638</c:v>
                </c:pt>
                <c:pt idx="205">
                  <c:v>87.035553080336072</c:v>
                </c:pt>
                <c:pt idx="207">
                  <c:v>85.996322595794751</c:v>
                </c:pt>
                <c:pt idx="208">
                  <c:v>86.862347999579185</c:v>
                </c:pt>
                <c:pt idx="210">
                  <c:v>0.4330127018922193</c:v>
                </c:pt>
                <c:pt idx="211">
                  <c:v>1.299038105676658</c:v>
                </c:pt>
                <c:pt idx="213">
                  <c:v>0.60621778264910708</c:v>
                </c:pt>
                <c:pt idx="214">
                  <c:v>1.4722431864335457</c:v>
                </c:pt>
                <c:pt idx="216">
                  <c:v>0.77942286340599476</c:v>
                </c:pt>
                <c:pt idx="217">
                  <c:v>1.6454482671904334</c:v>
                </c:pt>
                <c:pt idx="219">
                  <c:v>0.95262794416288243</c:v>
                </c:pt>
                <c:pt idx="220">
                  <c:v>1.818653347947321</c:v>
                </c:pt>
                <c:pt idx="222">
                  <c:v>-85.476707353524077</c:v>
                </c:pt>
                <c:pt idx="223">
                  <c:v>-84.610681949739643</c:v>
                </c:pt>
                <c:pt idx="225">
                  <c:v>-85.30350227276719</c:v>
                </c:pt>
                <c:pt idx="226">
                  <c:v>-84.437476868982756</c:v>
                </c:pt>
                <c:pt idx="228">
                  <c:v>-85.130297192010303</c:v>
                </c:pt>
                <c:pt idx="229">
                  <c:v>-84.264271788225869</c:v>
                </c:pt>
                <c:pt idx="231">
                  <c:v>-84.957092111253417</c:v>
                </c:pt>
                <c:pt idx="232">
                  <c:v>-84.091066707468983</c:v>
                </c:pt>
                <c:pt idx="234">
                  <c:v>-84.78388703049653</c:v>
                </c:pt>
                <c:pt idx="235">
                  <c:v>-83.917861626712096</c:v>
                </c:pt>
                <c:pt idx="237">
                  <c:v>-84.610681949739629</c:v>
                </c:pt>
                <c:pt idx="238">
                  <c:v>-83.744656545955195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8D4D-46D3-BF0A-309073C0C811}"/>
            </c:ext>
          </c:extLst>
        </c:ser>
        <c:ser>
          <c:idx val="14"/>
          <c:order val="14"/>
          <c:tx>
            <c:strRef>
              <c:f>CONTROL!$R$6</c:f>
              <c:strCache>
                <c:ptCount val="1"/>
                <c:pt idx="0">
                  <c:v>Y-Label_KEEP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strRef>
                  <c:f>CONTROL!$S$7</c:f>
                  <c:strCache>
                    <c:ptCount val="1"/>
                    <c:pt idx="0">
                      <c:v>Magnesium (Mg²⁺)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{7F094709-CEE9-4EAE-A5EA-8A5C370C0462}</c15:txfldGUID>
                      <c15:f>CONTROL!$S$7</c15:f>
                      <c15:dlblFieldTableCache>
                        <c:ptCount val="1"/>
                        <c:pt idx="0">
                          <c:v>Magnesium (Mg²⁺)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0E-8D4D-46D3-BF0A-309073C0C811}"/>
                </c:ext>
              </c:extLst>
            </c:dLbl>
            <c:dLbl>
              <c:idx val="1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9C12D7D-7991-439D-A13E-0821090DA5B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D4D-46D3-BF0A-309073C0C811}"/>
                </c:ext>
              </c:extLst>
            </c:dLbl>
            <c:dLbl>
              <c:idx val="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8E3EA68-8A67-4585-B397-4437AE82570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D4D-46D3-BF0A-309073C0C811}"/>
                </c:ext>
              </c:extLst>
            </c:dLbl>
            <c:dLbl>
              <c:idx val="3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C79C6BB-954C-4ED4-8976-650E9DEBF10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D4D-46D3-BF0A-309073C0C811}"/>
                </c:ext>
              </c:extLst>
            </c:dLbl>
            <c:dLbl>
              <c:idx val="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B110AC9-48B2-4DA6-9245-1FA8824BA4D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D4D-46D3-BF0A-309073C0C811}"/>
                </c:ext>
              </c:extLst>
            </c:dLbl>
            <c:dLbl>
              <c:idx val="5"/>
              <c:layout>
                <c:manualLayout>
                  <c:x val="-0.15664246756389494"/>
                  <c:y val="4.1994750656167978E-2"/>
                </c:manualLayout>
              </c:layout>
              <c:tx>
                <c:strRef>
                  <c:f>CONTROL!$S$12</c:f>
                  <c:strCache>
                    <c:ptCount val="1"/>
                    <c:pt idx="0">
                      <c:v>Chloride (Cl⁻) + Fluoride (F⁻) + Sulfate (SO₄²⁻)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{4743E2A2-398A-4AD4-AE76-04E3DC6E6200}</c15:txfldGUID>
                      <c15:f>CONTROL!$S$12</c15:f>
                      <c15:dlblFieldTableCache>
                        <c:ptCount val="1"/>
                        <c:pt idx="0">
                          <c:v>Chloride (Cl⁻) + Fluoride (F⁻) + Sulfate (SO₄²⁻)</c:v>
                        </c:pt>
                      </c15:dlblFieldTableCache>
                    </c15:dlblFTEntry>
                  </c15:dlblFieldTable>
                  <c15:showDataLabelsRange val="1"/>
                </c:ext>
                <c:ext xmlns:c16="http://schemas.microsoft.com/office/drawing/2014/chart" uri="{C3380CC4-5D6E-409C-BE32-E72D297353CC}">
                  <c16:uniqueId val="{00000013-8D4D-46D3-BF0A-309073C0C811}"/>
                </c:ext>
              </c:extLst>
            </c:dLbl>
            <c:dLbl>
              <c:idx val="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6A50EA9-1BC1-4420-82BC-54A36E5FDE6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D4D-46D3-BF0A-309073C0C811}"/>
                </c:ext>
              </c:extLst>
            </c:dLbl>
            <c:dLbl>
              <c:idx val="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BB40240-9902-40F0-A182-EA9C4ABC4F7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D4D-46D3-BF0A-309073C0C8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D4D-46D3-BF0A-309073C0C811}"/>
                </c:ext>
              </c:extLst>
            </c:dLbl>
            <c:dLbl>
              <c:idx val="9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FE07974-9269-4F75-9B55-AE1CF9E4E16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D4D-46D3-BF0A-309073C0C811}"/>
                </c:ext>
              </c:extLst>
            </c:dLbl>
            <c:dLbl>
              <c:idx val="10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E521661-302B-4D9E-8C88-60412E26376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D4D-46D3-BF0A-309073C0C811}"/>
                </c:ext>
              </c:extLst>
            </c:dLbl>
            <c:dLbl>
              <c:idx val="11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0215F7-8903-4CF9-9272-C47EB1CB299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D4D-46D3-BF0A-309073C0C811}"/>
                </c:ext>
              </c:extLst>
            </c:dLbl>
            <c:dLbl>
              <c:idx val="12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1E47CBD-8138-4AD6-9E8F-02A7C8CD81B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D4D-46D3-BF0A-309073C0C811}"/>
                </c:ext>
              </c:extLst>
            </c:dLbl>
            <c:dLbl>
              <c:idx val="13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AA3C91F-E270-4995-81B5-D0D7911219B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D4D-46D3-BF0A-309073C0C811}"/>
                </c:ext>
              </c:extLst>
            </c:dLbl>
            <c:dLbl>
              <c:idx val="14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CE566C2-1057-4B9B-8EE6-FE4662D6BE7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D4D-46D3-BF0A-309073C0C811}"/>
                </c:ext>
              </c:extLst>
            </c:dLbl>
            <c:dLbl>
              <c:idx val="15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B22E04C-D389-4B34-BF08-5C45940C114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D4D-46D3-BF0A-309073C0C811}"/>
                </c:ext>
              </c:extLst>
            </c:dLbl>
            <c:dLbl>
              <c:idx val="16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3DC23DC-2CF6-458E-BB9D-96CC649A107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D4D-46D3-BF0A-309073C0C811}"/>
                </c:ext>
              </c:extLst>
            </c:dLbl>
            <c:dLbl>
              <c:idx val="17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A1CBF6-6FD5-4DD6-95D4-69FBA86B06D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D4D-46D3-BF0A-309073C0C811}"/>
                </c:ext>
              </c:extLst>
            </c:dLbl>
            <c:dLbl>
              <c:idx val="18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EA5DA1F-D323-4581-B988-9E11F20EF7A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D4D-46D3-BF0A-309073C0C8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8D4D-46D3-BF0A-309073C0C811}"/>
                </c:ext>
              </c:extLst>
            </c:dLbl>
            <c:dLbl>
              <c:idx val="2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7411A1F-3241-457C-A967-CAF7F1E4FE4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D4D-46D3-BF0A-309073C0C811}"/>
                </c:ext>
              </c:extLst>
            </c:dLbl>
            <c:dLbl>
              <c:idx val="2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A276FAF-03E3-4242-8262-5263C62BCB1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D4D-46D3-BF0A-309073C0C811}"/>
                </c:ext>
              </c:extLst>
            </c:dLbl>
            <c:dLbl>
              <c:idx val="2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4ACD5C3-0C73-4654-B893-7EAF025F277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D4D-46D3-BF0A-309073C0C811}"/>
                </c:ext>
              </c:extLst>
            </c:dLbl>
            <c:dLbl>
              <c:idx val="2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05150DD-AAA3-4F8B-A9DA-701D5FEA427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D4D-46D3-BF0A-309073C0C811}"/>
                </c:ext>
              </c:extLst>
            </c:dLbl>
            <c:dLbl>
              <c:idx val="2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99E13AA-2FF7-4973-A1D8-D9B6859A894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D4D-46D3-BF0A-309073C0C811}"/>
                </c:ext>
              </c:extLst>
            </c:dLbl>
            <c:dLbl>
              <c:idx val="2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E255919-2D5D-4ABD-A5BF-0716192A5CC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D4D-46D3-BF0A-309073C0C811}"/>
                </c:ext>
              </c:extLst>
            </c:dLbl>
            <c:dLbl>
              <c:idx val="2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0833C99-481E-49C4-9E45-6B94F10E5BE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D4D-46D3-BF0A-309073C0C811}"/>
                </c:ext>
              </c:extLst>
            </c:dLbl>
            <c:dLbl>
              <c:idx val="2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59F21E8-1041-4B30-870D-DFA0BCFE1E6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D4D-46D3-BF0A-309073C0C811}"/>
                </c:ext>
              </c:extLst>
            </c:dLbl>
            <c:dLbl>
              <c:idx val="2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633CD7B-BE96-4BE4-8B9C-A2BA0B11681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D4D-46D3-BF0A-309073C0C811}"/>
                </c:ext>
              </c:extLst>
            </c:dLbl>
            <c:dLbl>
              <c:idx val="2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E4C2231-74D8-4345-93A3-AD644B591CA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D4D-46D3-BF0A-309073C0C8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C-8D4D-46D3-BF0A-309073C0C811}"/>
                </c:ext>
              </c:extLst>
            </c:dLbl>
            <c:dLbl>
              <c:idx val="3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EEAA397-63A7-4B80-AB75-1A894C034F6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D4D-46D3-BF0A-309073C0C811}"/>
                </c:ext>
              </c:extLst>
            </c:dLbl>
            <c:dLbl>
              <c:idx val="3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CC9BC16-72AA-4108-96C1-3DB1DE14373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D4D-46D3-BF0A-309073C0C811}"/>
                </c:ext>
              </c:extLst>
            </c:dLbl>
            <c:dLbl>
              <c:idx val="3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2F4BBB6-BA92-42BA-A86A-026829BBF18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D4D-46D3-BF0A-309073C0C811}"/>
                </c:ext>
              </c:extLst>
            </c:dLbl>
            <c:dLbl>
              <c:idx val="3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F99A173-EBA3-4368-B6EF-F606935F118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D4D-46D3-BF0A-309073C0C811}"/>
                </c:ext>
              </c:extLst>
            </c:dLbl>
            <c:dLbl>
              <c:idx val="3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922A6B3-F24A-4DD7-84D8-A4DA3E94EC8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4D-46D3-BF0A-309073C0C811}"/>
                </c:ext>
              </c:extLst>
            </c:dLbl>
            <c:dLbl>
              <c:idx val="3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562BF44-8FDF-487A-A0F2-8FC99E0F8ED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D4D-46D3-BF0A-309073C0C811}"/>
                </c:ext>
              </c:extLst>
            </c:dLbl>
            <c:dLbl>
              <c:idx val="3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5104B50-B648-4899-8D49-B28A85DC2B9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D4D-46D3-BF0A-309073C0C811}"/>
                </c:ext>
              </c:extLst>
            </c:dLbl>
            <c:dLbl>
              <c:idx val="3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2379CF3-BE8B-4AD0-A3BD-EFDEEBD9EEE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D4D-46D3-BF0A-309073C0C811}"/>
                </c:ext>
              </c:extLst>
            </c:dLbl>
            <c:dLbl>
              <c:idx val="3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C98B42B-A52F-4A41-AB98-42B6775278A2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D4D-46D3-BF0A-309073C0C811}"/>
                </c:ext>
              </c:extLst>
            </c:dLbl>
            <c:dLbl>
              <c:idx val="4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5CC7555-1207-40D0-B24A-BFC4CE6DB3E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D4D-46D3-BF0A-309073C0C8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7-8D4D-46D3-BF0A-309073C0C811}"/>
                </c:ext>
              </c:extLst>
            </c:dLbl>
            <c:dLbl>
              <c:idx val="42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010641-530C-4257-948F-C54467CB9C4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D4D-46D3-BF0A-309073C0C811}"/>
                </c:ext>
              </c:extLst>
            </c:dLbl>
            <c:dLbl>
              <c:idx val="43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E8EFCBF-973F-41C3-8915-F19B809D98E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D4D-46D3-BF0A-309073C0C811}"/>
                </c:ext>
              </c:extLst>
            </c:dLbl>
            <c:dLbl>
              <c:idx val="44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55F1B86-732B-4526-80F9-73B59185554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D4D-46D3-BF0A-309073C0C811}"/>
                </c:ext>
              </c:extLst>
            </c:dLbl>
            <c:dLbl>
              <c:idx val="45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4E8D0D4-0CC1-4CBD-B5B2-EC949D8CA10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D4D-46D3-BF0A-309073C0C811}"/>
                </c:ext>
              </c:extLst>
            </c:dLbl>
            <c:dLbl>
              <c:idx val="46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078D38F5-6124-4BBC-A02B-934C3AC819F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D4D-46D3-BF0A-309073C0C811}"/>
                </c:ext>
              </c:extLst>
            </c:dLbl>
            <c:dLbl>
              <c:idx val="47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DAC7896-4772-4B3F-80C4-27DDD4DEE36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D4D-46D3-BF0A-309073C0C811}"/>
                </c:ext>
              </c:extLst>
            </c:dLbl>
            <c:dLbl>
              <c:idx val="48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C7F9AAF4-DF96-450C-A8CB-39DF551101A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D4D-46D3-BF0A-309073C0C811}"/>
                </c:ext>
              </c:extLst>
            </c:dLbl>
            <c:dLbl>
              <c:idx val="49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71309A9-C283-4960-A616-5170A3CB6C6C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D4D-46D3-BF0A-309073C0C811}"/>
                </c:ext>
              </c:extLst>
            </c:dLbl>
            <c:dLbl>
              <c:idx val="50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B6969E3-0C71-4806-BDDF-85CDECBC6B3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D4D-46D3-BF0A-309073C0C811}"/>
                </c:ext>
              </c:extLst>
            </c:dLbl>
            <c:dLbl>
              <c:idx val="51"/>
              <c:tx>
                <c:rich>
                  <a:bodyPr rot="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FF09C2F-A586-4A72-BCD4-480234BEB6A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D4D-46D3-BF0A-309073C0C8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2-8D4D-46D3-BF0A-309073C0C811}"/>
                </c:ext>
              </c:extLst>
            </c:dLbl>
            <c:dLbl>
              <c:idx val="5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F9F2458-0872-47BB-9B66-0EEFB48AD18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D4D-46D3-BF0A-309073C0C811}"/>
                </c:ext>
              </c:extLst>
            </c:dLbl>
            <c:dLbl>
              <c:idx val="5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7DC717B-71CD-4BB0-8936-06753512088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D4D-46D3-BF0A-309073C0C811}"/>
                </c:ext>
              </c:extLst>
            </c:dLbl>
            <c:dLbl>
              <c:idx val="5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AC8D45F-6D3D-47A8-B0A4-AD1D31690F3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D4D-46D3-BF0A-309073C0C811}"/>
                </c:ext>
              </c:extLst>
            </c:dLbl>
            <c:dLbl>
              <c:idx val="5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BD5365EB-4A1B-4136-965F-4F989DCE51E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D4D-46D3-BF0A-309073C0C811}"/>
                </c:ext>
              </c:extLst>
            </c:dLbl>
            <c:dLbl>
              <c:idx val="5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EDF9D18-9072-4D1A-B147-CAF94B04979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D4D-46D3-BF0A-309073C0C811}"/>
                </c:ext>
              </c:extLst>
            </c:dLbl>
            <c:dLbl>
              <c:idx val="5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32F8761-9FB2-4695-BD84-BCC802BCD05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D4D-46D3-BF0A-309073C0C811}"/>
                </c:ext>
              </c:extLst>
            </c:dLbl>
            <c:dLbl>
              <c:idx val="5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0373CA9-7AE6-4DEE-A5A7-834B6F06834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D4D-46D3-BF0A-309073C0C811}"/>
                </c:ext>
              </c:extLst>
            </c:dLbl>
            <c:dLbl>
              <c:idx val="6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3979F7E-1E20-4E85-ADE1-6C3E5A9E968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D4D-46D3-BF0A-309073C0C811}"/>
                </c:ext>
              </c:extLst>
            </c:dLbl>
            <c:dLbl>
              <c:idx val="6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6A4CAB9-3AF4-4775-BA46-67453C0EA76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D4D-46D3-BF0A-309073C0C811}"/>
                </c:ext>
              </c:extLst>
            </c:dLbl>
            <c:dLbl>
              <c:idx val="6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EB1F51F-5AB6-4FC8-9E8A-853EA2141AE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D4D-46D3-BF0A-309073C0C8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4D-8D4D-46D3-BF0A-309073C0C811}"/>
                </c:ext>
              </c:extLst>
            </c:dLbl>
            <c:dLbl>
              <c:idx val="6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046A7B2-4E98-4985-8461-9F0FF248102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D4D-46D3-BF0A-309073C0C811}"/>
                </c:ext>
              </c:extLst>
            </c:dLbl>
            <c:dLbl>
              <c:idx val="6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D118447-4A52-449D-89D0-86B2B46EF46C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D4D-46D3-BF0A-309073C0C811}"/>
                </c:ext>
              </c:extLst>
            </c:dLbl>
            <c:dLbl>
              <c:idx val="6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270779B-785E-40AC-A14C-CA81FB80032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D4D-46D3-BF0A-309073C0C811}"/>
                </c:ext>
              </c:extLst>
            </c:dLbl>
            <c:dLbl>
              <c:idx val="6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C996774-F5F3-4737-B040-6044696B8F9C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D4D-46D3-BF0A-309073C0C811}"/>
                </c:ext>
              </c:extLst>
            </c:dLbl>
            <c:dLbl>
              <c:idx val="6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1CEB3E8-8409-41EC-8630-684F60C3480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D4D-46D3-BF0A-309073C0C811}"/>
                </c:ext>
              </c:extLst>
            </c:dLbl>
            <c:dLbl>
              <c:idx val="6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1A1913A-A87B-4F9B-8814-7E00E3BD4F9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D4D-46D3-BF0A-309073C0C811}"/>
                </c:ext>
              </c:extLst>
            </c:dLbl>
            <c:dLbl>
              <c:idx val="7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66EDA2D-877D-4AAE-9F52-9C8337466B7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D4D-46D3-BF0A-309073C0C811}"/>
                </c:ext>
              </c:extLst>
            </c:dLbl>
            <c:dLbl>
              <c:idx val="7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027EAF1-169A-4DF1-ADAA-D1BA4BDDC6B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D4D-46D3-BF0A-309073C0C811}"/>
                </c:ext>
              </c:extLst>
            </c:dLbl>
            <c:dLbl>
              <c:idx val="7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0A70859-7B12-463A-BFD5-F5D66DDCEC3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D4D-46D3-BF0A-309073C0C811}"/>
                </c:ext>
              </c:extLst>
            </c:dLbl>
            <c:dLbl>
              <c:idx val="7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F698B11-066C-4941-8A72-18D93AA906C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D4D-46D3-BF0A-309073C0C8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58-8D4D-46D3-BF0A-309073C0C811}"/>
                </c:ext>
              </c:extLst>
            </c:dLbl>
            <c:dLbl>
              <c:idx val="7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B7435CB-7FDA-4BCC-BF9F-FBAE22AA927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D4D-46D3-BF0A-309073C0C811}"/>
                </c:ext>
              </c:extLst>
            </c:dLbl>
            <c:dLbl>
              <c:idx val="7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66C42F6-87C1-45CD-B605-9A011997515D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D4D-46D3-BF0A-309073C0C811}"/>
                </c:ext>
              </c:extLst>
            </c:dLbl>
            <c:dLbl>
              <c:idx val="7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7A549EE-69B7-4E46-A504-CD5BA8F5D75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D4D-46D3-BF0A-309073C0C811}"/>
                </c:ext>
              </c:extLst>
            </c:dLbl>
            <c:dLbl>
              <c:idx val="7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E24B416-071A-4470-9F68-D64BF731966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D4D-46D3-BF0A-309073C0C811}"/>
                </c:ext>
              </c:extLst>
            </c:dLbl>
            <c:dLbl>
              <c:idx val="7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903D4AD-FCCE-4C29-9758-0B5511997DCC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D4D-46D3-BF0A-309073C0C811}"/>
                </c:ext>
              </c:extLst>
            </c:dLbl>
            <c:dLbl>
              <c:idx val="8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DF80FBB-56B9-4FB5-B84D-2B9170B8871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D4D-46D3-BF0A-309073C0C811}"/>
                </c:ext>
              </c:extLst>
            </c:dLbl>
            <c:dLbl>
              <c:idx val="8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60963E6-20C3-4709-A93F-95946C5B644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D4D-46D3-BF0A-309073C0C811}"/>
                </c:ext>
              </c:extLst>
            </c:dLbl>
            <c:dLbl>
              <c:idx val="8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36A77CF7-DC7E-43D6-AA16-883C2800C80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D4D-46D3-BF0A-309073C0C811}"/>
                </c:ext>
              </c:extLst>
            </c:dLbl>
            <c:dLbl>
              <c:idx val="8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A8A474B-3746-4760-A5D5-E1F68DD07EA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D4D-46D3-BF0A-309073C0C811}"/>
                </c:ext>
              </c:extLst>
            </c:dLbl>
            <c:dLbl>
              <c:idx val="8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09C9E0D-C90E-4284-9253-2F3BDAFE8F7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D4D-46D3-BF0A-309073C0C811}"/>
                </c:ext>
              </c:extLst>
            </c:dLbl>
            <c:dLbl>
              <c:idx val="85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61291F8-BCF3-4F80-920D-57FF098CBF4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D4D-46D3-BF0A-309073C0C811}"/>
                </c:ext>
              </c:extLst>
            </c:dLbl>
            <c:dLbl>
              <c:idx val="86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6629FBA-C619-40F0-9DC8-91FD48C4153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D4D-46D3-BF0A-309073C0C811}"/>
                </c:ext>
              </c:extLst>
            </c:dLbl>
            <c:dLbl>
              <c:idx val="87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9600E57-734A-4429-B027-8B921B921BF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D4D-46D3-BF0A-309073C0C811}"/>
                </c:ext>
              </c:extLst>
            </c:dLbl>
            <c:dLbl>
              <c:idx val="88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B70F8DD-A983-475B-997A-DEAE0A29449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D4D-46D3-BF0A-309073C0C811}"/>
                </c:ext>
              </c:extLst>
            </c:dLbl>
            <c:dLbl>
              <c:idx val="89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B8EA4FA-9DC2-4B74-AED1-07ECFF48D371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D4D-46D3-BF0A-309073C0C811}"/>
                </c:ext>
              </c:extLst>
            </c:dLbl>
            <c:dLbl>
              <c:idx val="90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CEF47AE-C757-4521-8A6B-D39DC86987D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D4D-46D3-BF0A-309073C0C811}"/>
                </c:ext>
              </c:extLst>
            </c:dLbl>
            <c:dLbl>
              <c:idx val="91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CADABCF-CE04-44DD-AB4C-91DD473A0B7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D4D-46D3-BF0A-309073C0C811}"/>
                </c:ext>
              </c:extLst>
            </c:dLbl>
            <c:dLbl>
              <c:idx val="92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3DEF369-F0B4-4616-B37C-40B5B407A7E3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D4D-46D3-BF0A-309073C0C811}"/>
                </c:ext>
              </c:extLst>
            </c:dLbl>
            <c:dLbl>
              <c:idx val="93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E9DAA58-C7F0-4263-A8DD-68C4E945BFC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D4D-46D3-BF0A-309073C0C811}"/>
                </c:ext>
              </c:extLst>
            </c:dLbl>
            <c:dLbl>
              <c:idx val="94"/>
              <c:tx>
                <c:rich>
                  <a:bodyPr rot="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3ABEC23-0D26-48A0-A14D-9FBC8496E65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D4D-46D3-BF0A-309073C0C8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6D-8D4D-46D3-BF0A-309073C0C811}"/>
                </c:ext>
              </c:extLst>
            </c:dLbl>
            <c:dLbl>
              <c:idx val="9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EEFA235-1900-4361-9F82-AFD245FEEC3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D4D-46D3-BF0A-309073C0C811}"/>
                </c:ext>
              </c:extLst>
            </c:dLbl>
            <c:dLbl>
              <c:idx val="9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DB9586E-6562-4C11-B6ED-BF9749C0F5C7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D4D-46D3-BF0A-309073C0C811}"/>
                </c:ext>
              </c:extLst>
            </c:dLbl>
            <c:dLbl>
              <c:idx val="9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300579B-EA67-4DFF-AF33-952A2451EB7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D4D-46D3-BF0A-309073C0C811}"/>
                </c:ext>
              </c:extLst>
            </c:dLbl>
            <c:dLbl>
              <c:idx val="9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4022C2CE-496A-41E8-BC0F-E41DA190454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D4D-46D3-BF0A-309073C0C811}"/>
                </c:ext>
              </c:extLst>
            </c:dLbl>
            <c:dLbl>
              <c:idx val="10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E2D9DE1-857B-4732-B919-64491572525F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D4D-46D3-BF0A-309073C0C811}"/>
                </c:ext>
              </c:extLst>
            </c:dLbl>
            <c:dLbl>
              <c:idx val="10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5E6B1EED-564B-47B9-A163-3DA33C401A9C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D4D-46D3-BF0A-309073C0C811}"/>
                </c:ext>
              </c:extLst>
            </c:dLbl>
            <c:dLbl>
              <c:idx val="10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A9B61F8-DE35-4CC9-AC40-1D3459A06015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D4D-46D3-BF0A-309073C0C811}"/>
                </c:ext>
              </c:extLst>
            </c:dLbl>
            <c:dLbl>
              <c:idx val="10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D04A27A-8DA4-4C1E-9BC7-5E5C7291F92A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D4D-46D3-BF0A-309073C0C811}"/>
                </c:ext>
              </c:extLst>
            </c:dLbl>
            <c:dLbl>
              <c:idx val="104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D871CE9-A0F7-4067-B148-142E444BA27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D4D-46D3-BF0A-309073C0C811}"/>
                </c:ext>
              </c:extLst>
            </c:dLbl>
            <c:dLbl>
              <c:idx val="105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8471103B-8873-470C-95CF-3E57389537E6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D4D-46D3-BF0A-309073C0C811}"/>
                </c:ext>
              </c:extLst>
            </c:dLbl>
            <c:dLbl>
              <c:idx val="106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64435E08-201B-42AD-BA24-C82671F018A4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D4D-46D3-BF0A-309073C0C811}"/>
                </c:ext>
              </c:extLst>
            </c:dLbl>
            <c:dLbl>
              <c:idx val="107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41CA3C6-37EE-4F64-AF82-5474D9C8EAB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D4D-46D3-BF0A-309073C0C811}"/>
                </c:ext>
              </c:extLst>
            </c:dLbl>
            <c:dLbl>
              <c:idx val="108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6815EB9-DFBC-4543-97C2-94CFAA1635BB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D4D-46D3-BF0A-309073C0C811}"/>
                </c:ext>
              </c:extLst>
            </c:dLbl>
            <c:dLbl>
              <c:idx val="109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A9BF9C3B-2D77-4FC7-B65F-997AC3F496C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D4D-46D3-BF0A-309073C0C811}"/>
                </c:ext>
              </c:extLst>
            </c:dLbl>
            <c:dLbl>
              <c:idx val="110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2D5191B2-3686-492B-9FDC-A6359A9A3E78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D4D-46D3-BF0A-309073C0C811}"/>
                </c:ext>
              </c:extLst>
            </c:dLbl>
            <c:dLbl>
              <c:idx val="111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7BA0A8DC-11DE-41C2-B253-EF390F058930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D4D-46D3-BF0A-309073C0C811}"/>
                </c:ext>
              </c:extLst>
            </c:dLbl>
            <c:dLbl>
              <c:idx val="112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1BC6EC3-BB3C-45D9-86F5-BEDAC824AAA9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D4D-46D3-BF0A-309073C0C811}"/>
                </c:ext>
              </c:extLst>
            </c:dLbl>
            <c:dLbl>
              <c:idx val="113"/>
              <c:tx>
                <c:rich>
                  <a:bodyPr rot="-3600000" spcFirstLastPara="1" vertOverflow="clip" horzOverflow="clip" vert="horz" wrap="none" lIns="38100" tIns="19050" rIns="38100" bIns="19050" anchor="ctr" anchorCtr="1">
                    <a:sp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6846415-13DB-4DE0-A822-C0D293B0BA3E}" type="CELLRANGE">
                      <a:rPr lang="en-US"/>
                      <a:pPr>
                        <a:defRPr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-3600000" spcFirstLastPara="1" vertOverflow="clip" horzOverflow="clip" vert="horz" wrap="non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D4D-46D3-BF0A-309073C0C8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CONTROL!$Q$7:$Q$120</c:f>
              <c:numCache>
                <c:formatCode>General</c:formatCode>
                <c:ptCount val="114"/>
                <c:pt idx="0">
                  <c:v>0.13749999999999998</c:v>
                </c:pt>
                <c:pt idx="1">
                  <c:v>0.5</c:v>
                </c:pt>
                <c:pt idx="2">
                  <c:v>2.1624999999999996</c:v>
                </c:pt>
                <c:pt idx="3">
                  <c:v>1.7999999999999998</c:v>
                </c:pt>
                <c:pt idx="4">
                  <c:v>0.82499999999999996</c:v>
                </c:pt>
                <c:pt idx="5">
                  <c:v>0.78749999999999987</c:v>
                </c:pt>
                <c:pt idx="6">
                  <c:v>1.5125</c:v>
                </c:pt>
                <c:pt idx="7">
                  <c:v>1.4750000000000001</c:v>
                </c:pt>
                <c:pt idx="9">
                  <c:v>0</c:v>
                </c:pt>
                <c:pt idx="10">
                  <c:v>0.2</c:v>
                </c:pt>
                <c:pt idx="11">
                  <c:v>0.4</c:v>
                </c:pt>
                <c:pt idx="12">
                  <c:v>0.60000000000000009</c:v>
                </c:pt>
                <c:pt idx="13">
                  <c:v>0.8</c:v>
                </c:pt>
                <c:pt idx="14">
                  <c:v>1</c:v>
                </c:pt>
                <c:pt idx="15">
                  <c:v>1.2</c:v>
                </c:pt>
                <c:pt idx="16">
                  <c:v>1.4</c:v>
                </c:pt>
                <c:pt idx="17">
                  <c:v>1.5999999999999999</c:v>
                </c:pt>
                <c:pt idx="18">
                  <c:v>1.7999999999999998</c:v>
                </c:pt>
                <c:pt idx="20">
                  <c:v>-3.7500000000000006E-2</c:v>
                </c:pt>
                <c:pt idx="21">
                  <c:v>6.25E-2</c:v>
                </c:pt>
                <c:pt idx="22">
                  <c:v>0.16250000000000001</c:v>
                </c:pt>
                <c:pt idx="23">
                  <c:v>0.26250000000000007</c:v>
                </c:pt>
                <c:pt idx="24">
                  <c:v>0.36250000000000004</c:v>
                </c:pt>
                <c:pt idx="25">
                  <c:v>0.46250000000000002</c:v>
                </c:pt>
                <c:pt idx="26">
                  <c:v>0.5625</c:v>
                </c:pt>
                <c:pt idx="27">
                  <c:v>0.66249999999999998</c:v>
                </c:pt>
                <c:pt idx="28">
                  <c:v>0.76249999999999996</c:v>
                </c:pt>
                <c:pt idx="29">
                  <c:v>0.86249999999999993</c:v>
                </c:pt>
                <c:pt idx="31">
                  <c:v>1.0375000000000001</c:v>
                </c:pt>
                <c:pt idx="32">
                  <c:v>0.9375</c:v>
                </c:pt>
                <c:pt idx="33">
                  <c:v>0.83750000000000002</c:v>
                </c:pt>
                <c:pt idx="34">
                  <c:v>0.73749999999999993</c:v>
                </c:pt>
                <c:pt idx="35">
                  <c:v>0.63749999999999996</c:v>
                </c:pt>
                <c:pt idx="36">
                  <c:v>0.53749999999999998</c:v>
                </c:pt>
                <c:pt idx="37">
                  <c:v>0.4375</c:v>
                </c:pt>
                <c:pt idx="38">
                  <c:v>0.33750000000000002</c:v>
                </c:pt>
                <c:pt idx="39">
                  <c:v>0.23750000000000007</c:v>
                </c:pt>
                <c:pt idx="40">
                  <c:v>0.13750000000000009</c:v>
                </c:pt>
                <c:pt idx="42">
                  <c:v>1.3</c:v>
                </c:pt>
                <c:pt idx="43">
                  <c:v>1.5</c:v>
                </c:pt>
                <c:pt idx="44">
                  <c:v>1.7</c:v>
                </c:pt>
                <c:pt idx="45">
                  <c:v>1.9000000000000001</c:v>
                </c:pt>
                <c:pt idx="46">
                  <c:v>2.1</c:v>
                </c:pt>
                <c:pt idx="47">
                  <c:v>2.2999999999999998</c:v>
                </c:pt>
                <c:pt idx="48">
                  <c:v>2.5</c:v>
                </c:pt>
                <c:pt idx="49">
                  <c:v>2.6999999999999997</c:v>
                </c:pt>
                <c:pt idx="50">
                  <c:v>2.8999999999999995</c:v>
                </c:pt>
                <c:pt idx="51">
                  <c:v>3.0999999999999996</c:v>
                </c:pt>
                <c:pt idx="53">
                  <c:v>1.2625</c:v>
                </c:pt>
                <c:pt idx="54">
                  <c:v>1.3625</c:v>
                </c:pt>
                <c:pt idx="55">
                  <c:v>1.4625000000000001</c:v>
                </c:pt>
                <c:pt idx="56">
                  <c:v>1.5625000000000002</c:v>
                </c:pt>
                <c:pt idx="57">
                  <c:v>1.6625000000000001</c:v>
                </c:pt>
                <c:pt idx="58">
                  <c:v>1.7625</c:v>
                </c:pt>
                <c:pt idx="59">
                  <c:v>1.8625</c:v>
                </c:pt>
                <c:pt idx="60">
                  <c:v>1.9625000000000001</c:v>
                </c:pt>
                <c:pt idx="61">
                  <c:v>2.0625</c:v>
                </c:pt>
                <c:pt idx="62">
                  <c:v>2.1624999999999996</c:v>
                </c:pt>
                <c:pt idx="64">
                  <c:v>2.3374999999999999</c:v>
                </c:pt>
                <c:pt idx="65">
                  <c:v>2.2374999999999998</c:v>
                </c:pt>
                <c:pt idx="66">
                  <c:v>2.1374999999999997</c:v>
                </c:pt>
                <c:pt idx="67">
                  <c:v>2.0374999999999996</c:v>
                </c:pt>
                <c:pt idx="68">
                  <c:v>1.9375</c:v>
                </c:pt>
                <c:pt idx="69">
                  <c:v>1.8375000000000001</c:v>
                </c:pt>
                <c:pt idx="70">
                  <c:v>1.7375</c:v>
                </c:pt>
                <c:pt idx="71">
                  <c:v>1.6375</c:v>
                </c:pt>
                <c:pt idx="72">
                  <c:v>1.5375000000000001</c:v>
                </c:pt>
                <c:pt idx="73">
                  <c:v>1.4375000000000002</c:v>
                </c:pt>
                <c:pt idx="75">
                  <c:v>0.71250000000000013</c:v>
                </c:pt>
                <c:pt idx="76">
                  <c:v>1.2875000000000001</c:v>
                </c:pt>
                <c:pt idx="77">
                  <c:v>0.8125</c:v>
                </c:pt>
                <c:pt idx="78">
                  <c:v>1.3875000000000002</c:v>
                </c:pt>
                <c:pt idx="79">
                  <c:v>0.91250000000000009</c:v>
                </c:pt>
                <c:pt idx="80">
                  <c:v>1.4875000000000003</c:v>
                </c:pt>
                <c:pt idx="81">
                  <c:v>1.0125</c:v>
                </c:pt>
                <c:pt idx="82">
                  <c:v>1.5875000000000001</c:v>
                </c:pt>
                <c:pt idx="83">
                  <c:v>-48.887500000000003</c:v>
                </c:pt>
                <c:pt idx="84">
                  <c:v>-48.3125</c:v>
                </c:pt>
                <c:pt idx="85">
                  <c:v>-48.787500000000001</c:v>
                </c:pt>
                <c:pt idx="86">
                  <c:v>-48.212499999999999</c:v>
                </c:pt>
                <c:pt idx="87">
                  <c:v>-48.6875</c:v>
                </c:pt>
                <c:pt idx="88">
                  <c:v>-48.112499999999997</c:v>
                </c:pt>
                <c:pt idx="89">
                  <c:v>-48.587499999999999</c:v>
                </c:pt>
                <c:pt idx="90">
                  <c:v>-48.012499999999996</c:v>
                </c:pt>
                <c:pt idx="91">
                  <c:v>-48.487499999999997</c:v>
                </c:pt>
                <c:pt idx="92">
                  <c:v>-47.912499999999994</c:v>
                </c:pt>
                <c:pt idx="93">
                  <c:v>-48.387499999999996</c:v>
                </c:pt>
                <c:pt idx="94">
                  <c:v>-47.812499999999993</c:v>
                </c:pt>
                <c:pt idx="96">
                  <c:v>1.2875000000000003</c:v>
                </c:pt>
                <c:pt idx="97">
                  <c:v>0.71250000000000024</c:v>
                </c:pt>
                <c:pt idx="98">
                  <c:v>1.3875000000000002</c:v>
                </c:pt>
                <c:pt idx="99">
                  <c:v>0.81250000000000011</c:v>
                </c:pt>
                <c:pt idx="100">
                  <c:v>1.4875000000000003</c:v>
                </c:pt>
                <c:pt idx="101">
                  <c:v>0.9125000000000002</c:v>
                </c:pt>
                <c:pt idx="102">
                  <c:v>1.5875000000000001</c:v>
                </c:pt>
                <c:pt idx="103">
                  <c:v>1.0125</c:v>
                </c:pt>
                <c:pt idx="104">
                  <c:v>-48.3125</c:v>
                </c:pt>
                <c:pt idx="105">
                  <c:v>-48.887500000000003</c:v>
                </c:pt>
                <c:pt idx="106">
                  <c:v>-48.212499999999999</c:v>
                </c:pt>
                <c:pt idx="107">
                  <c:v>-48.787500000000001</c:v>
                </c:pt>
                <c:pt idx="108">
                  <c:v>-48.074999999999996</c:v>
                </c:pt>
                <c:pt idx="109">
                  <c:v>-48.725000000000001</c:v>
                </c:pt>
                <c:pt idx="110">
                  <c:v>-47.974999999999994</c:v>
                </c:pt>
                <c:pt idx="111">
                  <c:v>-48.625</c:v>
                </c:pt>
                <c:pt idx="112">
                  <c:v>-47.874999999999993</c:v>
                </c:pt>
                <c:pt idx="113">
                  <c:v>-48.524999999999999</c:v>
                </c:pt>
              </c:numCache>
            </c:numRef>
          </c:xVal>
          <c:yVal>
            <c:numRef>
              <c:f>CONTROL!$R$7:$R$120</c:f>
              <c:numCache>
                <c:formatCode>General</c:formatCode>
                <c:ptCount val="114"/>
                <c:pt idx="0">
                  <c:v>0.62786841774371793</c:v>
                </c:pt>
                <c:pt idx="1">
                  <c:v>-0.22499999999999998</c:v>
                </c:pt>
                <c:pt idx="2">
                  <c:v>0.62786841774371793</c:v>
                </c:pt>
                <c:pt idx="3">
                  <c:v>-0.22499999999999998</c:v>
                </c:pt>
                <c:pt idx="4">
                  <c:v>0.56291651245988505</c:v>
                </c:pt>
                <c:pt idx="5">
                  <c:v>1.7537014426634883</c:v>
                </c:pt>
                <c:pt idx="6">
                  <c:v>1.7537014426634883</c:v>
                </c:pt>
                <c:pt idx="7">
                  <c:v>0.56291651245988505</c:v>
                </c:pt>
                <c:pt idx="9">
                  <c:v>-7.4999999999999997E-2</c:v>
                </c:pt>
                <c:pt idx="10">
                  <c:v>-7.4999999999999997E-2</c:v>
                </c:pt>
                <c:pt idx="11">
                  <c:v>-7.4999999999999997E-2</c:v>
                </c:pt>
                <c:pt idx="12">
                  <c:v>-7.4999999999999997E-2</c:v>
                </c:pt>
                <c:pt idx="13">
                  <c:v>-7.4999999999999997E-2</c:v>
                </c:pt>
                <c:pt idx="14">
                  <c:v>-7.4999999999999997E-2</c:v>
                </c:pt>
                <c:pt idx="15">
                  <c:v>-99</c:v>
                </c:pt>
                <c:pt idx="16">
                  <c:v>-99</c:v>
                </c:pt>
                <c:pt idx="17">
                  <c:v>-99</c:v>
                </c:pt>
                <c:pt idx="18">
                  <c:v>-99</c:v>
                </c:pt>
                <c:pt idx="20">
                  <c:v>6.4951905283832892E-2</c:v>
                </c:pt>
                <c:pt idx="21">
                  <c:v>0.23815698604072061</c:v>
                </c:pt>
                <c:pt idx="22">
                  <c:v>0.41136206679760834</c:v>
                </c:pt>
                <c:pt idx="23">
                  <c:v>0.58456714755449612</c:v>
                </c:pt>
                <c:pt idx="24">
                  <c:v>0.7577722283113838</c:v>
                </c:pt>
                <c:pt idx="25">
                  <c:v>0.93097730906827147</c:v>
                </c:pt>
                <c:pt idx="26">
                  <c:v>-98.935048094716166</c:v>
                </c:pt>
                <c:pt idx="27">
                  <c:v>-98.935048094716166</c:v>
                </c:pt>
                <c:pt idx="28">
                  <c:v>-98.935048094716166</c:v>
                </c:pt>
                <c:pt idx="29">
                  <c:v>-98.935048094716166</c:v>
                </c:pt>
                <c:pt idx="31">
                  <c:v>6.4951905283832892E-2</c:v>
                </c:pt>
                <c:pt idx="32">
                  <c:v>0.23815698604072061</c:v>
                </c:pt>
                <c:pt idx="33">
                  <c:v>0.41136206679760834</c:v>
                </c:pt>
                <c:pt idx="34">
                  <c:v>0.58456714755449612</c:v>
                </c:pt>
                <c:pt idx="35">
                  <c:v>0.7577722283113838</c:v>
                </c:pt>
                <c:pt idx="36">
                  <c:v>0.93097730906827147</c:v>
                </c:pt>
                <c:pt idx="37">
                  <c:v>-98.935048094716166</c:v>
                </c:pt>
                <c:pt idx="38">
                  <c:v>-98.935048094716166</c:v>
                </c:pt>
                <c:pt idx="39">
                  <c:v>-98.935048094716166</c:v>
                </c:pt>
                <c:pt idx="40">
                  <c:v>-98.935048094716166</c:v>
                </c:pt>
                <c:pt idx="42">
                  <c:v>-7.4999999999999997E-2</c:v>
                </c:pt>
                <c:pt idx="43">
                  <c:v>-7.4999999999999997E-2</c:v>
                </c:pt>
                <c:pt idx="44">
                  <c:v>-7.4999999999999997E-2</c:v>
                </c:pt>
                <c:pt idx="45">
                  <c:v>-7.4999999999999997E-2</c:v>
                </c:pt>
                <c:pt idx="46">
                  <c:v>-7.4999999999999997E-2</c:v>
                </c:pt>
                <c:pt idx="47">
                  <c:v>-7.4999999999999997E-2</c:v>
                </c:pt>
                <c:pt idx="48">
                  <c:v>-99</c:v>
                </c:pt>
                <c:pt idx="49">
                  <c:v>-99</c:v>
                </c:pt>
                <c:pt idx="50">
                  <c:v>-99</c:v>
                </c:pt>
                <c:pt idx="51">
                  <c:v>-99</c:v>
                </c:pt>
                <c:pt idx="53">
                  <c:v>6.4951905283832892E-2</c:v>
                </c:pt>
                <c:pt idx="54">
                  <c:v>0.23815698604072061</c:v>
                </c:pt>
                <c:pt idx="55">
                  <c:v>0.41136206679760834</c:v>
                </c:pt>
                <c:pt idx="56">
                  <c:v>0.58456714755449612</c:v>
                </c:pt>
                <c:pt idx="57">
                  <c:v>0.7577722283113838</c:v>
                </c:pt>
                <c:pt idx="58">
                  <c:v>0.93097730906827147</c:v>
                </c:pt>
                <c:pt idx="59">
                  <c:v>-98.935048094716166</c:v>
                </c:pt>
                <c:pt idx="60">
                  <c:v>-98.935048094716166</c:v>
                </c:pt>
                <c:pt idx="61">
                  <c:v>-98.935048094716166</c:v>
                </c:pt>
                <c:pt idx="62">
                  <c:v>-98.935048094716166</c:v>
                </c:pt>
                <c:pt idx="64">
                  <c:v>6.4951905283832892E-2</c:v>
                </c:pt>
                <c:pt idx="65">
                  <c:v>0.23815698604072061</c:v>
                </c:pt>
                <c:pt idx="66">
                  <c:v>0.41136206679760834</c:v>
                </c:pt>
                <c:pt idx="67">
                  <c:v>0.58456714755449612</c:v>
                </c:pt>
                <c:pt idx="68">
                  <c:v>0.7577722283113838</c:v>
                </c:pt>
                <c:pt idx="69">
                  <c:v>0.93097730906827147</c:v>
                </c:pt>
                <c:pt idx="70">
                  <c:v>-98.935048094716166</c:v>
                </c:pt>
                <c:pt idx="71">
                  <c:v>-98.935048094716166</c:v>
                </c:pt>
                <c:pt idx="72">
                  <c:v>-98.935048094716166</c:v>
                </c:pt>
                <c:pt idx="73">
                  <c:v>-98.935048094716166</c:v>
                </c:pt>
                <c:pt idx="75">
                  <c:v>0.88767603887904956</c:v>
                </c:pt>
                <c:pt idx="76">
                  <c:v>1.883605253231154</c:v>
                </c:pt>
                <c:pt idx="77">
                  <c:v>0.71447095812216188</c:v>
                </c:pt>
                <c:pt idx="78">
                  <c:v>1.7104001724742663</c:v>
                </c:pt>
                <c:pt idx="79">
                  <c:v>0.54126587736527398</c:v>
                </c:pt>
                <c:pt idx="80">
                  <c:v>1.5371950917173784</c:v>
                </c:pt>
                <c:pt idx="81">
                  <c:v>0.36806079660838636</c:v>
                </c:pt>
                <c:pt idx="82">
                  <c:v>1.3639900109604908</c:v>
                </c:pt>
                <c:pt idx="83">
                  <c:v>86.797396094295365</c:v>
                </c:pt>
                <c:pt idx="84">
                  <c:v>87.793325308647468</c:v>
                </c:pt>
                <c:pt idx="85">
                  <c:v>86.624191013538479</c:v>
                </c:pt>
                <c:pt idx="86">
                  <c:v>87.620120227890581</c:v>
                </c:pt>
                <c:pt idx="87">
                  <c:v>86.450985932781578</c:v>
                </c:pt>
                <c:pt idx="88">
                  <c:v>87.44691514713368</c:v>
                </c:pt>
                <c:pt idx="89">
                  <c:v>86.277780852024691</c:v>
                </c:pt>
                <c:pt idx="90">
                  <c:v>87.273710066376793</c:v>
                </c:pt>
                <c:pt idx="91">
                  <c:v>86.104575771267804</c:v>
                </c:pt>
                <c:pt idx="92">
                  <c:v>87.100504985619907</c:v>
                </c:pt>
                <c:pt idx="93">
                  <c:v>85.931370690510917</c:v>
                </c:pt>
                <c:pt idx="94">
                  <c:v>86.92729990486302</c:v>
                </c:pt>
                <c:pt idx="96">
                  <c:v>0.36806079660838642</c:v>
                </c:pt>
                <c:pt idx="97">
                  <c:v>1.363990010960491</c:v>
                </c:pt>
                <c:pt idx="98">
                  <c:v>0.54126587736527421</c:v>
                </c:pt>
                <c:pt idx="99">
                  <c:v>1.5371950917173787</c:v>
                </c:pt>
                <c:pt idx="100">
                  <c:v>0.71447095812216188</c:v>
                </c:pt>
                <c:pt idx="101">
                  <c:v>1.7104001724742663</c:v>
                </c:pt>
                <c:pt idx="102">
                  <c:v>0.88767603887904956</c:v>
                </c:pt>
                <c:pt idx="103">
                  <c:v>1.883605253231154</c:v>
                </c:pt>
                <c:pt idx="104">
                  <c:v>-85.541659258807911</c:v>
                </c:pt>
                <c:pt idx="105">
                  <c:v>-84.545730044455809</c:v>
                </c:pt>
                <c:pt idx="106">
                  <c:v>-85.368454178051024</c:v>
                </c:pt>
                <c:pt idx="107">
                  <c:v>-84.372524963698922</c:v>
                </c:pt>
                <c:pt idx="108">
                  <c:v>-85.130297192010303</c:v>
                </c:pt>
                <c:pt idx="109">
                  <c:v>-84.264271788225869</c:v>
                </c:pt>
                <c:pt idx="110">
                  <c:v>-84.957092111253417</c:v>
                </c:pt>
                <c:pt idx="111">
                  <c:v>-84.091066707468983</c:v>
                </c:pt>
                <c:pt idx="112">
                  <c:v>-84.78388703049653</c:v>
                </c:pt>
                <c:pt idx="113">
                  <c:v>-83.917861626712096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CONTROL!$S$7:$S$120</c15:f>
                <c15:dlblRangeCache>
                  <c:ptCount val="114"/>
                  <c:pt idx="0">
                    <c:v>Magnesium (Mg²⁺)</c:v>
                  </c:pt>
                  <c:pt idx="1">
                    <c:v>Calcium (Ca²⁺)</c:v>
                  </c:pt>
                  <c:pt idx="2">
                    <c:v>Sulfate (SO₄²⁻)</c:v>
                  </c:pt>
                  <c:pt idx="3">
                    <c:v>Chloride (Cl⁻) + Fluoride (F⁻)</c:v>
                  </c:pt>
                  <c:pt idx="4">
                    <c:v>Sodium (Na⁺) + Potassium (K⁺)</c:v>
                  </c:pt>
                  <c:pt idx="5">
                    <c:v>Chloride (Cl⁻) + Fluoride (F⁻) + Sulfate (SO₄²⁻)</c:v>
                  </c:pt>
                  <c:pt idx="6">
                    <c:v>Calcium (Ca²⁺) + Magnesium (Mg²⁺)</c:v>
                  </c:pt>
                  <c:pt idx="7">
                    <c:v>Bicarbonate (HCO₃⁻) + Carbonate (CO₃⁻)</c:v>
                  </c:pt>
                  <c:pt idx="9">
                    <c:v>100</c:v>
                  </c:pt>
                  <c:pt idx="10">
                    <c:v>80</c:v>
                  </c:pt>
                  <c:pt idx="11">
                    <c:v>60</c:v>
                  </c:pt>
                  <c:pt idx="12">
                    <c:v>40</c:v>
                  </c:pt>
                  <c:pt idx="13">
                    <c:v>20</c:v>
                  </c:pt>
                  <c:pt idx="14">
                    <c:v>0</c:v>
                  </c:pt>
                  <c:pt idx="15">
                    <c:v>-20</c:v>
                  </c:pt>
                  <c:pt idx="16">
                    <c:v>-40</c:v>
                  </c:pt>
                  <c:pt idx="17">
                    <c:v>-60</c:v>
                  </c:pt>
                  <c:pt idx="18">
                    <c:v>-80</c:v>
                  </c:pt>
                  <c:pt idx="20">
                    <c:v>0</c:v>
                  </c:pt>
                  <c:pt idx="21">
                    <c:v>20</c:v>
                  </c:pt>
                  <c:pt idx="22">
                    <c:v>40</c:v>
                  </c:pt>
                  <c:pt idx="23">
                    <c:v>60</c:v>
                  </c:pt>
                  <c:pt idx="24">
                    <c:v>80</c:v>
                  </c:pt>
                  <c:pt idx="25">
                    <c:v>100</c:v>
                  </c:pt>
                  <c:pt idx="26">
                    <c:v>120</c:v>
                  </c:pt>
                  <c:pt idx="27">
                    <c:v>140</c:v>
                  </c:pt>
                  <c:pt idx="28">
                    <c:v>160</c:v>
                  </c:pt>
                  <c:pt idx="29">
                    <c:v>180</c:v>
                  </c:pt>
                  <c:pt idx="31">
                    <c:v>100</c:v>
                  </c:pt>
                  <c:pt idx="32">
                    <c:v>80</c:v>
                  </c:pt>
                  <c:pt idx="33">
                    <c:v>60</c:v>
                  </c:pt>
                  <c:pt idx="34">
                    <c:v>40</c:v>
                  </c:pt>
                  <c:pt idx="35">
                    <c:v>20</c:v>
                  </c:pt>
                  <c:pt idx="36">
                    <c:v>0</c:v>
                  </c:pt>
                  <c:pt idx="37">
                    <c:v>-20</c:v>
                  </c:pt>
                  <c:pt idx="38">
                    <c:v>-40</c:v>
                  </c:pt>
                  <c:pt idx="39">
                    <c:v>-60</c:v>
                  </c:pt>
                  <c:pt idx="40">
                    <c:v>-80</c:v>
                  </c:pt>
                  <c:pt idx="42">
                    <c:v>0</c:v>
                  </c:pt>
                  <c:pt idx="43">
                    <c:v>20</c:v>
                  </c:pt>
                  <c:pt idx="44">
                    <c:v>40</c:v>
                  </c:pt>
                  <c:pt idx="45">
                    <c:v>60</c:v>
                  </c:pt>
                  <c:pt idx="46">
                    <c:v>80</c:v>
                  </c:pt>
                  <c:pt idx="47">
                    <c:v>100</c:v>
                  </c:pt>
                  <c:pt idx="48">
                    <c:v>120</c:v>
                  </c:pt>
                  <c:pt idx="49">
                    <c:v>140</c:v>
                  </c:pt>
                  <c:pt idx="50">
                    <c:v>160</c:v>
                  </c:pt>
                  <c:pt idx="51">
                    <c:v>180</c:v>
                  </c:pt>
                  <c:pt idx="53">
                    <c:v>100</c:v>
                  </c:pt>
                  <c:pt idx="54">
                    <c:v>80</c:v>
                  </c:pt>
                  <c:pt idx="55">
                    <c:v>60</c:v>
                  </c:pt>
                  <c:pt idx="56">
                    <c:v>40</c:v>
                  </c:pt>
                  <c:pt idx="57">
                    <c:v>20</c:v>
                  </c:pt>
                  <c:pt idx="58">
                    <c:v>0</c:v>
                  </c:pt>
                  <c:pt idx="59">
                    <c:v>-20</c:v>
                  </c:pt>
                  <c:pt idx="60">
                    <c:v>-40</c:v>
                  </c:pt>
                  <c:pt idx="61">
                    <c:v>-60</c:v>
                  </c:pt>
                  <c:pt idx="62">
                    <c:v>-80</c:v>
                  </c:pt>
                  <c:pt idx="64">
                    <c:v>0</c:v>
                  </c:pt>
                  <c:pt idx="65">
                    <c:v>20</c:v>
                  </c:pt>
                  <c:pt idx="66">
                    <c:v>40</c:v>
                  </c:pt>
                  <c:pt idx="67">
                    <c:v>60</c:v>
                  </c:pt>
                  <c:pt idx="68">
                    <c:v>80</c:v>
                  </c:pt>
                  <c:pt idx="69">
                    <c:v>100</c:v>
                  </c:pt>
                  <c:pt idx="70">
                    <c:v>120</c:v>
                  </c:pt>
                  <c:pt idx="71">
                    <c:v>140</c:v>
                  </c:pt>
                  <c:pt idx="72">
                    <c:v>160</c:v>
                  </c:pt>
                  <c:pt idx="73">
                    <c:v>180</c:v>
                  </c:pt>
                  <c:pt idx="75">
                    <c:v>20</c:v>
                  </c:pt>
                  <c:pt idx="76">
                    <c:v>80</c:v>
                  </c:pt>
                  <c:pt idx="77">
                    <c:v>40</c:v>
                  </c:pt>
                  <c:pt idx="78">
                    <c:v>60</c:v>
                  </c:pt>
                  <c:pt idx="79">
                    <c:v>60</c:v>
                  </c:pt>
                  <c:pt idx="80">
                    <c:v>40</c:v>
                  </c:pt>
                  <c:pt idx="81">
                    <c:v>80</c:v>
                  </c:pt>
                  <c:pt idx="82">
                    <c:v>20</c:v>
                  </c:pt>
                  <c:pt idx="83">
                    <c:v>100</c:v>
                  </c:pt>
                  <c:pt idx="84">
                    <c:v>0</c:v>
                  </c:pt>
                  <c:pt idx="85">
                    <c:v>120</c:v>
                  </c:pt>
                  <c:pt idx="86">
                    <c:v>-20</c:v>
                  </c:pt>
                  <c:pt idx="87">
                    <c:v>140</c:v>
                  </c:pt>
                  <c:pt idx="88">
                    <c:v>-40</c:v>
                  </c:pt>
                  <c:pt idx="89">
                    <c:v>160</c:v>
                  </c:pt>
                  <c:pt idx="90">
                    <c:v>-60</c:v>
                  </c:pt>
                  <c:pt idx="91">
                    <c:v>180</c:v>
                  </c:pt>
                  <c:pt idx="92">
                    <c:v>-80</c:v>
                  </c:pt>
                  <c:pt idx="93">
                    <c:v>200</c:v>
                  </c:pt>
                  <c:pt idx="94">
                    <c:v>-100</c:v>
                  </c:pt>
                  <c:pt idx="96">
                    <c:v>80</c:v>
                  </c:pt>
                  <c:pt idx="97">
                    <c:v>20</c:v>
                  </c:pt>
                  <c:pt idx="98">
                    <c:v>60</c:v>
                  </c:pt>
                  <c:pt idx="99">
                    <c:v>40</c:v>
                  </c:pt>
                  <c:pt idx="100">
                    <c:v>40</c:v>
                  </c:pt>
                  <c:pt idx="101">
                    <c:v>60</c:v>
                  </c:pt>
                  <c:pt idx="102">
                    <c:v>20</c:v>
                  </c:pt>
                  <c:pt idx="103">
                    <c:v>80</c:v>
                  </c:pt>
                  <c:pt idx="104">
                    <c:v>0</c:v>
                  </c:pt>
                  <c:pt idx="105">
                    <c:v>100</c:v>
                  </c:pt>
                  <c:pt idx="106">
                    <c:v>-20</c:v>
                  </c:pt>
                  <c:pt idx="107">
                    <c:v>120</c:v>
                  </c:pt>
                  <c:pt idx="108">
                    <c:v>-40</c:v>
                  </c:pt>
                  <c:pt idx="109">
                    <c:v>140</c:v>
                  </c:pt>
                  <c:pt idx="110">
                    <c:v>-60</c:v>
                  </c:pt>
                  <c:pt idx="111">
                    <c:v>160</c:v>
                  </c:pt>
                  <c:pt idx="112">
                    <c:v>-80</c:v>
                  </c:pt>
                  <c:pt idx="113">
                    <c:v>180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80-8D4D-46D3-BF0A-309073C0C811}"/>
            </c:ext>
          </c:extLst>
        </c:ser>
        <c:ser>
          <c:idx val="15"/>
          <c:order val="15"/>
          <c:tx>
            <c:strRef>
              <c:f>CONTROL!$Y$6</c:f>
              <c:strCache>
                <c:ptCount val="1"/>
                <c:pt idx="0">
                  <c:v>USW VH-1_KEEP</c:v>
                </c:pt>
              </c:strCache>
            </c:strRef>
          </c:tx>
          <c:spPr>
            <a:ln w="25400" cap="rnd">
              <a:solidFill>
                <a:schemeClr val="tx1">
                  <a:lumMod val="95000"/>
                  <a:lumOff val="5000"/>
                  <a:alpha val="4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CONTROL!$X$7:$X$9</c:f>
              <c:numCache>
                <c:formatCode>General</c:formatCode>
                <c:ptCount val="3"/>
                <c:pt idx="0">
                  <c:v>0.86348667410862623</c:v>
                </c:pt>
                <c:pt idx="1">
                  <c:v>1.2398939628085981</c:v>
                </c:pt>
                <c:pt idx="2">
                  <c:v>1.5180918368269856</c:v>
                </c:pt>
              </c:numCache>
            </c:numRef>
          </c:xVal>
          <c:yVal>
            <c:numRef>
              <c:f>CONTROL!$Y$7:$Y$9</c:f>
              <c:numCache>
                <c:formatCode>General</c:formatCode>
                <c:ptCount val="3"/>
                <c:pt idx="0">
                  <c:v>2.601811029944821E-2</c:v>
                </c:pt>
                <c:pt idx="1">
                  <c:v>0.67797465866704609</c:v>
                </c:pt>
                <c:pt idx="2">
                  <c:v>0.19612180630955353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5A-4C6C-A866-F87876FD5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546815"/>
        <c:axId val="1002876735"/>
      </c:scatterChart>
      <c:valAx>
        <c:axId val="996546815"/>
        <c:scaling>
          <c:orientation val="minMax"/>
          <c:max val="2.5"/>
          <c:min val="-0.30000000000000004"/>
        </c:scaling>
        <c:delete val="1"/>
        <c:axPos val="b"/>
        <c:numFmt formatCode="General" sourceLinked="1"/>
        <c:majorTickMark val="none"/>
        <c:minorTickMark val="none"/>
        <c:tickLblPos val="nextTo"/>
        <c:crossAx val="1002876735"/>
        <c:crosses val="autoZero"/>
        <c:crossBetween val="midCat"/>
      </c:valAx>
      <c:valAx>
        <c:axId val="1002876735"/>
        <c:scaling>
          <c:orientation val="minMax"/>
          <c:max val="2.2000000000000002"/>
          <c:min val="-0.30000000000000004"/>
        </c:scaling>
        <c:delete val="1"/>
        <c:axPos val="l"/>
        <c:numFmt formatCode="General" sourceLinked="1"/>
        <c:majorTickMark val="out"/>
        <c:minorTickMark val="none"/>
        <c:tickLblPos val="nextTo"/>
        <c:crossAx val="9965468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67911599591717708"/>
          <c:y val="3.4657754672607996E-2"/>
          <c:w val="0.3137962962962963"/>
          <c:h val="0.3133565879460017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048556430446191E-2"/>
          <c:y val="0.12984582635831937"/>
          <c:w val="0.90695144356955382"/>
          <c:h val="0.68208558083782833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CONTROL!$BW$6</c:f>
              <c:strCache>
                <c:ptCount val="1"/>
                <c:pt idx="0">
                  <c:v>CATION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CONTROL!$BW$7:$BW$208</c:f>
              <c:numCache>
                <c:formatCode>General</c:formatCode>
                <c:ptCount val="202"/>
                <c:pt idx="0">
                  <c:v>0.2</c:v>
                </c:pt>
                <c:pt idx="1">
                  <c:v>3.4848929167377003</c:v>
                </c:pt>
                <c:pt idx="2">
                  <c:v>0.2</c:v>
                </c:pt>
                <c:pt idx="3">
                  <c:v>3.425175098323106</c:v>
                </c:pt>
                <c:pt idx="4">
                  <c:v>0.2</c:v>
                </c:pt>
                <c:pt idx="5">
                  <c:v>3.3654572799085116</c:v>
                </c:pt>
                <c:pt idx="6">
                  <c:v>0.2</c:v>
                </c:pt>
                <c:pt idx="7">
                  <c:v>3.3057394614939173</c:v>
                </c:pt>
                <c:pt idx="8">
                  <c:v>0.2</c:v>
                </c:pt>
                <c:pt idx="9">
                  <c:v>3.2460216430793229</c:v>
                </c:pt>
                <c:pt idx="10">
                  <c:v>0.2</c:v>
                </c:pt>
                <c:pt idx="11">
                  <c:v>3.1863038246647286</c:v>
                </c:pt>
                <c:pt idx="12">
                  <c:v>0.2</c:v>
                </c:pt>
                <c:pt idx="13">
                  <c:v>3.1265860062501343</c:v>
                </c:pt>
                <c:pt idx="14">
                  <c:v>0.2</c:v>
                </c:pt>
                <c:pt idx="15">
                  <c:v>3.0668681878355399</c:v>
                </c:pt>
                <c:pt idx="16">
                  <c:v>0.2</c:v>
                </c:pt>
                <c:pt idx="17">
                  <c:v>3.0071503694209456</c:v>
                </c:pt>
                <c:pt idx="18">
                  <c:v>0.2</c:v>
                </c:pt>
                <c:pt idx="19">
                  <c:v>2.9474325510063517</c:v>
                </c:pt>
                <c:pt idx="20">
                  <c:v>0.2</c:v>
                </c:pt>
                <c:pt idx="21">
                  <c:v>2.8877147325917569</c:v>
                </c:pt>
                <c:pt idx="22">
                  <c:v>0.2</c:v>
                </c:pt>
                <c:pt idx="23">
                  <c:v>2.8279969141771626</c:v>
                </c:pt>
                <c:pt idx="24">
                  <c:v>0.2</c:v>
                </c:pt>
                <c:pt idx="25">
                  <c:v>2.7682790957625683</c:v>
                </c:pt>
                <c:pt idx="26">
                  <c:v>0.2</c:v>
                </c:pt>
                <c:pt idx="27">
                  <c:v>2.7085612773479739</c:v>
                </c:pt>
                <c:pt idx="28">
                  <c:v>0.2</c:v>
                </c:pt>
                <c:pt idx="29">
                  <c:v>2.6488434589333796</c:v>
                </c:pt>
                <c:pt idx="30">
                  <c:v>0.2</c:v>
                </c:pt>
                <c:pt idx="31">
                  <c:v>2.5891256405187852</c:v>
                </c:pt>
                <c:pt idx="32">
                  <c:v>0.2</c:v>
                </c:pt>
                <c:pt idx="33">
                  <c:v>2.5294078221041909</c:v>
                </c:pt>
                <c:pt idx="34">
                  <c:v>0.2</c:v>
                </c:pt>
                <c:pt idx="35">
                  <c:v>2.4696900036895966</c:v>
                </c:pt>
                <c:pt idx="36">
                  <c:v>0.2</c:v>
                </c:pt>
                <c:pt idx="37">
                  <c:v>2.4099721852750022</c:v>
                </c:pt>
                <c:pt idx="38">
                  <c:v>0.2</c:v>
                </c:pt>
                <c:pt idx="39">
                  <c:v>2.3502543668604075</c:v>
                </c:pt>
                <c:pt idx="40">
                  <c:v>0.2</c:v>
                </c:pt>
                <c:pt idx="41">
                  <c:v>2.2905365484458136</c:v>
                </c:pt>
                <c:pt idx="42">
                  <c:v>0.2</c:v>
                </c:pt>
                <c:pt idx="43">
                  <c:v>2.2308187300312188</c:v>
                </c:pt>
                <c:pt idx="44">
                  <c:v>0.2</c:v>
                </c:pt>
                <c:pt idx="45">
                  <c:v>2.1711009116166249</c:v>
                </c:pt>
                <c:pt idx="46">
                  <c:v>0.2</c:v>
                </c:pt>
                <c:pt idx="47">
                  <c:v>2.1113830932020301</c:v>
                </c:pt>
                <c:pt idx="48">
                  <c:v>0.2</c:v>
                </c:pt>
                <c:pt idx="49">
                  <c:v>2.0516652747874358</c:v>
                </c:pt>
                <c:pt idx="50">
                  <c:v>0.2</c:v>
                </c:pt>
                <c:pt idx="51">
                  <c:v>1.9919474563728414</c:v>
                </c:pt>
                <c:pt idx="52">
                  <c:v>0.2</c:v>
                </c:pt>
                <c:pt idx="53">
                  <c:v>1.9322296379582471</c:v>
                </c:pt>
                <c:pt idx="54">
                  <c:v>0.2</c:v>
                </c:pt>
                <c:pt idx="55">
                  <c:v>1.8725118195436528</c:v>
                </c:pt>
                <c:pt idx="56">
                  <c:v>0.2</c:v>
                </c:pt>
                <c:pt idx="57">
                  <c:v>1.8127940011290582</c:v>
                </c:pt>
                <c:pt idx="58">
                  <c:v>0.2</c:v>
                </c:pt>
                <c:pt idx="59">
                  <c:v>1.7530761827144639</c:v>
                </c:pt>
                <c:pt idx="60">
                  <c:v>0.2</c:v>
                </c:pt>
                <c:pt idx="61">
                  <c:v>1.6933583642998695</c:v>
                </c:pt>
                <c:pt idx="62">
                  <c:v>0.2</c:v>
                </c:pt>
                <c:pt idx="63">
                  <c:v>1.6336405458852752</c:v>
                </c:pt>
                <c:pt idx="64">
                  <c:v>0.2</c:v>
                </c:pt>
                <c:pt idx="65">
                  <c:v>1.5739227274706808</c:v>
                </c:pt>
                <c:pt idx="66">
                  <c:v>0.2</c:v>
                </c:pt>
                <c:pt idx="67">
                  <c:v>1.5142049090560863</c:v>
                </c:pt>
                <c:pt idx="68">
                  <c:v>0.2</c:v>
                </c:pt>
                <c:pt idx="69">
                  <c:v>1.454487090641492</c:v>
                </c:pt>
                <c:pt idx="70">
                  <c:v>0.2</c:v>
                </c:pt>
                <c:pt idx="71">
                  <c:v>1.3947692722268976</c:v>
                </c:pt>
                <c:pt idx="72">
                  <c:v>0.2</c:v>
                </c:pt>
                <c:pt idx="73">
                  <c:v>1.3350514538123033</c:v>
                </c:pt>
                <c:pt idx="74">
                  <c:v>0.2</c:v>
                </c:pt>
                <c:pt idx="75">
                  <c:v>1.2753336353977089</c:v>
                </c:pt>
                <c:pt idx="76">
                  <c:v>0.2</c:v>
                </c:pt>
                <c:pt idx="77">
                  <c:v>1.2156158169831146</c:v>
                </c:pt>
                <c:pt idx="78">
                  <c:v>0.2</c:v>
                </c:pt>
                <c:pt idx="79">
                  <c:v>1.1558979985685203</c:v>
                </c:pt>
                <c:pt idx="80">
                  <c:v>0.2</c:v>
                </c:pt>
                <c:pt idx="81">
                  <c:v>1.0961801801539259</c:v>
                </c:pt>
                <c:pt idx="82">
                  <c:v>0.2</c:v>
                </c:pt>
                <c:pt idx="83">
                  <c:v>1.0364623617393312</c:v>
                </c:pt>
                <c:pt idx="84">
                  <c:v>0.2</c:v>
                </c:pt>
                <c:pt idx="85">
                  <c:v>0.97674454332473681</c:v>
                </c:pt>
                <c:pt idx="86">
                  <c:v>0.2</c:v>
                </c:pt>
                <c:pt idx="87">
                  <c:v>0.91702672491014248</c:v>
                </c:pt>
                <c:pt idx="88">
                  <c:v>0.2</c:v>
                </c:pt>
                <c:pt idx="89">
                  <c:v>0.85730890649554814</c:v>
                </c:pt>
                <c:pt idx="90">
                  <c:v>0.2</c:v>
                </c:pt>
                <c:pt idx="91">
                  <c:v>0.79759108808095425</c:v>
                </c:pt>
                <c:pt idx="92">
                  <c:v>0.2</c:v>
                </c:pt>
                <c:pt idx="93">
                  <c:v>0.73787326966635991</c:v>
                </c:pt>
                <c:pt idx="94">
                  <c:v>0.2</c:v>
                </c:pt>
                <c:pt idx="95">
                  <c:v>0.67815545125176557</c:v>
                </c:pt>
                <c:pt idx="96">
                  <c:v>0.2</c:v>
                </c:pt>
                <c:pt idx="97">
                  <c:v>0.61843763283717079</c:v>
                </c:pt>
                <c:pt idx="98">
                  <c:v>0.2</c:v>
                </c:pt>
                <c:pt idx="99">
                  <c:v>0.55871981442257646</c:v>
                </c:pt>
                <c:pt idx="100">
                  <c:v>0.2</c:v>
                </c:pt>
                <c:pt idx="101">
                  <c:v>0.49900199600798389</c:v>
                </c:pt>
                <c:pt idx="102">
                  <c:v>0.2</c:v>
                </c:pt>
                <c:pt idx="103">
                  <c:v>0.49149737778403435</c:v>
                </c:pt>
                <c:pt idx="104">
                  <c:v>0.2</c:v>
                </c:pt>
                <c:pt idx="105">
                  <c:v>0.48399275956008475</c:v>
                </c:pt>
                <c:pt idx="106">
                  <c:v>0.2</c:v>
                </c:pt>
                <c:pt idx="107">
                  <c:v>0.47648814133613521</c:v>
                </c:pt>
                <c:pt idx="108">
                  <c:v>0.2</c:v>
                </c:pt>
                <c:pt idx="109">
                  <c:v>0.46898352311218566</c:v>
                </c:pt>
                <c:pt idx="110">
                  <c:v>0.2</c:v>
                </c:pt>
                <c:pt idx="111">
                  <c:v>0.46147890488823606</c:v>
                </c:pt>
                <c:pt idx="112">
                  <c:v>0.2</c:v>
                </c:pt>
                <c:pt idx="113">
                  <c:v>0.45397428666428652</c:v>
                </c:pt>
                <c:pt idx="114">
                  <c:v>0.2</c:v>
                </c:pt>
                <c:pt idx="115">
                  <c:v>0.44646966844033698</c:v>
                </c:pt>
                <c:pt idx="116">
                  <c:v>0.2</c:v>
                </c:pt>
                <c:pt idx="117">
                  <c:v>0.43896505021638743</c:v>
                </c:pt>
                <c:pt idx="118">
                  <c:v>0.2</c:v>
                </c:pt>
                <c:pt idx="119">
                  <c:v>0.43146043199243783</c:v>
                </c:pt>
                <c:pt idx="120">
                  <c:v>0.2</c:v>
                </c:pt>
                <c:pt idx="121">
                  <c:v>0.42395581376848829</c:v>
                </c:pt>
                <c:pt idx="122">
                  <c:v>0.2</c:v>
                </c:pt>
                <c:pt idx="123">
                  <c:v>0.41645119554453874</c:v>
                </c:pt>
                <c:pt idx="124">
                  <c:v>0.2</c:v>
                </c:pt>
                <c:pt idx="125">
                  <c:v>0.40894657732058914</c:v>
                </c:pt>
                <c:pt idx="126">
                  <c:v>0.2</c:v>
                </c:pt>
                <c:pt idx="127">
                  <c:v>0.4014419590966396</c:v>
                </c:pt>
                <c:pt idx="128">
                  <c:v>0.2</c:v>
                </c:pt>
                <c:pt idx="129">
                  <c:v>0.39393734087269006</c:v>
                </c:pt>
                <c:pt idx="130">
                  <c:v>0.2</c:v>
                </c:pt>
                <c:pt idx="131">
                  <c:v>0.38643272264874051</c:v>
                </c:pt>
                <c:pt idx="132">
                  <c:v>0.2</c:v>
                </c:pt>
                <c:pt idx="133">
                  <c:v>0.37892810442479097</c:v>
                </c:pt>
                <c:pt idx="134">
                  <c:v>0.2</c:v>
                </c:pt>
                <c:pt idx="135">
                  <c:v>0.37142348620084137</c:v>
                </c:pt>
                <c:pt idx="136">
                  <c:v>0.2</c:v>
                </c:pt>
                <c:pt idx="137">
                  <c:v>0.36391886797689177</c:v>
                </c:pt>
                <c:pt idx="138">
                  <c:v>0.2</c:v>
                </c:pt>
                <c:pt idx="139">
                  <c:v>0.35641424975294222</c:v>
                </c:pt>
                <c:pt idx="140">
                  <c:v>0.2</c:v>
                </c:pt>
                <c:pt idx="141">
                  <c:v>0.34890963152899268</c:v>
                </c:pt>
                <c:pt idx="142">
                  <c:v>0.2</c:v>
                </c:pt>
                <c:pt idx="143">
                  <c:v>0.34140501330504314</c:v>
                </c:pt>
                <c:pt idx="144">
                  <c:v>0.2</c:v>
                </c:pt>
                <c:pt idx="145">
                  <c:v>0.33390039508109359</c:v>
                </c:pt>
                <c:pt idx="146">
                  <c:v>0.2</c:v>
                </c:pt>
                <c:pt idx="147">
                  <c:v>0.32639577685714405</c:v>
                </c:pt>
                <c:pt idx="148">
                  <c:v>0.2</c:v>
                </c:pt>
                <c:pt idx="149">
                  <c:v>0.31889115863319445</c:v>
                </c:pt>
                <c:pt idx="150">
                  <c:v>0.2</c:v>
                </c:pt>
                <c:pt idx="151">
                  <c:v>0.31138654040924491</c:v>
                </c:pt>
                <c:pt idx="152">
                  <c:v>0.2</c:v>
                </c:pt>
                <c:pt idx="153">
                  <c:v>0.30388192218529531</c:v>
                </c:pt>
                <c:pt idx="154">
                  <c:v>0.2</c:v>
                </c:pt>
                <c:pt idx="155">
                  <c:v>0.29637730396134576</c:v>
                </c:pt>
                <c:pt idx="156">
                  <c:v>0.2</c:v>
                </c:pt>
                <c:pt idx="157">
                  <c:v>0.28887268573739622</c:v>
                </c:pt>
                <c:pt idx="158">
                  <c:v>0.2</c:v>
                </c:pt>
                <c:pt idx="159">
                  <c:v>0.28136806751344667</c:v>
                </c:pt>
                <c:pt idx="160">
                  <c:v>0.2</c:v>
                </c:pt>
                <c:pt idx="161">
                  <c:v>0.27386344928949713</c:v>
                </c:pt>
                <c:pt idx="162">
                  <c:v>0.2</c:v>
                </c:pt>
                <c:pt idx="163">
                  <c:v>0.26635883106554753</c:v>
                </c:pt>
                <c:pt idx="164">
                  <c:v>0.2</c:v>
                </c:pt>
                <c:pt idx="165">
                  <c:v>0.25885421284159799</c:v>
                </c:pt>
                <c:pt idx="166">
                  <c:v>0.2</c:v>
                </c:pt>
                <c:pt idx="167">
                  <c:v>0.25134959461764839</c:v>
                </c:pt>
                <c:pt idx="168">
                  <c:v>0.2</c:v>
                </c:pt>
                <c:pt idx="169">
                  <c:v>0.24384497639369884</c:v>
                </c:pt>
                <c:pt idx="170">
                  <c:v>0.2</c:v>
                </c:pt>
                <c:pt idx="171">
                  <c:v>0.2363403581697493</c:v>
                </c:pt>
                <c:pt idx="172">
                  <c:v>0.2</c:v>
                </c:pt>
                <c:pt idx="173">
                  <c:v>0.2288357399457997</c:v>
                </c:pt>
                <c:pt idx="174">
                  <c:v>0.2</c:v>
                </c:pt>
                <c:pt idx="175">
                  <c:v>0.22133112172185015</c:v>
                </c:pt>
                <c:pt idx="176">
                  <c:v>0.2</c:v>
                </c:pt>
                <c:pt idx="177">
                  <c:v>0.21382650349790061</c:v>
                </c:pt>
                <c:pt idx="178">
                  <c:v>0.2</c:v>
                </c:pt>
                <c:pt idx="179">
                  <c:v>0.20632188527395107</c:v>
                </c:pt>
                <c:pt idx="180">
                  <c:v>0.2</c:v>
                </c:pt>
                <c:pt idx="181">
                  <c:v>0.19881726705000147</c:v>
                </c:pt>
                <c:pt idx="182">
                  <c:v>0.2</c:v>
                </c:pt>
                <c:pt idx="183">
                  <c:v>0.19131264882605192</c:v>
                </c:pt>
                <c:pt idx="184">
                  <c:v>0.2</c:v>
                </c:pt>
                <c:pt idx="185">
                  <c:v>0.18380803060210238</c:v>
                </c:pt>
                <c:pt idx="186">
                  <c:v>0.2</c:v>
                </c:pt>
                <c:pt idx="187">
                  <c:v>0.17630341237815284</c:v>
                </c:pt>
                <c:pt idx="188">
                  <c:v>0.2</c:v>
                </c:pt>
                <c:pt idx="189">
                  <c:v>0.16879879415420324</c:v>
                </c:pt>
                <c:pt idx="190">
                  <c:v>0.2</c:v>
                </c:pt>
                <c:pt idx="191">
                  <c:v>0.16129417593025369</c:v>
                </c:pt>
                <c:pt idx="192">
                  <c:v>0.2</c:v>
                </c:pt>
                <c:pt idx="193">
                  <c:v>0.15378955770630415</c:v>
                </c:pt>
                <c:pt idx="194">
                  <c:v>0.2</c:v>
                </c:pt>
                <c:pt idx="195">
                  <c:v>0.14628493948235455</c:v>
                </c:pt>
                <c:pt idx="196">
                  <c:v>0.2</c:v>
                </c:pt>
                <c:pt idx="197">
                  <c:v>0.138780321258405</c:v>
                </c:pt>
                <c:pt idx="198">
                  <c:v>0.2</c:v>
                </c:pt>
                <c:pt idx="199">
                  <c:v>0.13127570303445546</c:v>
                </c:pt>
                <c:pt idx="200">
                  <c:v>0.2</c:v>
                </c:pt>
                <c:pt idx="201">
                  <c:v>0.12377108481050592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D-47A5-B45A-2FA8DD5692ED}"/>
            </c:ext>
          </c:extLst>
        </c:ser>
        <c:ser>
          <c:idx val="1"/>
          <c:order val="1"/>
          <c:tx>
            <c:strRef>
              <c:f>CONTROL!$BX$6</c:f>
              <c:strCache>
                <c:ptCount val="1"/>
                <c:pt idx="0">
                  <c:v>ANION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CONTROL!$BX$7:$BX$208</c:f>
              <c:numCache>
                <c:formatCode>General</c:formatCode>
                <c:ptCount val="202"/>
                <c:pt idx="0">
                  <c:v>-0.2</c:v>
                </c:pt>
                <c:pt idx="1">
                  <c:v>-2.7049180327868854</c:v>
                </c:pt>
                <c:pt idx="2">
                  <c:v>-0.2</c:v>
                </c:pt>
                <c:pt idx="3">
                  <c:v>-2.6691412491192468</c:v>
                </c:pt>
                <c:pt idx="4">
                  <c:v>-0.2</c:v>
                </c:pt>
                <c:pt idx="5">
                  <c:v>-2.6333644654516086</c:v>
                </c:pt>
                <c:pt idx="6">
                  <c:v>-0.2</c:v>
                </c:pt>
                <c:pt idx="7">
                  <c:v>-2.59758768178397</c:v>
                </c:pt>
                <c:pt idx="8">
                  <c:v>-0.2</c:v>
                </c:pt>
                <c:pt idx="9">
                  <c:v>-2.5618108981163319</c:v>
                </c:pt>
                <c:pt idx="10">
                  <c:v>-0.2</c:v>
                </c:pt>
                <c:pt idx="11">
                  <c:v>-2.5260341144486933</c:v>
                </c:pt>
                <c:pt idx="12">
                  <c:v>-0.2</c:v>
                </c:pt>
                <c:pt idx="13">
                  <c:v>-2.4902573307810552</c:v>
                </c:pt>
                <c:pt idx="14">
                  <c:v>-0.2</c:v>
                </c:pt>
                <c:pt idx="15">
                  <c:v>-2.4544805471134166</c:v>
                </c:pt>
                <c:pt idx="16">
                  <c:v>-0.2</c:v>
                </c:pt>
                <c:pt idx="17">
                  <c:v>-2.4187037634457784</c:v>
                </c:pt>
                <c:pt idx="18">
                  <c:v>-0.2</c:v>
                </c:pt>
                <c:pt idx="19">
                  <c:v>-2.3829269797781398</c:v>
                </c:pt>
                <c:pt idx="20">
                  <c:v>-0.2</c:v>
                </c:pt>
                <c:pt idx="21">
                  <c:v>-2.3471501961105012</c:v>
                </c:pt>
                <c:pt idx="22">
                  <c:v>-0.2</c:v>
                </c:pt>
                <c:pt idx="23">
                  <c:v>-2.3113734124428631</c:v>
                </c:pt>
                <c:pt idx="24">
                  <c:v>-0.2</c:v>
                </c:pt>
                <c:pt idx="25">
                  <c:v>-2.2755966287752245</c:v>
                </c:pt>
                <c:pt idx="26">
                  <c:v>-0.2</c:v>
                </c:pt>
                <c:pt idx="27">
                  <c:v>-2.2398198451075859</c:v>
                </c:pt>
                <c:pt idx="28">
                  <c:v>-0.2</c:v>
                </c:pt>
                <c:pt idx="29">
                  <c:v>-2.2040430614399478</c:v>
                </c:pt>
                <c:pt idx="30">
                  <c:v>-0.2</c:v>
                </c:pt>
                <c:pt idx="31">
                  <c:v>-2.1682662777723092</c:v>
                </c:pt>
                <c:pt idx="32">
                  <c:v>-0.2</c:v>
                </c:pt>
                <c:pt idx="33">
                  <c:v>-2.1324894941046706</c:v>
                </c:pt>
                <c:pt idx="34">
                  <c:v>-0.2</c:v>
                </c:pt>
                <c:pt idx="35">
                  <c:v>-2.0967127104370324</c:v>
                </c:pt>
                <c:pt idx="36">
                  <c:v>-0.2</c:v>
                </c:pt>
                <c:pt idx="37">
                  <c:v>-2.0609359267693939</c:v>
                </c:pt>
                <c:pt idx="38">
                  <c:v>-0.2</c:v>
                </c:pt>
                <c:pt idx="39">
                  <c:v>-2.0251591431017557</c:v>
                </c:pt>
                <c:pt idx="40">
                  <c:v>-0.2</c:v>
                </c:pt>
                <c:pt idx="41">
                  <c:v>-1.9893823594341171</c:v>
                </c:pt>
                <c:pt idx="42">
                  <c:v>-0.2</c:v>
                </c:pt>
                <c:pt idx="43">
                  <c:v>-1.9536055757664785</c:v>
                </c:pt>
                <c:pt idx="44">
                  <c:v>-0.2</c:v>
                </c:pt>
                <c:pt idx="45">
                  <c:v>-1.9178287920988402</c:v>
                </c:pt>
                <c:pt idx="46">
                  <c:v>-0.2</c:v>
                </c:pt>
                <c:pt idx="47">
                  <c:v>-1.8820520084312018</c:v>
                </c:pt>
                <c:pt idx="48">
                  <c:v>-0.2</c:v>
                </c:pt>
                <c:pt idx="49">
                  <c:v>-1.8462752247635632</c:v>
                </c:pt>
                <c:pt idx="50">
                  <c:v>-0.2</c:v>
                </c:pt>
                <c:pt idx="51">
                  <c:v>-1.8104984410959248</c:v>
                </c:pt>
                <c:pt idx="52">
                  <c:v>-0.2</c:v>
                </c:pt>
                <c:pt idx="53">
                  <c:v>-1.7747216574282865</c:v>
                </c:pt>
                <c:pt idx="54">
                  <c:v>-0.2</c:v>
                </c:pt>
                <c:pt idx="55">
                  <c:v>-1.7389448737606479</c:v>
                </c:pt>
                <c:pt idx="56">
                  <c:v>-0.2</c:v>
                </c:pt>
                <c:pt idx="57">
                  <c:v>-1.7031680900930095</c:v>
                </c:pt>
                <c:pt idx="58">
                  <c:v>-0.2</c:v>
                </c:pt>
                <c:pt idx="59">
                  <c:v>-1.6673913064253711</c:v>
                </c:pt>
                <c:pt idx="60">
                  <c:v>-0.2</c:v>
                </c:pt>
                <c:pt idx="61">
                  <c:v>-1.6316145227577328</c:v>
                </c:pt>
                <c:pt idx="62">
                  <c:v>-0.2</c:v>
                </c:pt>
                <c:pt idx="63">
                  <c:v>-1.5958377390900942</c:v>
                </c:pt>
                <c:pt idx="64">
                  <c:v>-0.2</c:v>
                </c:pt>
                <c:pt idx="65">
                  <c:v>-1.5600609554224558</c:v>
                </c:pt>
                <c:pt idx="66">
                  <c:v>-0.2</c:v>
                </c:pt>
                <c:pt idx="67">
                  <c:v>-1.5242841717548175</c:v>
                </c:pt>
                <c:pt idx="68">
                  <c:v>-0.2</c:v>
                </c:pt>
                <c:pt idx="69">
                  <c:v>-1.4885073880871789</c:v>
                </c:pt>
                <c:pt idx="70">
                  <c:v>-0.2</c:v>
                </c:pt>
                <c:pt idx="71">
                  <c:v>-1.4527306044195405</c:v>
                </c:pt>
                <c:pt idx="72">
                  <c:v>-0.2</c:v>
                </c:pt>
                <c:pt idx="73">
                  <c:v>-1.4169538207519021</c:v>
                </c:pt>
                <c:pt idx="74">
                  <c:v>-0.2</c:v>
                </c:pt>
                <c:pt idx="75">
                  <c:v>-1.3811770370842638</c:v>
                </c:pt>
                <c:pt idx="76">
                  <c:v>-0.2</c:v>
                </c:pt>
                <c:pt idx="77">
                  <c:v>-1.3454002534166252</c:v>
                </c:pt>
                <c:pt idx="78">
                  <c:v>-0.2</c:v>
                </c:pt>
                <c:pt idx="79">
                  <c:v>-1.3096234697489868</c:v>
                </c:pt>
                <c:pt idx="80">
                  <c:v>-0.2</c:v>
                </c:pt>
                <c:pt idx="81">
                  <c:v>-1.2738466860813484</c:v>
                </c:pt>
                <c:pt idx="82">
                  <c:v>-0.2</c:v>
                </c:pt>
                <c:pt idx="83">
                  <c:v>-1.2380699024137098</c:v>
                </c:pt>
                <c:pt idx="84">
                  <c:v>-0.2</c:v>
                </c:pt>
                <c:pt idx="85">
                  <c:v>-1.2022931187460715</c:v>
                </c:pt>
                <c:pt idx="86">
                  <c:v>-0.2</c:v>
                </c:pt>
                <c:pt idx="87">
                  <c:v>-1.1665163350784331</c:v>
                </c:pt>
                <c:pt idx="88">
                  <c:v>-0.2</c:v>
                </c:pt>
                <c:pt idx="89">
                  <c:v>-1.1307395514107945</c:v>
                </c:pt>
                <c:pt idx="90">
                  <c:v>-0.2</c:v>
                </c:pt>
                <c:pt idx="91">
                  <c:v>-1.0949627677431564</c:v>
                </c:pt>
                <c:pt idx="92">
                  <c:v>-0.2</c:v>
                </c:pt>
                <c:pt idx="93">
                  <c:v>-1.059185984075518</c:v>
                </c:pt>
                <c:pt idx="94">
                  <c:v>-0.2</c:v>
                </c:pt>
                <c:pt idx="95">
                  <c:v>-1.0234092004078794</c:v>
                </c:pt>
                <c:pt idx="96">
                  <c:v>-0.2</c:v>
                </c:pt>
                <c:pt idx="97">
                  <c:v>-0.98763241674024105</c:v>
                </c:pt>
                <c:pt idx="98">
                  <c:v>-0.2</c:v>
                </c:pt>
                <c:pt idx="99">
                  <c:v>-0.95185563307260268</c:v>
                </c:pt>
                <c:pt idx="100">
                  <c:v>-0.2</c:v>
                </c:pt>
                <c:pt idx="101">
                  <c:v>-0.91607884940496498</c:v>
                </c:pt>
                <c:pt idx="102">
                  <c:v>-0.2</c:v>
                </c:pt>
                <c:pt idx="103">
                  <c:v>-0.90625071671065982</c:v>
                </c:pt>
                <c:pt idx="104">
                  <c:v>-0.2</c:v>
                </c:pt>
                <c:pt idx="105">
                  <c:v>-0.89642258401635477</c:v>
                </c:pt>
                <c:pt idx="106">
                  <c:v>-0.2</c:v>
                </c:pt>
                <c:pt idx="107">
                  <c:v>-0.88659445132204961</c:v>
                </c:pt>
                <c:pt idx="108">
                  <c:v>-0.2</c:v>
                </c:pt>
                <c:pt idx="109">
                  <c:v>-0.87676631862774457</c:v>
                </c:pt>
                <c:pt idx="110">
                  <c:v>-0.2</c:v>
                </c:pt>
                <c:pt idx="111">
                  <c:v>-0.86693818593343941</c:v>
                </c:pt>
                <c:pt idx="112">
                  <c:v>-0.2</c:v>
                </c:pt>
                <c:pt idx="113">
                  <c:v>-0.85711005323913425</c:v>
                </c:pt>
                <c:pt idx="114">
                  <c:v>-0.2</c:v>
                </c:pt>
                <c:pt idx="115">
                  <c:v>-0.8472819205448292</c:v>
                </c:pt>
                <c:pt idx="116">
                  <c:v>-0.2</c:v>
                </c:pt>
                <c:pt idx="117">
                  <c:v>-0.83745378785052405</c:v>
                </c:pt>
                <c:pt idx="118">
                  <c:v>-0.2</c:v>
                </c:pt>
                <c:pt idx="119">
                  <c:v>-0.82762565515621889</c:v>
                </c:pt>
                <c:pt idx="120">
                  <c:v>-0.2</c:v>
                </c:pt>
                <c:pt idx="121">
                  <c:v>-0.81779752246191384</c:v>
                </c:pt>
                <c:pt idx="122">
                  <c:v>-0.2</c:v>
                </c:pt>
                <c:pt idx="123">
                  <c:v>-0.80796938976760868</c:v>
                </c:pt>
                <c:pt idx="124">
                  <c:v>-0.2</c:v>
                </c:pt>
                <c:pt idx="125">
                  <c:v>-0.79814125707330352</c:v>
                </c:pt>
                <c:pt idx="126">
                  <c:v>-0.2</c:v>
                </c:pt>
                <c:pt idx="127">
                  <c:v>-0.78831312437899848</c:v>
                </c:pt>
                <c:pt idx="128">
                  <c:v>-0.2</c:v>
                </c:pt>
                <c:pt idx="129">
                  <c:v>-0.77848499168469332</c:v>
                </c:pt>
                <c:pt idx="130">
                  <c:v>-0.2</c:v>
                </c:pt>
                <c:pt idx="131">
                  <c:v>-0.76865685899038827</c:v>
                </c:pt>
                <c:pt idx="132">
                  <c:v>-0.2</c:v>
                </c:pt>
                <c:pt idx="133">
                  <c:v>-0.75882872629608311</c:v>
                </c:pt>
                <c:pt idx="134">
                  <c:v>-0.2</c:v>
                </c:pt>
                <c:pt idx="135">
                  <c:v>-0.74900059360177806</c:v>
                </c:pt>
                <c:pt idx="136">
                  <c:v>-0.2</c:v>
                </c:pt>
                <c:pt idx="137">
                  <c:v>-0.73917246090747291</c:v>
                </c:pt>
                <c:pt idx="138">
                  <c:v>-0.2</c:v>
                </c:pt>
                <c:pt idx="139">
                  <c:v>-0.72934432821316775</c:v>
                </c:pt>
                <c:pt idx="140">
                  <c:v>-0.2</c:v>
                </c:pt>
                <c:pt idx="141">
                  <c:v>-0.71951619551886259</c:v>
                </c:pt>
                <c:pt idx="142">
                  <c:v>-0.2</c:v>
                </c:pt>
                <c:pt idx="143">
                  <c:v>-0.70968806282455754</c:v>
                </c:pt>
                <c:pt idx="144">
                  <c:v>-0.2</c:v>
                </c:pt>
                <c:pt idx="145">
                  <c:v>-0.69985993013025238</c:v>
                </c:pt>
                <c:pt idx="146">
                  <c:v>-0.2</c:v>
                </c:pt>
                <c:pt idx="147">
                  <c:v>-0.69003179743594734</c:v>
                </c:pt>
                <c:pt idx="148">
                  <c:v>-0.2</c:v>
                </c:pt>
                <c:pt idx="149">
                  <c:v>-0.68020366474164218</c:v>
                </c:pt>
                <c:pt idx="150">
                  <c:v>-0.2</c:v>
                </c:pt>
                <c:pt idx="151">
                  <c:v>-0.67037553204733702</c:v>
                </c:pt>
                <c:pt idx="152">
                  <c:v>-0.2</c:v>
                </c:pt>
                <c:pt idx="153">
                  <c:v>-0.66054739935303197</c:v>
                </c:pt>
                <c:pt idx="154">
                  <c:v>-0.2</c:v>
                </c:pt>
                <c:pt idx="155">
                  <c:v>-0.65071926665872681</c:v>
                </c:pt>
                <c:pt idx="156">
                  <c:v>-0.2</c:v>
                </c:pt>
                <c:pt idx="157">
                  <c:v>-0.64089113396442166</c:v>
                </c:pt>
                <c:pt idx="158">
                  <c:v>-0.2</c:v>
                </c:pt>
                <c:pt idx="159">
                  <c:v>-0.63106300127011661</c:v>
                </c:pt>
                <c:pt idx="160">
                  <c:v>-0.2</c:v>
                </c:pt>
                <c:pt idx="161">
                  <c:v>-0.62123486857581156</c:v>
                </c:pt>
                <c:pt idx="162">
                  <c:v>-0.2</c:v>
                </c:pt>
                <c:pt idx="163">
                  <c:v>-0.61140673588150629</c:v>
                </c:pt>
                <c:pt idx="164">
                  <c:v>-0.2</c:v>
                </c:pt>
                <c:pt idx="165">
                  <c:v>-0.60157860318720124</c:v>
                </c:pt>
                <c:pt idx="166">
                  <c:v>-0.2</c:v>
                </c:pt>
                <c:pt idx="167">
                  <c:v>-0.5917504704928962</c:v>
                </c:pt>
                <c:pt idx="168">
                  <c:v>-0.2</c:v>
                </c:pt>
                <c:pt idx="169">
                  <c:v>-0.58192233779859093</c:v>
                </c:pt>
                <c:pt idx="170">
                  <c:v>-0.2</c:v>
                </c:pt>
                <c:pt idx="171">
                  <c:v>-0.57209420510428588</c:v>
                </c:pt>
                <c:pt idx="172">
                  <c:v>-0.2</c:v>
                </c:pt>
                <c:pt idx="173">
                  <c:v>-0.56226607240998072</c:v>
                </c:pt>
                <c:pt idx="174">
                  <c:v>-0.2</c:v>
                </c:pt>
                <c:pt idx="175">
                  <c:v>-0.55243793971567567</c:v>
                </c:pt>
                <c:pt idx="176">
                  <c:v>-0.2</c:v>
                </c:pt>
                <c:pt idx="177">
                  <c:v>-0.54260980702137052</c:v>
                </c:pt>
                <c:pt idx="178">
                  <c:v>-0.2</c:v>
                </c:pt>
                <c:pt idx="179">
                  <c:v>-0.53278167432706547</c:v>
                </c:pt>
                <c:pt idx="180">
                  <c:v>-0.2</c:v>
                </c:pt>
                <c:pt idx="181">
                  <c:v>-0.5229535416327602</c:v>
                </c:pt>
                <c:pt idx="182">
                  <c:v>-0.2</c:v>
                </c:pt>
                <c:pt idx="183">
                  <c:v>-0.51312540893845515</c:v>
                </c:pt>
                <c:pt idx="184">
                  <c:v>-0.2</c:v>
                </c:pt>
                <c:pt idx="185">
                  <c:v>-0.5032972762441501</c:v>
                </c:pt>
                <c:pt idx="186">
                  <c:v>-0.2</c:v>
                </c:pt>
                <c:pt idx="187">
                  <c:v>-0.49346914354984495</c:v>
                </c:pt>
                <c:pt idx="188">
                  <c:v>-0.2</c:v>
                </c:pt>
                <c:pt idx="189">
                  <c:v>-0.48364101085553984</c:v>
                </c:pt>
                <c:pt idx="190">
                  <c:v>-0.2</c:v>
                </c:pt>
                <c:pt idx="191">
                  <c:v>-0.47381287816123474</c:v>
                </c:pt>
                <c:pt idx="192">
                  <c:v>-0.2</c:v>
                </c:pt>
                <c:pt idx="193">
                  <c:v>-0.46398474546692958</c:v>
                </c:pt>
                <c:pt idx="194">
                  <c:v>-0.2</c:v>
                </c:pt>
                <c:pt idx="195">
                  <c:v>-0.45415661277262448</c:v>
                </c:pt>
                <c:pt idx="196">
                  <c:v>-0.2</c:v>
                </c:pt>
                <c:pt idx="197">
                  <c:v>-0.44432848007831938</c:v>
                </c:pt>
                <c:pt idx="198">
                  <c:v>-0.2</c:v>
                </c:pt>
                <c:pt idx="199">
                  <c:v>-0.43450034738401427</c:v>
                </c:pt>
                <c:pt idx="200">
                  <c:v>-0.2</c:v>
                </c:pt>
                <c:pt idx="201">
                  <c:v>-0.42467221468970912</c:v>
                </c:pt>
              </c:numCache>
            </c:numRef>
          </c:xVal>
          <c:yVal>
            <c:numRef>
              <c:f>CONTROL!$BV$7:$BV$208</c:f>
              <c:numCache>
                <c:formatCode>General</c:formatCode>
                <c:ptCount val="202"/>
                <c:pt idx="0">
                  <c:v>0.1</c:v>
                </c:pt>
                <c:pt idx="1">
                  <c:v>0.1</c:v>
                </c:pt>
                <c:pt idx="2">
                  <c:v>0.12000000000000001</c:v>
                </c:pt>
                <c:pt idx="3">
                  <c:v>0.12000000000000001</c:v>
                </c:pt>
                <c:pt idx="4">
                  <c:v>0.14000000000000001</c:v>
                </c:pt>
                <c:pt idx="5">
                  <c:v>0.14000000000000001</c:v>
                </c:pt>
                <c:pt idx="6">
                  <c:v>0.16</c:v>
                </c:pt>
                <c:pt idx="7">
                  <c:v>0.16</c:v>
                </c:pt>
                <c:pt idx="8">
                  <c:v>0.18</c:v>
                </c:pt>
                <c:pt idx="9">
                  <c:v>0.18</c:v>
                </c:pt>
                <c:pt idx="10">
                  <c:v>0.19999999999999998</c:v>
                </c:pt>
                <c:pt idx="11">
                  <c:v>0.19999999999999998</c:v>
                </c:pt>
                <c:pt idx="12">
                  <c:v>0.21999999999999997</c:v>
                </c:pt>
                <c:pt idx="13">
                  <c:v>0.21999999999999997</c:v>
                </c:pt>
                <c:pt idx="14">
                  <c:v>0.23999999999999996</c:v>
                </c:pt>
                <c:pt idx="15">
                  <c:v>0.23999999999999996</c:v>
                </c:pt>
                <c:pt idx="16">
                  <c:v>0.25999999999999995</c:v>
                </c:pt>
                <c:pt idx="17">
                  <c:v>0.25999999999999995</c:v>
                </c:pt>
                <c:pt idx="18">
                  <c:v>0.27999999999999997</c:v>
                </c:pt>
                <c:pt idx="19">
                  <c:v>0.27999999999999997</c:v>
                </c:pt>
                <c:pt idx="20">
                  <c:v>0.3</c:v>
                </c:pt>
                <c:pt idx="21">
                  <c:v>0.3</c:v>
                </c:pt>
                <c:pt idx="22">
                  <c:v>0.32</c:v>
                </c:pt>
                <c:pt idx="23">
                  <c:v>0.32</c:v>
                </c:pt>
                <c:pt idx="24">
                  <c:v>0.34</c:v>
                </c:pt>
                <c:pt idx="25">
                  <c:v>0.34</c:v>
                </c:pt>
                <c:pt idx="26">
                  <c:v>0.36000000000000004</c:v>
                </c:pt>
                <c:pt idx="27">
                  <c:v>0.36000000000000004</c:v>
                </c:pt>
                <c:pt idx="28">
                  <c:v>0.38000000000000006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0.40000000000000008</c:v>
                </c:pt>
                <c:pt idx="32">
                  <c:v>0.4200000000000001</c:v>
                </c:pt>
                <c:pt idx="33">
                  <c:v>0.4200000000000001</c:v>
                </c:pt>
                <c:pt idx="34">
                  <c:v>0.44000000000000011</c:v>
                </c:pt>
                <c:pt idx="35">
                  <c:v>0.44000000000000011</c:v>
                </c:pt>
                <c:pt idx="36">
                  <c:v>0.46000000000000013</c:v>
                </c:pt>
                <c:pt idx="37">
                  <c:v>0.46000000000000013</c:v>
                </c:pt>
                <c:pt idx="38">
                  <c:v>0.48000000000000015</c:v>
                </c:pt>
                <c:pt idx="39">
                  <c:v>0.48000000000000015</c:v>
                </c:pt>
                <c:pt idx="40">
                  <c:v>0.50000000000000011</c:v>
                </c:pt>
                <c:pt idx="41">
                  <c:v>0.50000000000000011</c:v>
                </c:pt>
                <c:pt idx="42">
                  <c:v>0.52000000000000013</c:v>
                </c:pt>
                <c:pt idx="43">
                  <c:v>0.52000000000000013</c:v>
                </c:pt>
                <c:pt idx="44">
                  <c:v>0.54000000000000015</c:v>
                </c:pt>
                <c:pt idx="45">
                  <c:v>0.54000000000000015</c:v>
                </c:pt>
                <c:pt idx="46">
                  <c:v>0.56000000000000016</c:v>
                </c:pt>
                <c:pt idx="47">
                  <c:v>0.56000000000000016</c:v>
                </c:pt>
                <c:pt idx="48">
                  <c:v>0.58000000000000018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0.6000000000000002</c:v>
                </c:pt>
                <c:pt idx="52">
                  <c:v>0.62000000000000022</c:v>
                </c:pt>
                <c:pt idx="53">
                  <c:v>0.62000000000000022</c:v>
                </c:pt>
                <c:pt idx="54">
                  <c:v>0.64000000000000024</c:v>
                </c:pt>
                <c:pt idx="55">
                  <c:v>0.64000000000000024</c:v>
                </c:pt>
                <c:pt idx="56">
                  <c:v>0.66000000000000025</c:v>
                </c:pt>
                <c:pt idx="57">
                  <c:v>0.66000000000000025</c:v>
                </c:pt>
                <c:pt idx="58">
                  <c:v>0.68000000000000027</c:v>
                </c:pt>
                <c:pt idx="59">
                  <c:v>0.68000000000000027</c:v>
                </c:pt>
                <c:pt idx="60">
                  <c:v>0.70000000000000029</c:v>
                </c:pt>
                <c:pt idx="61">
                  <c:v>0.70000000000000029</c:v>
                </c:pt>
                <c:pt idx="62">
                  <c:v>0.72000000000000031</c:v>
                </c:pt>
                <c:pt idx="63">
                  <c:v>0.72000000000000031</c:v>
                </c:pt>
                <c:pt idx="64">
                  <c:v>0.74000000000000032</c:v>
                </c:pt>
                <c:pt idx="65">
                  <c:v>0.74000000000000032</c:v>
                </c:pt>
                <c:pt idx="66">
                  <c:v>0.76000000000000034</c:v>
                </c:pt>
                <c:pt idx="67">
                  <c:v>0.76000000000000034</c:v>
                </c:pt>
                <c:pt idx="68">
                  <c:v>0.78000000000000036</c:v>
                </c:pt>
                <c:pt idx="69">
                  <c:v>0.78000000000000036</c:v>
                </c:pt>
                <c:pt idx="70">
                  <c:v>0.80000000000000038</c:v>
                </c:pt>
                <c:pt idx="71">
                  <c:v>0.80000000000000038</c:v>
                </c:pt>
                <c:pt idx="72">
                  <c:v>0.8200000000000004</c:v>
                </c:pt>
                <c:pt idx="73">
                  <c:v>0.8200000000000004</c:v>
                </c:pt>
                <c:pt idx="74">
                  <c:v>0.84000000000000041</c:v>
                </c:pt>
                <c:pt idx="75">
                  <c:v>0.84000000000000041</c:v>
                </c:pt>
                <c:pt idx="76">
                  <c:v>0.86000000000000043</c:v>
                </c:pt>
                <c:pt idx="77">
                  <c:v>0.86000000000000043</c:v>
                </c:pt>
                <c:pt idx="78">
                  <c:v>0.88000000000000045</c:v>
                </c:pt>
                <c:pt idx="79">
                  <c:v>0.88000000000000045</c:v>
                </c:pt>
                <c:pt idx="80">
                  <c:v>0.90000000000000047</c:v>
                </c:pt>
                <c:pt idx="81">
                  <c:v>0.90000000000000047</c:v>
                </c:pt>
                <c:pt idx="82">
                  <c:v>0.92000000000000048</c:v>
                </c:pt>
                <c:pt idx="83">
                  <c:v>0.92000000000000048</c:v>
                </c:pt>
                <c:pt idx="84">
                  <c:v>0.9400000000000005</c:v>
                </c:pt>
                <c:pt idx="85">
                  <c:v>0.9400000000000005</c:v>
                </c:pt>
                <c:pt idx="86">
                  <c:v>0.96000000000000052</c:v>
                </c:pt>
                <c:pt idx="87">
                  <c:v>0.96000000000000052</c:v>
                </c:pt>
                <c:pt idx="88">
                  <c:v>0.98000000000000054</c:v>
                </c:pt>
                <c:pt idx="89">
                  <c:v>0.98000000000000054</c:v>
                </c:pt>
                <c:pt idx="90">
                  <c:v>1.0000000000000004</c:v>
                </c:pt>
                <c:pt idx="91">
                  <c:v>1.0000000000000004</c:v>
                </c:pt>
                <c:pt idx="92">
                  <c:v>1.0200000000000005</c:v>
                </c:pt>
                <c:pt idx="93">
                  <c:v>1.0200000000000005</c:v>
                </c:pt>
                <c:pt idx="94">
                  <c:v>1.0400000000000005</c:v>
                </c:pt>
                <c:pt idx="95">
                  <c:v>1.0400000000000005</c:v>
                </c:pt>
                <c:pt idx="96">
                  <c:v>1.0600000000000005</c:v>
                </c:pt>
                <c:pt idx="97">
                  <c:v>1.0600000000000005</c:v>
                </c:pt>
                <c:pt idx="98">
                  <c:v>1.0800000000000005</c:v>
                </c:pt>
                <c:pt idx="99">
                  <c:v>1.0800000000000005</c:v>
                </c:pt>
                <c:pt idx="100">
                  <c:v>1.1000000000000005</c:v>
                </c:pt>
                <c:pt idx="101">
                  <c:v>1.1000000000000005</c:v>
                </c:pt>
                <c:pt idx="102">
                  <c:v>1.1200000000000006</c:v>
                </c:pt>
                <c:pt idx="103">
                  <c:v>1.1200000000000006</c:v>
                </c:pt>
                <c:pt idx="104">
                  <c:v>1.1400000000000006</c:v>
                </c:pt>
                <c:pt idx="105">
                  <c:v>1.1400000000000006</c:v>
                </c:pt>
                <c:pt idx="106">
                  <c:v>1.1600000000000006</c:v>
                </c:pt>
                <c:pt idx="107">
                  <c:v>1.1600000000000006</c:v>
                </c:pt>
                <c:pt idx="108">
                  <c:v>1.1800000000000006</c:v>
                </c:pt>
                <c:pt idx="109">
                  <c:v>1.1800000000000006</c:v>
                </c:pt>
                <c:pt idx="110">
                  <c:v>1.2000000000000006</c:v>
                </c:pt>
                <c:pt idx="111">
                  <c:v>1.2000000000000006</c:v>
                </c:pt>
                <c:pt idx="112">
                  <c:v>1.2200000000000006</c:v>
                </c:pt>
                <c:pt idx="113">
                  <c:v>1.2200000000000006</c:v>
                </c:pt>
                <c:pt idx="114">
                  <c:v>1.2400000000000007</c:v>
                </c:pt>
                <c:pt idx="115">
                  <c:v>1.2400000000000007</c:v>
                </c:pt>
                <c:pt idx="116">
                  <c:v>1.2600000000000007</c:v>
                </c:pt>
                <c:pt idx="117">
                  <c:v>1.2600000000000007</c:v>
                </c:pt>
                <c:pt idx="118">
                  <c:v>1.2800000000000007</c:v>
                </c:pt>
                <c:pt idx="119">
                  <c:v>1.2800000000000007</c:v>
                </c:pt>
                <c:pt idx="120">
                  <c:v>1.3000000000000007</c:v>
                </c:pt>
                <c:pt idx="121">
                  <c:v>1.3000000000000007</c:v>
                </c:pt>
                <c:pt idx="122">
                  <c:v>1.3200000000000007</c:v>
                </c:pt>
                <c:pt idx="123">
                  <c:v>1.3200000000000007</c:v>
                </c:pt>
                <c:pt idx="124">
                  <c:v>1.3400000000000007</c:v>
                </c:pt>
                <c:pt idx="125">
                  <c:v>1.3400000000000007</c:v>
                </c:pt>
                <c:pt idx="126">
                  <c:v>1.3600000000000008</c:v>
                </c:pt>
                <c:pt idx="127">
                  <c:v>1.3600000000000008</c:v>
                </c:pt>
                <c:pt idx="128">
                  <c:v>1.3800000000000008</c:v>
                </c:pt>
                <c:pt idx="129">
                  <c:v>1.3800000000000008</c:v>
                </c:pt>
                <c:pt idx="130">
                  <c:v>1.4000000000000008</c:v>
                </c:pt>
                <c:pt idx="131">
                  <c:v>1.4000000000000008</c:v>
                </c:pt>
                <c:pt idx="132">
                  <c:v>1.4200000000000008</c:v>
                </c:pt>
                <c:pt idx="133">
                  <c:v>1.4200000000000008</c:v>
                </c:pt>
                <c:pt idx="134">
                  <c:v>1.4400000000000008</c:v>
                </c:pt>
                <c:pt idx="135">
                  <c:v>1.4400000000000008</c:v>
                </c:pt>
                <c:pt idx="136">
                  <c:v>1.4600000000000009</c:v>
                </c:pt>
                <c:pt idx="137">
                  <c:v>1.4600000000000009</c:v>
                </c:pt>
                <c:pt idx="138">
                  <c:v>1.4800000000000009</c:v>
                </c:pt>
                <c:pt idx="139">
                  <c:v>1.4800000000000009</c:v>
                </c:pt>
                <c:pt idx="140">
                  <c:v>1.5000000000000009</c:v>
                </c:pt>
                <c:pt idx="141">
                  <c:v>1.5000000000000009</c:v>
                </c:pt>
                <c:pt idx="142">
                  <c:v>1.5200000000000009</c:v>
                </c:pt>
                <c:pt idx="143">
                  <c:v>1.5200000000000009</c:v>
                </c:pt>
                <c:pt idx="144">
                  <c:v>1.5400000000000009</c:v>
                </c:pt>
                <c:pt idx="145">
                  <c:v>1.5400000000000009</c:v>
                </c:pt>
                <c:pt idx="146">
                  <c:v>1.5600000000000009</c:v>
                </c:pt>
                <c:pt idx="147">
                  <c:v>1.5600000000000009</c:v>
                </c:pt>
                <c:pt idx="148">
                  <c:v>1.580000000000001</c:v>
                </c:pt>
                <c:pt idx="149">
                  <c:v>1.580000000000001</c:v>
                </c:pt>
                <c:pt idx="150">
                  <c:v>1.600000000000001</c:v>
                </c:pt>
                <c:pt idx="151">
                  <c:v>1.600000000000001</c:v>
                </c:pt>
                <c:pt idx="152">
                  <c:v>1.620000000000001</c:v>
                </c:pt>
                <c:pt idx="153">
                  <c:v>1.620000000000001</c:v>
                </c:pt>
                <c:pt idx="154">
                  <c:v>1.640000000000001</c:v>
                </c:pt>
                <c:pt idx="155">
                  <c:v>1.640000000000001</c:v>
                </c:pt>
                <c:pt idx="156">
                  <c:v>1.660000000000001</c:v>
                </c:pt>
                <c:pt idx="157">
                  <c:v>1.660000000000001</c:v>
                </c:pt>
                <c:pt idx="158">
                  <c:v>1.680000000000001</c:v>
                </c:pt>
                <c:pt idx="159">
                  <c:v>1.680000000000001</c:v>
                </c:pt>
                <c:pt idx="160">
                  <c:v>1.7000000000000011</c:v>
                </c:pt>
                <c:pt idx="161">
                  <c:v>1.7000000000000011</c:v>
                </c:pt>
                <c:pt idx="162">
                  <c:v>1.7200000000000011</c:v>
                </c:pt>
                <c:pt idx="163">
                  <c:v>1.7200000000000011</c:v>
                </c:pt>
                <c:pt idx="164">
                  <c:v>1.7400000000000011</c:v>
                </c:pt>
                <c:pt idx="165">
                  <c:v>1.7400000000000011</c:v>
                </c:pt>
                <c:pt idx="166">
                  <c:v>1.7600000000000011</c:v>
                </c:pt>
                <c:pt idx="167">
                  <c:v>1.7600000000000011</c:v>
                </c:pt>
                <c:pt idx="168">
                  <c:v>1.7800000000000011</c:v>
                </c:pt>
                <c:pt idx="169">
                  <c:v>1.7800000000000011</c:v>
                </c:pt>
                <c:pt idx="170">
                  <c:v>1.8000000000000012</c:v>
                </c:pt>
                <c:pt idx="171">
                  <c:v>1.8000000000000012</c:v>
                </c:pt>
                <c:pt idx="172">
                  <c:v>1.8200000000000012</c:v>
                </c:pt>
                <c:pt idx="173">
                  <c:v>1.8200000000000012</c:v>
                </c:pt>
                <c:pt idx="174">
                  <c:v>1.8400000000000012</c:v>
                </c:pt>
                <c:pt idx="175">
                  <c:v>1.8400000000000012</c:v>
                </c:pt>
                <c:pt idx="176">
                  <c:v>1.8600000000000012</c:v>
                </c:pt>
                <c:pt idx="177">
                  <c:v>1.8600000000000012</c:v>
                </c:pt>
                <c:pt idx="178">
                  <c:v>1.8800000000000012</c:v>
                </c:pt>
                <c:pt idx="179">
                  <c:v>1.8800000000000012</c:v>
                </c:pt>
                <c:pt idx="180">
                  <c:v>1.9000000000000012</c:v>
                </c:pt>
                <c:pt idx="181">
                  <c:v>1.9000000000000012</c:v>
                </c:pt>
                <c:pt idx="182">
                  <c:v>1.9200000000000013</c:v>
                </c:pt>
                <c:pt idx="183">
                  <c:v>1.9200000000000013</c:v>
                </c:pt>
                <c:pt idx="184">
                  <c:v>1.9400000000000013</c:v>
                </c:pt>
                <c:pt idx="185">
                  <c:v>1.9400000000000013</c:v>
                </c:pt>
                <c:pt idx="186">
                  <c:v>1.9600000000000013</c:v>
                </c:pt>
                <c:pt idx="187">
                  <c:v>1.9600000000000013</c:v>
                </c:pt>
                <c:pt idx="188">
                  <c:v>1.9800000000000013</c:v>
                </c:pt>
                <c:pt idx="189">
                  <c:v>1.9800000000000013</c:v>
                </c:pt>
                <c:pt idx="190">
                  <c:v>2.0000000000000013</c:v>
                </c:pt>
                <c:pt idx="191">
                  <c:v>2.0000000000000013</c:v>
                </c:pt>
                <c:pt idx="192">
                  <c:v>2.0200000000000014</c:v>
                </c:pt>
                <c:pt idx="193">
                  <c:v>2.0200000000000014</c:v>
                </c:pt>
                <c:pt idx="194">
                  <c:v>2.0400000000000014</c:v>
                </c:pt>
                <c:pt idx="195">
                  <c:v>2.0400000000000014</c:v>
                </c:pt>
                <c:pt idx="196">
                  <c:v>2.0600000000000014</c:v>
                </c:pt>
                <c:pt idx="197">
                  <c:v>2.0600000000000014</c:v>
                </c:pt>
                <c:pt idx="198">
                  <c:v>2.0800000000000014</c:v>
                </c:pt>
                <c:pt idx="199">
                  <c:v>2.0800000000000014</c:v>
                </c:pt>
                <c:pt idx="200">
                  <c:v>2.1000000000000014</c:v>
                </c:pt>
                <c:pt idx="201">
                  <c:v>2.1000000000000014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3CD-47A5-B45A-2FA8DD5692ED}"/>
            </c:ext>
          </c:extLst>
        </c:ser>
        <c:ser>
          <c:idx val="2"/>
          <c:order val="2"/>
          <c:tx>
            <c:strRef>
              <c:f>CONTROL!$BN$11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ash"/>
            <c:size val="5"/>
            <c:spPr>
              <a:solidFill>
                <a:schemeClr val="accent3"/>
              </a:solidFill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10802469135802469"/>
                  <c:y val="1.3123359580052478E-2"/>
                </c:manualLayout>
              </c:layout>
              <c:tx>
                <c:strRef>
                  <c:f>CONTROL!$BL$12</c:f>
                  <c:strCache>
                    <c:ptCount val="1"/>
                    <c:pt idx="0">
                      <c:v>Na⁺ + K⁺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{021E5FC8-808C-4828-9C98-8B70FECA745A}</c15:txfldGUID>
                      <c15:f>CONTROL!$BL$12</c15:f>
                      <c15:dlblFieldTableCache>
                        <c:ptCount val="1"/>
                        <c:pt idx="0">
                          <c:v>Na⁺ + K⁺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2-73CD-47A5-B45A-2FA8DD5692ED}"/>
                </c:ext>
              </c:extLst>
            </c:dLbl>
            <c:dLbl>
              <c:idx val="1"/>
              <c:layout>
                <c:manualLayout>
                  <c:x val="-9.6450617283950615E-2"/>
                  <c:y val="-6.5616797900262466E-3"/>
                </c:manualLayout>
              </c:layout>
              <c:tx>
                <c:strRef>
                  <c:f>CONTROL!$BL$13</c:f>
                  <c:strCache>
                    <c:ptCount val="1"/>
                    <c:pt idx="0">
                      <c:v>Ca²⁺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{01756B1B-73CF-4ECF-9A17-4605A3011FF0}</c15:txfldGUID>
                      <c15:f>CONTROL!$BL$13</c15:f>
                      <c15:dlblFieldTableCache>
                        <c:ptCount val="1"/>
                        <c:pt idx="0">
                          <c:v>Ca²⁺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3-73CD-47A5-B45A-2FA8DD5692ED}"/>
                </c:ext>
              </c:extLst>
            </c:dLbl>
            <c:dLbl>
              <c:idx val="2"/>
              <c:layout>
                <c:manualLayout>
                  <c:x val="-0.1658950617283951"/>
                  <c:y val="-6.5616797900263672E-3"/>
                </c:manualLayout>
              </c:layout>
              <c:tx>
                <c:strRef>
                  <c:f>CONTROL!$BL$14</c:f>
                  <c:strCache>
                    <c:ptCount val="1"/>
                    <c:pt idx="0">
                      <c:v>Mg²⁺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{CBED4FF6-F84F-4AAB-9627-96E6C9835AEC}</c15:txfldGUID>
                      <c15:f>CONTROL!$BL$14</c15:f>
                      <c15:dlblFieldTableCache>
                        <c:ptCount val="1"/>
                        <c:pt idx="0">
                          <c:v>Mg²⁺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73CD-47A5-B45A-2FA8DD5692ED}"/>
                </c:ext>
              </c:extLst>
            </c:dLbl>
            <c:dLbl>
              <c:idx val="3"/>
              <c:layout>
                <c:manualLayout>
                  <c:x val="0"/>
                  <c:y val="4.5931758530183726E-2"/>
                </c:manualLayout>
              </c:layout>
              <c:tx>
                <c:strRef>
                  <c:f>CONTROL!$BL$15</c:f>
                  <c:strCache>
                    <c:ptCount val="1"/>
                    <c:pt idx="0">
                      <c:v>HCO₃⁻ + CO₃⁻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{34E43ECE-BBE7-46F6-BE95-CCC5CA22341A}</c15:txfldGUID>
                      <c15:f>CONTROL!$BL$15</c15:f>
                      <c15:dlblFieldTableCache>
                        <c:ptCount val="1"/>
                        <c:pt idx="0">
                          <c:v>HCO₃⁻ + CO₃⁻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5-73CD-47A5-B45A-2FA8DD5692ED}"/>
                </c:ext>
              </c:extLst>
            </c:dLbl>
            <c:dLbl>
              <c:idx val="4"/>
              <c:tx>
                <c:strRef>
                  <c:f>CONTROL!$BL$16</c:f>
                  <c:strCache>
                    <c:ptCount val="1"/>
                    <c:pt idx="0">
                      <c:v>SO₄²⁻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{95F5A847-8E0F-4C43-801F-F7083F8E11AA}</c15:txfldGUID>
                      <c15:f>CONTROL!$BL$16</c15:f>
                      <c15:dlblFieldTableCache>
                        <c:ptCount val="1"/>
                        <c:pt idx="0">
                          <c:v>SO₄²⁻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6-73CD-47A5-B45A-2FA8DD5692ED}"/>
                </c:ext>
              </c:extLst>
            </c:dLbl>
            <c:dLbl>
              <c:idx val="5"/>
              <c:layout>
                <c:manualLayout>
                  <c:x val="-2.3682652457075192E-2"/>
                  <c:y val="-5.7526366251198467E-2"/>
                </c:manualLayout>
              </c:layout>
              <c:tx>
                <c:strRef>
                  <c:f>CONTROL!$BL$17</c:f>
                  <c:strCache>
                    <c:ptCount val="1"/>
                    <c:pt idx="0">
                      <c:v>Cl⁻ + F⁻</c:v>
                    </c:pt>
                  </c:strCache>
                </c:strRef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{6E871035-5F62-4721-AA5C-20C7EE0FB403}</c15:txfldGUID>
                      <c15:f>CONTROL!$BL$17</c15:f>
                      <c15:dlblFieldTableCache>
                        <c:ptCount val="1"/>
                        <c:pt idx="0">
                          <c:v>Cl⁻ + F⁻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7-73CD-47A5-B45A-2FA8DD5692E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CONTROL!$BM$12:$BM$17</c:f>
              <c:numCache>
                <c:formatCode>General</c:formatCode>
                <c:ptCount val="6"/>
                <c:pt idx="0">
                  <c:v>3.4848929167377003</c:v>
                </c:pt>
                <c:pt idx="1">
                  <c:v>0.49900199600798406</c:v>
                </c:pt>
                <c:pt idx="2">
                  <c:v>0.12339585389930897</c:v>
                </c:pt>
                <c:pt idx="3">
                  <c:v>-2.7049180327868854</c:v>
                </c:pt>
                <c:pt idx="4">
                  <c:v>-0.9160788494049652</c:v>
                </c:pt>
                <c:pt idx="5">
                  <c:v>-0.42418080805499458</c:v>
                </c:pt>
              </c:numCache>
            </c:numRef>
          </c:xVal>
          <c:yVal>
            <c:numRef>
              <c:f>CONTROL!$BN$12:$BN$17</c:f>
              <c:numCache>
                <c:formatCode>General</c:formatCode>
                <c:ptCount val="6"/>
                <c:pt idx="0">
                  <c:v>0.1</c:v>
                </c:pt>
                <c:pt idx="1">
                  <c:v>1.1000000000000001</c:v>
                </c:pt>
                <c:pt idx="2">
                  <c:v>2.101</c:v>
                </c:pt>
                <c:pt idx="3">
                  <c:v>0.1</c:v>
                </c:pt>
                <c:pt idx="4">
                  <c:v>1.1000000000000001</c:v>
                </c:pt>
                <c:pt idx="5">
                  <c:v>2.101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3CD-47A5-B45A-2FA8DD5692ED}"/>
            </c:ext>
          </c:extLst>
        </c:ser>
        <c:ser>
          <c:idx val="3"/>
          <c:order val="3"/>
          <c:tx>
            <c:strRef>
              <c:f>CONTROL!$BQ$6</c:f>
              <c:strCache>
                <c:ptCount val="1"/>
                <c:pt idx="0">
                  <c:v>Y-Log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noFill/>
              <a:ln w="12700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1DC0F69-47EB-4437-A249-8FAD636491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3CD-47A5-B45A-2FA8DD5692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D2DEC9D-17A1-4B1B-BAE9-97DB03D4B8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3CD-47A5-B45A-2FA8DD5692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B48B62B-0EC3-4880-A23F-100A9BD0EA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3CD-47A5-B45A-2FA8DD5692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76D5E97-CEF1-48C2-A7F1-53556ED75E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3CD-47A5-B45A-2FA8DD5692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FFB2271-CBB3-4C76-9A62-BD02A3EE4E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3CD-47A5-B45A-2FA8DD5692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8751F82-DD8B-4B65-A337-83898708DF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3CD-47A5-B45A-2FA8DD5692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796B718-9DF7-44E3-AF79-90A8344BD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3CD-47A5-B45A-2FA8DD5692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08834F5-67F5-438E-B8BD-3B1133CF04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3CD-47A5-B45A-2FA8DD5692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A85E74-2324-493D-9C03-AD76D3352B0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3CD-47A5-B45A-2FA8DD5692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12B6596-C026-4283-AC1D-3FB415F05D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3CD-47A5-B45A-2FA8DD5692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952ADDD-66BA-480B-877B-38EAD7714A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3CD-47A5-B45A-2FA8DD5692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B3188C7-49F4-4A56-A217-7D0A36308F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3CD-47A5-B45A-2FA8DD5692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82AE99C-8929-4BF1-AD3C-C37B7686833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3CD-47A5-B45A-2FA8DD5692ED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CONTROL!$BP$7:$BP$19</c:f>
              <c:numCache>
                <c:formatCode>General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xVal>
          <c:yVal>
            <c:numRef>
              <c:f>CONTROL!$BQ$7:$BQ$19</c:f>
              <c:numCache>
                <c:formatCode>General</c:formatCode>
                <c:ptCount val="1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  <c:pt idx="3">
                  <c:v>-3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-3</c:v>
                </c:pt>
                <c:pt idx="8">
                  <c:v>-3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CONTROL!$BR$7:$BR$19</c15:f>
                <c15:dlblRangeCache>
                  <c:ptCount val="13"/>
                  <c:pt idx="0">
                    <c:v>0.</c:v>
                  </c:pt>
                  <c:pt idx="1">
                    <c:v>0.</c:v>
                  </c:pt>
                  <c:pt idx="2">
                    <c:v>0.</c:v>
                  </c:pt>
                  <c:pt idx="3">
                    <c:v>0.</c:v>
                  </c:pt>
                  <c:pt idx="4">
                    <c:v>0.</c:v>
                  </c:pt>
                  <c:pt idx="5">
                    <c:v>0.</c:v>
                  </c:pt>
                  <c:pt idx="6">
                    <c:v>0.</c:v>
                  </c:pt>
                  <c:pt idx="7">
                    <c:v>0.</c:v>
                  </c:pt>
                  <c:pt idx="8">
                    <c:v>0.</c:v>
                  </c:pt>
                  <c:pt idx="9">
                    <c:v>0.</c:v>
                  </c:pt>
                  <c:pt idx="10">
                    <c:v>0.</c:v>
                  </c:pt>
                  <c:pt idx="11">
                    <c:v>0.</c:v>
                  </c:pt>
                  <c:pt idx="12">
                    <c:v>0.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73CD-47A5-B45A-2FA8DD569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768447"/>
        <c:axId val="86345199"/>
      </c:scatterChart>
      <c:valAx>
        <c:axId val="86768447"/>
        <c:scaling>
          <c:orientation val="maxMin"/>
          <c:max val="10"/>
          <c:min val="-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CONTROL!$AE$3</c:f>
              <c:strCache>
                <c:ptCount val="1"/>
                <c:pt idx="0">
                  <c:v>Milliequivalents per liter</c:v>
                </c:pt>
              </c:strCache>
            </c:strRef>
          </c:tx>
          <c:layout>
            <c:manualLayout>
              <c:xMode val="edge"/>
              <c:yMode val="edge"/>
              <c:x val="0.30401343214451138"/>
              <c:y val="0.9120519181677634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in"/>
        <c:tickLblPos val="high"/>
        <c:spPr>
          <a:noFill/>
          <a:ln w="1587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45199"/>
        <c:crossesAt val="3"/>
        <c:crossBetween val="midCat"/>
      </c:valAx>
      <c:valAx>
        <c:axId val="86345199"/>
        <c:scaling>
          <c:orientation val="maxMin"/>
          <c:max val="2.2000000000000002"/>
          <c:min val="0"/>
        </c:scaling>
        <c:delete val="0"/>
        <c:axPos val="r"/>
        <c:numFmt formatCode="General" sourceLinked="1"/>
        <c:majorTickMark val="cross"/>
        <c:minorTickMark val="none"/>
        <c:tickLblPos val="none"/>
        <c:spPr>
          <a:noFill/>
          <a:ln w="22225" cap="flat" cmpd="sng" algn="ctr">
            <a:solidFill>
              <a:schemeClr val="tx1">
                <a:lumMod val="95000"/>
                <a:lumOff val="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768447"/>
        <c:crosses val="autoZero"/>
        <c:crossBetween val="midCat"/>
        <c:majorUnit val="1.1000000000000001"/>
      </c:valAx>
      <c:spPr>
        <a:noFill/>
        <a:ln w="15875">
          <a:solidFill>
            <a:schemeClr val="tx1">
              <a:lumMod val="95000"/>
              <a:lumOff val="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noFill/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81915</xdr:colOff>
      <xdr:row>0</xdr:row>
      <xdr:rowOff>64770</xdr:rowOff>
    </xdr:from>
    <xdr:to>
      <xdr:col>78</xdr:col>
      <xdr:colOff>561975</xdr:colOff>
      <xdr:row>1</xdr:row>
      <xdr:rowOff>255270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1</xdr:row>
          <xdr:rowOff>9525</xdr:rowOff>
        </xdr:from>
        <xdr:to>
          <xdr:col>9</xdr:col>
          <xdr:colOff>828675</xdr:colOff>
          <xdr:row>2</xdr:row>
          <xdr:rowOff>0</xdr:rowOff>
        </xdr:to>
        <xdr:sp macro="" textlink="">
          <xdr:nvSpPr>
            <xdr:cNvPr id="1029" name="cmdREFRESH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9</xdr:col>
      <xdr:colOff>0</xdr:colOff>
      <xdr:row>26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</xdr:row>
          <xdr:rowOff>9525</xdr:rowOff>
        </xdr:from>
        <xdr:to>
          <xdr:col>11</xdr:col>
          <xdr:colOff>209550</xdr:colOff>
          <xdr:row>1</xdr:row>
          <xdr:rowOff>247650</xdr:rowOff>
        </xdr:to>
        <xdr:sp macro="" textlink="">
          <xdr:nvSpPr>
            <xdr:cNvPr id="1031" name="cmdLABELS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628650</xdr:colOff>
          <xdr:row>18</xdr:row>
          <xdr:rowOff>171450</xdr:rowOff>
        </xdr:from>
        <xdr:to>
          <xdr:col>15</xdr:col>
          <xdr:colOff>200025</xdr:colOff>
          <xdr:row>20</xdr:row>
          <xdr:rowOff>0</xdr:rowOff>
        </xdr:to>
        <xdr:sp macro="" textlink="">
          <xdr:nvSpPr>
            <xdr:cNvPr id="1034" name="chk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17</xdr:row>
          <xdr:rowOff>19050</xdr:rowOff>
        </xdr:from>
        <xdr:to>
          <xdr:col>15</xdr:col>
          <xdr:colOff>838200</xdr:colOff>
          <xdr:row>18</xdr:row>
          <xdr:rowOff>57150</xdr:rowOff>
        </xdr:to>
        <xdr:sp macro="" textlink="">
          <xdr:nvSpPr>
            <xdr:cNvPr id="1035" name="cmdKMZ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19050</xdr:rowOff>
        </xdr:from>
        <xdr:to>
          <xdr:col>14</xdr:col>
          <xdr:colOff>933450</xdr:colOff>
          <xdr:row>18</xdr:row>
          <xdr:rowOff>57150</xdr:rowOff>
        </xdr:to>
        <xdr:sp macro="" textlink="">
          <xdr:nvSpPr>
            <xdr:cNvPr id="1037" name="cmbSCALE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15</xdr:col>
      <xdr:colOff>950595</xdr:colOff>
      <xdr:row>9</xdr:row>
      <xdr:rowOff>129540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</xdr:colOff>
          <xdr:row>15</xdr:row>
          <xdr:rowOff>38100</xdr:rowOff>
        </xdr:from>
        <xdr:to>
          <xdr:col>15</xdr:col>
          <xdr:colOff>838200</xdr:colOff>
          <xdr:row>16</xdr:row>
          <xdr:rowOff>66675</xdr:rowOff>
        </xdr:to>
        <xdr:sp macro="" textlink="">
          <xdr:nvSpPr>
            <xdr:cNvPr id="1038" name="cmdStiffDIA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0.02592</cdr:x>
      <cdr:y>0.12448</cdr:y>
    </cdr:from>
    <cdr:to>
      <cdr:x>0.19652</cdr:x>
      <cdr:y>0.44701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C0AE4312-8A55-4CEB-ACD5-BA3B9893D576}"/>
            </a:ext>
          </a:extLst>
        </cdr:cNvPr>
        <cdr:cNvGrpSpPr/>
      </cdr:nvGrpSpPr>
      <cdr:grpSpPr>
        <a:xfrm xmlns:a="http://schemas.openxmlformats.org/drawingml/2006/main">
          <a:off x="142207" y="638603"/>
          <a:ext cx="935980" cy="1654632"/>
          <a:chOff x="91389" y="342900"/>
          <a:chExt cx="936000" cy="1592580"/>
        </a:xfrm>
      </cdr:grpSpPr>
      <cdr:sp macro="" textlink="DATA!$D$1">
        <cdr:nvSpPr>
          <cdr:cNvPr id="5" name="TextBox 1">
            <a:extLst xmlns:a="http://schemas.openxmlformats.org/drawingml/2006/main">
              <a:ext uri="{FF2B5EF4-FFF2-40B4-BE49-F238E27FC236}">
                <a16:creationId xmlns:a16="http://schemas.microsoft.com/office/drawing/2014/main" id="{17D33110-1FED-40F0-8572-DB8A126A492C}"/>
              </a:ext>
            </a:extLst>
          </cdr:cNvPr>
          <cdr:cNvSpPr txBox="1"/>
        </cdr:nvSpPr>
        <cdr:spPr>
          <a:xfrm xmlns:a="http://schemas.openxmlformats.org/drawingml/2006/main">
            <a:off x="91389" y="342900"/>
            <a:ext cx="549126" cy="159258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none" rIns="0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fld id="{73E160E6-500D-453D-B548-DBF606EC8AEE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Ca²⁺ = 
Mg²⁺ = 
Na⁺ = 
K⁺ = 
HCO₃⁻ = 
CO₃⁻ = 
Cl⁻ = 
SO₄²⁻ = 
F⁻ = </a:t>
            </a:fld>
            <a:endParaRPr lang="en-US" sz="1100"/>
          </a:p>
        </cdr:txBody>
      </cdr:sp>
      <cdr:sp macro="" textlink="DATA!$D$2">
        <cdr:nvSpPr>
          <cdr:cNvPr id="6" name="TextBox 2">
            <a:extLst xmlns:a="http://schemas.openxmlformats.org/drawingml/2006/main">
              <a:ext uri="{FF2B5EF4-FFF2-40B4-BE49-F238E27FC236}">
                <a16:creationId xmlns:a16="http://schemas.microsoft.com/office/drawing/2014/main" id="{485CFA1C-D0F5-4D19-A6C5-A8707A1F690D}"/>
              </a:ext>
            </a:extLst>
          </cdr:cNvPr>
          <cdr:cNvSpPr txBox="1"/>
        </cdr:nvSpPr>
        <cdr:spPr>
          <a:xfrm xmlns:a="http://schemas.openxmlformats.org/drawingml/2006/main">
            <a:off x="609549" y="342900"/>
            <a:ext cx="417840" cy="159258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 w="9525" cmpd="sng">
            <a:noFill/>
          </a:ln>
        </cdr:spPr>
        <cdr:style>
          <a:lnRef xmlns:a="http://schemas.openxmlformats.org/drawingml/2006/main" idx="0">
            <a:scrgbClr r="0" g="0" b="0"/>
          </a:lnRef>
          <a:fillRef xmlns:a="http://schemas.openxmlformats.org/drawingml/2006/main" idx="0">
            <a:scrgbClr r="0" g="0" b="0"/>
          </a:fillRef>
          <a:effectRef xmlns:a="http://schemas.openxmlformats.org/drawingml/2006/main" idx="0">
            <a:scrgbClr r="0" g="0" b="0"/>
          </a:effectRef>
          <a:fontRef xmlns:a="http://schemas.openxmlformats.org/drawingml/2006/main" idx="minor">
            <a:schemeClr val="dk1"/>
          </a:fontRef>
        </cdr:style>
        <cdr:txBody>
          <a:bodyPr xmlns:a="http://schemas.openxmlformats.org/drawingml/2006/main" wrap="none" rIns="0" rtlCol="0" anchor="t">
            <a:noAutofit/>
          </a:bodyPr>
          <a:lstStyle xmlns:a="http://schemas.openxmlformats.org/drawingml/2006/main"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r"/>
            <a:fld id="{510DD60F-1705-48E8-9224-58A2158B31D0}" type="TxLink">
              <a:rPr lang="en-US" sz="900" b="0" i="0" u="none" strike="noStrike">
                <a:solidFill>
                  <a:srgbClr val="000000"/>
                </a:solidFill>
                <a:latin typeface="Arial"/>
                <a:cs typeface="Arial"/>
              </a:rPr>
              <a:pPr algn="r"/>
              <a:t>10.
2.
79.
2.
165.
0.
10.
44.
3.</a:t>
            </a:fld>
            <a:endParaRPr lang="en-US" sz="1100"/>
          </a:p>
        </cdr:txBody>
      </cdr:sp>
    </cdr:grpSp>
  </cdr:relSizeAnchor>
  <cdr:relSizeAnchor xmlns:cdr="http://schemas.openxmlformats.org/drawingml/2006/chartDrawing">
    <cdr:from>
      <cdr:x>0.01851</cdr:x>
      <cdr:y>0.01646</cdr:y>
    </cdr:from>
    <cdr:to>
      <cdr:x>0.35278</cdr:x>
      <cdr:y>0.125</cdr:y>
    </cdr:to>
    <cdr:sp macro="" textlink="DATA!$D$3">
      <cdr:nvSpPr>
        <cdr:cNvPr id="4" name="TextBox 5">
          <a:extLst xmlns:a="http://schemas.openxmlformats.org/drawingml/2006/main">
            <a:ext uri="{FF2B5EF4-FFF2-40B4-BE49-F238E27FC236}">
              <a16:creationId xmlns:a16="http://schemas.microsoft.com/office/drawing/2014/main" id="{09FA4604-E810-4DED-B998-1B2C1A5750B6}"/>
            </a:ext>
          </a:extLst>
        </cdr:cNvPr>
        <cdr:cNvSpPr txBox="1"/>
      </cdr:nvSpPr>
      <cdr:spPr>
        <a:xfrm xmlns:a="http://schemas.openxmlformats.org/drawingml/2006/main">
          <a:off x="101553" y="81276"/>
          <a:ext cx="1833927" cy="535944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none" rIns="0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78F6AFCE-0D25-4EE8-8DA6-AD0D6B19148E}" type="TxLink">
            <a:rPr lang="en-US" sz="9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USW VH-1
TDS = 314. mg/L
Charge balance = 1%</a:t>
          </a:fld>
          <a:endParaRPr lang="en-US" sz="1200" b="1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0.04623</cdr:x>
      <cdr:y>0.01575</cdr:y>
    </cdr:from>
    <cdr:to>
      <cdr:x>0.95134</cdr:x>
      <cdr:y>0.12992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B16177A-1470-4587-B370-877877BFD404}"/>
            </a:ext>
          </a:extLst>
        </cdr:cNvPr>
        <cdr:cNvSpPr txBox="1"/>
      </cdr:nvSpPr>
      <cdr:spPr>
        <a:xfrm xmlns:a="http://schemas.openxmlformats.org/drawingml/2006/main">
          <a:off x="144780" y="30480"/>
          <a:ext cx="2834640" cy="2209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0.03163</cdr:x>
      <cdr:y>0.00394</cdr:y>
    </cdr:from>
    <cdr:to>
      <cdr:x>0.9635</cdr:x>
      <cdr:y>0.12598</cdr:y>
    </cdr:to>
    <cdr:sp macro="" textlink="DATA!$C$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C7B424A-2582-4792-A40C-0FCD40796707}"/>
            </a:ext>
          </a:extLst>
        </cdr:cNvPr>
        <cdr:cNvSpPr txBox="1"/>
      </cdr:nvSpPr>
      <cdr:spPr>
        <a:xfrm xmlns:a="http://schemas.openxmlformats.org/drawingml/2006/main">
          <a:off x="99060" y="7620"/>
          <a:ext cx="2918460" cy="2362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horzOverflow="clip" wrap="none" rtlCol="0"/>
        <a:lstStyle xmlns:a="http://schemas.openxmlformats.org/drawingml/2006/main"/>
        <a:p xmlns:a="http://schemas.openxmlformats.org/drawingml/2006/main">
          <a:pPr algn="ctr"/>
          <a:fld id="{4742CCA3-4499-4D4C-B91D-A0A1209FDBDE}" type="TxLink">
            <a:rPr lang="en-US" sz="9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USW VH-1, TDS = 314. mg/L</a:t>
          </a:fld>
          <a:endParaRPr lang="en-US" sz="1050" b="1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A2467-B5E4-4001-BA2A-A99792F2A46F}">
  <sheetPr codeName="Sheet2"/>
  <dimension ref="B1:CE1211"/>
  <sheetViews>
    <sheetView topLeftCell="BP1" workbookViewId="0">
      <selection activeCell="BY1" sqref="BY1"/>
    </sheetView>
  </sheetViews>
  <sheetFormatPr defaultRowHeight="15" x14ac:dyDescent="0.25"/>
  <cols>
    <col min="1" max="1" width="5.28515625" customWidth="1"/>
    <col min="2" max="2" width="18.7109375" bestFit="1" customWidth="1"/>
    <col min="3" max="3" width="6.7109375" bestFit="1" customWidth="1"/>
    <col min="5" max="5" width="10.85546875" bestFit="1" customWidth="1"/>
    <col min="6" max="6" width="3.85546875" bestFit="1" customWidth="1"/>
    <col min="9" max="9" width="5.28515625" customWidth="1"/>
    <col min="10" max="10" width="6.7109375" customWidth="1"/>
    <col min="18" max="18" width="5.85546875" customWidth="1"/>
    <col min="19" max="19" width="41.28515625" customWidth="1"/>
    <col min="20" max="20" width="5.42578125" hidden="1" customWidth="1"/>
    <col min="21" max="21" width="10.7109375" bestFit="1" customWidth="1"/>
    <col min="22" max="23" width="2.7109375" customWidth="1"/>
    <col min="25" max="25" width="13.140625" bestFit="1" customWidth="1"/>
    <col min="26" max="26" width="17" customWidth="1"/>
    <col min="27" max="27" width="10.7109375" customWidth="1"/>
    <col min="28" max="28" width="17" bestFit="1" customWidth="1"/>
    <col min="31" max="36" width="7.42578125" customWidth="1"/>
    <col min="38" max="43" width="5.28515625" customWidth="1"/>
    <col min="45" max="45" width="4.28515625" bestFit="1" customWidth="1"/>
    <col min="46" max="46" width="4" customWidth="1"/>
    <col min="47" max="47" width="4.140625" customWidth="1"/>
    <col min="48" max="48" width="4.42578125" customWidth="1"/>
    <col min="49" max="60" width="4.140625" customWidth="1"/>
    <col min="67" max="67" width="4" bestFit="1" customWidth="1"/>
    <col min="69" max="69" width="2.85546875" customWidth="1"/>
    <col min="78" max="78" width="11.140625" bestFit="1" customWidth="1"/>
    <col min="80" max="80" width="26.7109375" style="40" customWidth="1"/>
  </cols>
  <sheetData>
    <row r="1" spans="2:83" ht="24" customHeight="1" thickBot="1" x14ac:dyDescent="0.3">
      <c r="BJ1" s="31" t="s">
        <v>151</v>
      </c>
      <c r="BK1" s="30" t="s">
        <v>152</v>
      </c>
      <c r="BM1" s="18" t="s">
        <v>180</v>
      </c>
      <c r="BN1" s="30" t="s">
        <v>174</v>
      </c>
      <c r="BO1">
        <f>IF(BN1=$BM$3,PIPER!O14,10^INT(LOG(PIPER!O14)))</f>
        <v>0.2</v>
      </c>
      <c r="BP1" s="32">
        <f ca="1">IF($BN$1=$BM$3,MROUND(IF(LEN(PIPER!$O$15)&gt;0,PIPER!$O$15,PIPER!$P$15),IF(BP2&lt;0,10^INT(LOG( IF(LEN(PIPER!$O$15)&gt;0,PIPER!$O$15,PIPER!$P$15))),BP2)),10^INT(LOG(IF(LEN(PIPER!$O$15)&gt;0,PIPER!$O$15,PIPER!$P$15))+0.999999))</f>
        <v>10</v>
      </c>
      <c r="BY1" t="s">
        <v>103</v>
      </c>
    </row>
    <row r="2" spans="2:83" ht="24" customHeight="1" x14ac:dyDescent="0.25">
      <c r="B2" s="3" t="s">
        <v>18</v>
      </c>
      <c r="C2">
        <v>0.3</v>
      </c>
      <c r="AU2" s="13"/>
      <c r="AV2" s="13"/>
      <c r="BJ2" s="31" t="s">
        <v>95</v>
      </c>
      <c r="BK2" s="30" t="s">
        <v>96</v>
      </c>
      <c r="BM2" t="s">
        <v>173</v>
      </c>
      <c r="BO2" t="s">
        <v>177</v>
      </c>
      <c r="BP2">
        <f>IF($BN$1=$BM$2,IF(PIPER!$O$16&gt;30,2,1),IF(LEN(PIPER!$O$16)&gt;0,PIPER!$O$16,-1))</f>
        <v>-1</v>
      </c>
    </row>
    <row r="3" spans="2:83" ht="24" customHeight="1" x14ac:dyDescent="0.25">
      <c r="B3" s="3" t="s">
        <v>19</v>
      </c>
      <c r="C3">
        <v>5</v>
      </c>
      <c r="Q3" t="s">
        <v>59</v>
      </c>
      <c r="R3">
        <f>NumberOFF*3</f>
        <v>0.22499999999999998</v>
      </c>
      <c r="AE3" t="s">
        <v>99</v>
      </c>
      <c r="AU3" s="13"/>
      <c r="AV3" s="13"/>
      <c r="BJ3" s="31" t="s">
        <v>100</v>
      </c>
      <c r="BK3" s="30" t="s">
        <v>101</v>
      </c>
      <c r="BM3" t="s">
        <v>174</v>
      </c>
      <c r="CE3" t="str">
        <f>SUBSTITUTE(CE4,"right;","right;font-weight:bold;")</f>
        <v>&lt;tr bgcolor=#KOLOR style="text-align:right;font-weight:bold;"&gt; &lt;td&gt;LABEL&lt;/td&gt; &lt;td&gt;VALUE mg/L&lt;/td&gt;</v>
      </c>
    </row>
    <row r="4" spans="2:83" x14ac:dyDescent="0.25">
      <c r="B4" s="3" t="s">
        <v>83</v>
      </c>
      <c r="C4" s="13" t="s">
        <v>84</v>
      </c>
      <c r="J4" s="3"/>
      <c r="Q4" t="s">
        <v>60</v>
      </c>
      <c r="R4">
        <f>dAnionOFF/4</f>
        <v>7.4999999999999997E-2</v>
      </c>
      <c r="AT4" s="3" t="s">
        <v>54</v>
      </c>
      <c r="AU4" s="14">
        <v>-99</v>
      </c>
      <c r="AV4" s="25" t="b">
        <v>1</v>
      </c>
      <c r="BQ4">
        <v>2.2000000000000002</v>
      </c>
      <c r="BV4">
        <v>0.02</v>
      </c>
      <c r="CE4" t="s">
        <v>165</v>
      </c>
    </row>
    <row r="5" spans="2:83" x14ac:dyDescent="0.25">
      <c r="N5">
        <f>1/C3</f>
        <v>0.2</v>
      </c>
      <c r="O5" t="s">
        <v>61</v>
      </c>
      <c r="X5" s="3" t="s">
        <v>102</v>
      </c>
      <c r="Y5">
        <f>MATCH(sSITEnow,DATA!D15:D236,0)</f>
        <v>87</v>
      </c>
      <c r="AB5" s="27">
        <f ca="1">MAX(AC7:AC314)</f>
        <v>90</v>
      </c>
      <c r="AD5" t="s">
        <v>57</v>
      </c>
      <c r="AE5" s="17">
        <v>0</v>
      </c>
      <c r="AF5" s="17">
        <v>1</v>
      </c>
      <c r="AG5" s="17">
        <v>2</v>
      </c>
      <c r="AH5" s="17">
        <v>3</v>
      </c>
      <c r="AI5" s="17">
        <v>4</v>
      </c>
      <c r="AJ5" s="17">
        <v>5</v>
      </c>
      <c r="AL5" s="17" t="s">
        <v>51</v>
      </c>
      <c r="AM5" s="17"/>
      <c r="AN5" s="17"/>
      <c r="AO5" s="17"/>
      <c r="AP5" s="17"/>
      <c r="AQ5" s="17"/>
      <c r="BW5">
        <f>IF($BN$1=$BM$3,PIPER!O14,LOG(PIPER!O14/$BO$1))</f>
        <v>0.2</v>
      </c>
      <c r="BX5">
        <f>-BW5</f>
        <v>-0.2</v>
      </c>
      <c r="CC5" t="e">
        <f>srgb(CD7)</f>
        <v>#VALUE!</v>
      </c>
      <c r="CD5" t="s">
        <v>164</v>
      </c>
    </row>
    <row r="6" spans="2:83" s="1" customFormat="1" ht="15.75" thickBot="1" x14ac:dyDescent="0.3">
      <c r="B6" s="1" t="s">
        <v>0</v>
      </c>
      <c r="C6" s="1" t="s">
        <v>1</v>
      </c>
      <c r="D6" s="1" t="s">
        <v>2</v>
      </c>
      <c r="E6" s="1" t="s">
        <v>3</v>
      </c>
      <c r="F6" s="18" t="s">
        <v>58</v>
      </c>
      <c r="H6" s="1" t="s">
        <v>39</v>
      </c>
      <c r="K6" s="1" t="s">
        <v>13</v>
      </c>
      <c r="L6" s="1" t="s">
        <v>14</v>
      </c>
      <c r="M6" s="1" t="s">
        <v>62</v>
      </c>
      <c r="O6" s="1" t="s">
        <v>63</v>
      </c>
      <c r="Q6" s="1" t="s">
        <v>64</v>
      </c>
      <c r="R6" s="1" t="s">
        <v>65</v>
      </c>
      <c r="S6" s="1" t="s">
        <v>66</v>
      </c>
      <c r="T6" s="1" t="s">
        <v>67</v>
      </c>
      <c r="U6" s="1" t="s">
        <v>77</v>
      </c>
      <c r="W6" s="1" t="s">
        <v>82</v>
      </c>
      <c r="X6" s="1" t="s">
        <v>64</v>
      </c>
      <c r="Y6" s="1" t="str">
        <f>sSITEnow&amp;"_KEEP"</f>
        <v>USW VH-1_KEEP</v>
      </c>
      <c r="AB6" s="1" t="s">
        <v>79</v>
      </c>
      <c r="AC6" s="1" t="s">
        <v>81</v>
      </c>
      <c r="AD6" s="1" t="s">
        <v>80</v>
      </c>
      <c r="AE6" s="1" t="s">
        <v>43</v>
      </c>
      <c r="AF6" s="1" t="s">
        <v>44</v>
      </c>
      <c r="AG6" s="1" t="s">
        <v>45</v>
      </c>
      <c r="AH6" s="1" t="s">
        <v>46</v>
      </c>
      <c r="AI6" s="1" t="s">
        <v>47</v>
      </c>
      <c r="AJ6" s="1" t="s">
        <v>48</v>
      </c>
      <c r="AL6" s="1" t="str">
        <f>AE6</f>
        <v>Cat_Bottom</v>
      </c>
      <c r="AM6" s="1" t="str">
        <f>AF6</f>
        <v>Cat_Side</v>
      </c>
      <c r="AN6" s="1" t="s">
        <v>46</v>
      </c>
      <c r="AO6" s="1" t="s">
        <v>47</v>
      </c>
      <c r="AP6" s="1" t="s">
        <v>45</v>
      </c>
      <c r="AQ6" s="1" t="s">
        <v>48</v>
      </c>
      <c r="AS6" s="1" t="s">
        <v>40</v>
      </c>
      <c r="AT6" s="1" t="s">
        <v>50</v>
      </c>
      <c r="AU6" s="1" t="s">
        <v>52</v>
      </c>
      <c r="AV6" s="1" t="s">
        <v>53</v>
      </c>
      <c r="AW6" s="1" t="str">
        <f ca="1">IF(AND(LEN(OFFSET(PIPER!$J$5,COLUMN(AW6)-COLUMN($AW$6),0))&gt;0,$AV$4=OFFSET(PIPER!$J$5,COLUMN(AW6)-COLUMN($AW$6),1)),OFFSET(PIPER!$J$5,COLUMN(AW6)-COLUMN($AW$6),0),"")</f>
        <v>Ash Meadows discharge area</v>
      </c>
      <c r="AX6" s="1" t="str">
        <f ca="1">IF(AND(LEN(OFFSET(PIPER!$J$5,COLUMN(AX6)-COLUMN($AW$6),0))&gt;0,$AV$4=OFFSET(PIPER!$J$5,COLUMN(AX6)-COLUMN($AW$6),1)),OFFSET(PIPER!$J$5,COLUMN(AX6)-COLUMN($AW$6),0),"")</f>
        <v>Carbonate in Ash Meadows</v>
      </c>
      <c r="AY6" s="1" t="str">
        <f ca="1">IF(AND(LEN(OFFSET(PIPER!$J$5,COLUMN(AY6)-COLUMN($AW$6),0))&gt;0,$AV$4=OFFSET(PIPER!$J$5,COLUMN(AY6)-COLUMN($AW$6),1)),OFFSET(PIPER!$J$5,COLUMN(AY6)-COLUMN($AW$6),0),"")</f>
        <v>Central Amargosa Desert</v>
      </c>
      <c r="AZ6" s="1" t="str">
        <f ca="1">IF(AND(LEN(OFFSET(PIPER!$J$5,COLUMN(AZ6)-COLUMN($AW$6),0))&gt;0,$AV$4=OFFSET(PIPER!$J$5,COLUMN(AZ6)-COLUMN($AW$6),1)),OFFSET(PIPER!$J$5,COLUMN(AZ6)-COLUMN($AW$6),0),"")</f>
        <v>Furnace Creek</v>
      </c>
      <c r="BA6" s="1" t="str">
        <f ca="1">IF(AND(LEN(OFFSET(PIPER!$J$5,COLUMN(BA6)-COLUMN($AW$6),0))&gt;0,$AV$4=OFFSET(PIPER!$J$5,COLUMN(BA6)-COLUMN($AW$6),1)),OFFSET(PIPER!$J$5,COLUMN(BA6)-COLUMN($AW$6),0),"")</f>
        <v>Well AD-4 corridor</v>
      </c>
      <c r="BB6" s="1" t="str">
        <f ca="1">IF(AND(LEN(OFFSET(PIPER!$J$5,COLUMN(BB6)-COLUMN($AW$6),0))&gt;0,$AV$4=OFFSET(PIPER!$J$5,COLUMN(BB6)-COLUMN($AW$6),1)),OFFSET(PIPER!$J$5,COLUMN(BB6)-COLUMN($AW$6),0),"")</f>
        <v>Western Amargosa Desert</v>
      </c>
      <c r="BC6" s="1" t="str">
        <f ca="1">IF(AND(LEN(OFFSET(PIPER!$J$5,COLUMN(BC6)-COLUMN($AW$6),0))&gt;0,$AV$4=OFFSET(PIPER!$J$5,COLUMN(BC6)-COLUMN($AW$6),1)),OFFSET(PIPER!$J$5,COLUMN(BC6)-COLUMN($AW$6),0),"")</f>
        <v>Yucca Mtn–Jackass Flats</v>
      </c>
      <c r="BD6" s="1" t="str">
        <f ca="1">IF(AND(LEN(OFFSET(PIPER!$J$5,COLUMN(BD6)-COLUMN($AW$6),0))&gt;0,$AV$4=OFFSET(PIPER!$J$5,COLUMN(BD6)-COLUMN($AW$6),1)),OFFSET(PIPER!$J$5,COLUMN(BD6)-COLUMN($AW$6),0),"")</f>
        <v/>
      </c>
      <c r="BE6" s="1" t="str">
        <f ca="1">IF(AND(LEN(OFFSET(PIPER!$J$5,COLUMN(BE6)-COLUMN($AW$6),0))&gt;0,$AV$4=OFFSET(PIPER!$J$5,COLUMN(BE6)-COLUMN($AW$6),1)),OFFSET(PIPER!$J$5,COLUMN(BE6)-COLUMN($AW$6),0),"")</f>
        <v/>
      </c>
      <c r="BF6" s="1" t="str">
        <f ca="1">IF(AND(LEN(OFFSET(PIPER!$J$5,COLUMN(BF6)-COLUMN($AW$6),0))&gt;0,$AV$4=OFFSET(PIPER!$J$5,COLUMN(BF6)-COLUMN($AW$6),1)),OFFSET(PIPER!$J$5,COLUMN(BF6)-COLUMN($AW$6),0),"")</f>
        <v/>
      </c>
      <c r="BG6" s="1" t="str">
        <f ca="1">IF(AND(LEN(OFFSET(PIPER!$J$5,COLUMN(BG6)-COLUMN($AW$6),0))&gt;0,$AV$4=OFFSET(PIPER!$J$5,COLUMN(BG6)-COLUMN($AW$6),1)),OFFSET(PIPER!$J$5,COLUMN(BG6)-COLUMN($AW$6),0),"")</f>
        <v/>
      </c>
      <c r="BH6" s="1" t="str">
        <f ca="1">IF(AND(LEN(OFFSET(PIPER!$J$5,COLUMN(BH6)-COLUMN($AW$6),0))&gt;0,$AV$4=OFFSET(PIPER!$J$5,COLUMN(BH6)-COLUMN($AW$6),1)),OFFSET(PIPER!$J$5,COLUMN(BH6)-COLUMN($AW$6),0),"")</f>
        <v/>
      </c>
      <c r="BL6" s="1" t="s">
        <v>53</v>
      </c>
      <c r="BM6" s="1" t="s">
        <v>90</v>
      </c>
      <c r="BN6" s="1" t="s">
        <v>91</v>
      </c>
      <c r="BP6" s="1" t="s">
        <v>52</v>
      </c>
      <c r="BQ6" s="1" t="s">
        <v>176</v>
      </c>
      <c r="BR6" s="1" t="s">
        <v>175</v>
      </c>
      <c r="BU6" s="1" t="s">
        <v>40</v>
      </c>
      <c r="BV6" s="1" t="s">
        <v>53</v>
      </c>
      <c r="BW6" s="1" t="s">
        <v>90</v>
      </c>
      <c r="BX6" s="1" t="s">
        <v>91</v>
      </c>
      <c r="BZ6" s="1" t="s">
        <v>136</v>
      </c>
      <c r="CA6" s="1" t="s">
        <v>135</v>
      </c>
      <c r="CB6" s="41" t="s">
        <v>107</v>
      </c>
      <c r="CD6" s="1" t="s">
        <v>163</v>
      </c>
      <c r="CE6" s="1" t="s">
        <v>161</v>
      </c>
    </row>
    <row r="7" spans="2:83" x14ac:dyDescent="0.25">
      <c r="B7" t="s">
        <v>20</v>
      </c>
      <c r="C7" s="2">
        <v>2</v>
      </c>
      <c r="D7">
        <v>20.04</v>
      </c>
      <c r="E7" t="s">
        <v>4</v>
      </c>
      <c r="F7">
        <v>40.078000000000003</v>
      </c>
      <c r="H7" t="s">
        <v>32</v>
      </c>
      <c r="J7" s="3"/>
      <c r="K7">
        <v>0</v>
      </c>
      <c r="L7">
        <v>0</v>
      </c>
      <c r="M7" t="s">
        <v>68</v>
      </c>
      <c r="N7">
        <f>N5</f>
        <v>0.2</v>
      </c>
      <c r="O7">
        <v>0</v>
      </c>
      <c r="Q7">
        <f>AVERAGE(K7:K8)-LabelOFF*COS(T7*PI()/180)</f>
        <v>0.13749999999999998</v>
      </c>
      <c r="R7">
        <f>AVERAGE(L7:L8)+SIN(T7*PI()/180)*LabelOFF</f>
        <v>0.62786841774371793</v>
      </c>
      <c r="S7" t="str">
        <f ca="1">OFFSET(DATA!$D$5,MATCH(U7,DATA!$Q$6:$Q$11,0),0)</f>
        <v>Magnesium (Mg²⁺)</v>
      </c>
      <c r="T7">
        <v>60</v>
      </c>
      <c r="U7" s="26" t="s">
        <v>44</v>
      </c>
      <c r="V7" s="26"/>
      <c r="W7" s="26">
        <v>0</v>
      </c>
      <c r="X7">
        <f t="shared" ref="X7:Y9" ca="1" si="0">IF(ISNUMBER($Y$5),OFFSET(AU$6,($W7)*lCNTsites+$Y$5,0),dNULL)</f>
        <v>0.86348667410862623</v>
      </c>
      <c r="Y7">
        <f t="shared" ca="1" si="0"/>
        <v>2.601811029944821E-2</v>
      </c>
      <c r="Z7" s="26"/>
      <c r="AA7" s="26"/>
      <c r="AB7" s="26" t="str">
        <f t="shared" ref="AB7:AB70" ca="1" si="1">IF(ROW(AB7)-ROW($AB$6)&lt;=$AB$5,OFFSET($AD$6,MATCH(ROW(AB7)-ROW($AB$6),$AC$7:$AC$314,0),0),"")</f>
        <v>Amargosa Tracer Well 2</v>
      </c>
      <c r="AC7">
        <f ca="1">IF(LEN(AD7)&gt;0,1,0)</f>
        <v>1</v>
      </c>
      <c r="AD7" t="str">
        <f ca="1">IF(AND(AT7&lt;1,MAX(AW7:BH7)&gt;dNULL),DATA!$D15,"")</f>
        <v>Amargosa Tracer Well 2</v>
      </c>
      <c r="AE7" s="7">
        <f ca="1">IF(LEN(DATA!D15)&gt;0,SUMPRODUCT(OFFSET(DATA!$R$6,AE$5,0,1,10),DATA!$R15:$AA15),"")</f>
        <v>2.19560878243513</v>
      </c>
      <c r="AF7" s="7">
        <f ca="1">IF(LEN(DATA!E15)&gt;0,SUMPRODUCT(OFFSET(DATA!$R$6,AF$5,0,1,10),DATA!$R15:$AA15),"")</f>
        <v>1.6452780519907864</v>
      </c>
      <c r="AG7" s="7">
        <f ca="1">IF(LEN(DATA!F15)&gt;0,SUMPRODUCT(OFFSET(DATA!$R$6,AG$5,0,1,10),DATA!$R15:$AA15),"")</f>
        <v>3.0268154188001781</v>
      </c>
      <c r="AH7" s="7">
        <f ca="1">IF(LEN(DATA!G15)&gt;0,SUMPRODUCT(OFFSET(DATA!$R$6,AH$5,0,1,10),DATA!$R15:$AA15),"")</f>
        <v>0.65360837373168357</v>
      </c>
      <c r="AI7" s="7">
        <f ca="1">IF(LEN(DATA!H15)&gt;0,SUMPRODUCT(OFFSET(DATA!$R$6,AI$5,0,1,10),DATA!$R15:$AA15),"")</f>
        <v>1.457398169507899</v>
      </c>
      <c r="AJ7" s="7">
        <f ca="1">IF(LEN(DATA!I15)&gt;0,SUMPRODUCT(OFFSET(DATA!$R$6,AJ$5,0,1,10),DATA!$R15:$AA15),"")</f>
        <v>4.7704918032786887</v>
      </c>
      <c r="AK7" s="7"/>
      <c r="AL7" s="7">
        <f t="shared" ref="AL7:AL70" ca="1" si="2">IF(ISNUMBER(AE7),AE7,0)/SUM($AE7:$AG7)</f>
        <v>0.31970063661448717</v>
      </c>
      <c r="AM7" s="7">
        <f t="shared" ref="AM7:AM70" ca="1" si="3">IF(ISNUMBER(AF7),AF7,0)/SUM($AE7:$AG7)</f>
        <v>0.23956746977752555</v>
      </c>
      <c r="AN7" s="7">
        <f t="shared" ref="AN7:AN70" ca="1" si="4">IF(ISNUMBER(AH7),AH7,0)/SUM($AH7:$AJ7)</f>
        <v>9.4980531974171001E-2</v>
      </c>
      <c r="AO7" s="7">
        <f t="shared" ref="AO7:AO70" ca="1" si="5">IF(ISNUMBER(AI7),AI7,0)/SUM($AH7:$AJ7)</f>
        <v>0.21178500613100879</v>
      </c>
      <c r="AP7" s="7">
        <f t="shared" ref="AP7:AP70" ca="1" si="6">IF(ISNUMBER(AG7),AG7,0)/SUM($AE7:$AG7)</f>
        <v>0.44073189360798742</v>
      </c>
      <c r="AQ7" s="7">
        <f t="shared" ref="AQ7:AQ70" ca="1" si="7">IF(ISNUMBER(AJ7),AJ7,0)/SUM($AH7:$AJ7)</f>
        <v>0.69323446189482019</v>
      </c>
      <c r="AS7">
        <f t="shared" ref="AS7:AS70" si="8">MOD(ROW(AT7)-ROW($AT$7),lCNTsites)+1</f>
        <v>1</v>
      </c>
      <c r="AT7">
        <f t="shared" ref="AT7:AT70" si="9">INT((ROW(AT7)-ROW($AT$7))/lCNTsites)</f>
        <v>0</v>
      </c>
      <c r="AU7">
        <f t="shared" ref="AU7:AU70" ca="1" si="10">IF($AT7=0,(1-OFFSET($AL$6,$AS7,$AT7*2))-OFFSET($AL$6,$AS7,$AT7*2+1)*$K$8,IF($AT7=1,dAnionOFF+1+OFFSET($AL$6,$AS7,$AT7*2)+OFFSET($AL$6,$AS7,$AT7*2+1)/2,IF($AT7=2,$K$17-(1-OFFSET($AL$6,$AS7,$AT7*2))*0.5+(1-OFFSET($AL$6,$AS7,$AT7*2+1))*0.5,dNULL)))</f>
        <v>0.56051562849674996</v>
      </c>
      <c r="AV7">
        <f t="shared" ref="AV7:AV70" ca="1" si="11">IF($AT7=0,OFFSET($AL$6,$AS7,$AT7*2+1)*$L$8,IF($AT7=1,OFFSET($AL$6,$AS7,$AT7*2+1)*3^0.5/2,IF($AT7=2,$L$17+(2-OFFSET($AL$6,$AS7,$AT7*2)-OFFSET($AL$6,$AS7,$AT7*2+1))*$L$8,dNULL)))</f>
        <v>0.20747151474769784</v>
      </c>
      <c r="AW7">
        <f ca="1">IF(AND($AT7&lt;3,OFFSET(DATA!$C$14,$AS7,0)=AW$6),$AV7,dNULL)</f>
        <v>-99</v>
      </c>
      <c r="AX7">
        <f ca="1">IF(AND($AT7&lt;3,OFFSET(DATA!$C$14,$AS7,0)=AX$6),$AV7,dNULL)</f>
        <v>0.20747151474769784</v>
      </c>
      <c r="AY7">
        <f ca="1">IF(AND($AT7&lt;3,OFFSET(DATA!$C$14,$AS7,0)=AY$6),$AV7,dNULL)</f>
        <v>-99</v>
      </c>
      <c r="AZ7">
        <f ca="1">IF(AND($AT7&lt;3,OFFSET(DATA!$C$14,$AS7,0)=AZ$6),$AV7,dNULL)</f>
        <v>-99</v>
      </c>
      <c r="BA7">
        <f ca="1">IF(AND($AT7&lt;3,OFFSET(DATA!$C$14,$AS7,0)=BA$6),$AV7,dNULL)</f>
        <v>-99</v>
      </c>
      <c r="BB7">
        <f ca="1">IF(AND($AT7&lt;3,OFFSET(DATA!$C$14,$AS7,0)=BB$6),$AV7,dNULL)</f>
        <v>-99</v>
      </c>
      <c r="BC7">
        <f ca="1">IF(AND($AT7&lt;3,OFFSET(DATA!$C$14,$AS7,0)=BC$6),$AV7,dNULL)</f>
        <v>-99</v>
      </c>
      <c r="BD7">
        <f ca="1">IF(AND($AT7&lt;3,OFFSET(DATA!$C$14,$AS7,0)=BD$6),$AV7,dNULL)</f>
        <v>-99</v>
      </c>
      <c r="BE7">
        <f ca="1">IF(AND($AT7&lt;3,OFFSET(DATA!$C$14,$AS7,0)=BE$6),$AV7,dNULL)</f>
        <v>-99</v>
      </c>
      <c r="BF7">
        <f ca="1">IF(AND($AT7&lt;3,OFFSET(DATA!$C$14,$AS7,0)=BF$6),$AV7,dNULL)</f>
        <v>-99</v>
      </c>
      <c r="BG7">
        <f ca="1">IF(AND($AT7&lt;3,OFFSET(DATA!$C$14,$AS7,0)=BG$6),$AV7,dNULL)</f>
        <v>-99</v>
      </c>
      <c r="BH7">
        <f ca="1">IF(AND($AT7&lt;3,OFFSET(DATA!$C$14,$AS7,0)=BH$6),$AV7,dNULL)</f>
        <v>-99</v>
      </c>
      <c r="BJ7" t="str">
        <f>PIPER!O22</f>
        <v>Na⁺ + K⁺</v>
      </c>
      <c r="BK7" t="str">
        <f>PIPER!P22</f>
        <v>HCO₃⁻ + CO₃⁻</v>
      </c>
      <c r="BL7">
        <v>0.1</v>
      </c>
      <c r="BM7">
        <f ca="1">BM12</f>
        <v>3.4848929167377003</v>
      </c>
      <c r="BN7">
        <f ca="1">BM15</f>
        <v>-2.7049180327868854</v>
      </c>
      <c r="BP7">
        <f>IF($BN$1=$BM$2,LOG(BP1/$BO$1),0)</f>
        <v>0</v>
      </c>
      <c r="BQ7">
        <f>IF($BN$1=$BM$2,$BQ$4,-3)</f>
        <v>-3</v>
      </c>
      <c r="BR7" t="str">
        <f>TEXT(10^(ABS(BP7)+LOG($BO$1)),IF(ABS(BP7)+LOG($BO$1)&gt;=0,"#,##0","0."&amp;REPT("0",ABS(ABS(BP7)+LOG($BO$1)))))</f>
        <v>0.</v>
      </c>
      <c r="BU7">
        <f>MATCH(BV7,$BL$7:$BL$9,1)</f>
        <v>1</v>
      </c>
      <c r="BV7">
        <f>BL7</f>
        <v>0.1</v>
      </c>
      <c r="BW7">
        <f t="shared" ref="BW7:BW70" ca="1" si="12">IF(MOD(ROW(BU8)-ROW($BV$8),2)&gt;0,OFFSET(BM$6,$BU7,0)+($BV7-OFFSET($BL$6,$BU7,0))*(OFFSET(BM$6,$BU7+1,0)-OFFSET(BM$6,$BU7,0))/(OFFSET($BL$6,$BU7+1,0)-OFFSET($BL$6,$BU7,0)),BW$5)</f>
        <v>0.2</v>
      </c>
      <c r="BX7">
        <f t="shared" ref="BX7:BX70" ca="1" si="13">IF(MOD(ROW(BV8)-ROW($BV$8),2)&gt;0,OFFSET(BN$6,$BU7,0)+($BV7-OFFSET($BL$6,$BU7,0))*(OFFSET(BN$6,$BU7+1,0)-OFFSET(BN$6,$BU7,0))/(OFFSET($BL$6,$BU7+1,0)-OFFSET($BL$6,$BU7,0)),BX$5)</f>
        <v>-0.2</v>
      </c>
      <c r="BZ7" t="s">
        <v>150</v>
      </c>
      <c r="CA7">
        <v>0</v>
      </c>
      <c r="CB7" s="40" t="s">
        <v>104</v>
      </c>
      <c r="CC7" t="s">
        <v>166</v>
      </c>
      <c r="CD7" s="38" t="s">
        <v>162</v>
      </c>
      <c r="CE7" t="str">
        <f>IF(LEN(CD7)&gt;1,SUBSTITUTE(SUBSTITUTE($CE$3,$CD$6,CD7),$CD$5,CC7),"")</f>
        <v>&lt;tr bgcolor=#BDCBE9 style="text-align:right;font-weight:bold;"&gt; &lt;td&gt;TDS =&lt;/td&gt; &lt;td&gt;VALUE mg/L&lt;/td&gt;</v>
      </c>
    </row>
    <row r="8" spans="2:83" x14ac:dyDescent="0.25">
      <c r="B8" t="s">
        <v>21</v>
      </c>
      <c r="C8" s="2">
        <v>2</v>
      </c>
      <c r="D8">
        <v>12.156000000000001</v>
      </c>
      <c r="E8" t="s">
        <v>5</v>
      </c>
      <c r="F8">
        <v>24.305</v>
      </c>
      <c r="H8" t="s">
        <v>38</v>
      </c>
      <c r="J8" s="3" t="s">
        <v>15</v>
      </c>
      <c r="K8">
        <v>0.5</v>
      </c>
      <c r="L8">
        <f>3^0.5/2</f>
        <v>0.8660254037844386</v>
      </c>
      <c r="N8">
        <f>N7-N7/2</f>
        <v>0.1</v>
      </c>
      <c r="O8">
        <f>O7+N7*ApexCAT</f>
        <v>0.17320508075688773</v>
      </c>
      <c r="Q8">
        <f>AVERAGE(K9:K10)</f>
        <v>0.5</v>
      </c>
      <c r="R8">
        <f>AVERAGE(L9:L10)-LabelOFF</f>
        <v>-0.22499999999999998</v>
      </c>
      <c r="S8" t="str">
        <f ca="1">OFFSET(DATA!$D$5,MATCH(U8,DATA!$Q$6:$Q$11,0),0)</f>
        <v>Calcium (Ca²⁺)</v>
      </c>
      <c r="T8">
        <v>0</v>
      </c>
      <c r="U8" s="26" t="s">
        <v>43</v>
      </c>
      <c r="V8" s="26"/>
      <c r="W8" s="26">
        <v>2</v>
      </c>
      <c r="X8">
        <f t="shared" ca="1" si="0"/>
        <v>1.2398939628085981</v>
      </c>
      <c r="Y8">
        <f t="shared" ca="1" si="0"/>
        <v>0.67797465866704609</v>
      </c>
      <c r="Z8" s="26"/>
      <c r="AA8" s="26"/>
      <c r="AB8" s="26" t="str">
        <f t="shared" ca="1" si="1"/>
        <v>Army Well #1</v>
      </c>
      <c r="AC8">
        <f t="shared" ref="AC8:AC71" ca="1" si="14">AC7+IF(LEN(AD8)&gt;0,1,0)</f>
        <v>2</v>
      </c>
      <c r="AD8" t="str">
        <f ca="1">IF(AND(AT8&lt;1,MAX(AW8:BH8)&gt;dNULL),DATA!$D16,"")</f>
        <v>Army Well #1</v>
      </c>
      <c r="AE8" s="7">
        <f ca="1">IF(LEN(DATA!D16)&gt;0,SUMPRODUCT(OFFSET(DATA!$R$6,AE$5,0,1,10),DATA!$R16:$AA16),"")</f>
        <v>2.2455089820359282</v>
      </c>
      <c r="AF8" s="7">
        <f ca="1">IF(LEN(DATA!E16)&gt;0,SUMPRODUCT(OFFSET(DATA!$R$6,AF$5,0,1,10),DATA!$R16:$AA16),"")</f>
        <v>1.809805857189865</v>
      </c>
      <c r="AG8" s="7">
        <f ca="1">IF(LEN(DATA!F16)&gt;0,SUMPRODUCT(OFFSET(DATA!$R$6,AG$5,0,1,10),DATA!$R16:$AA16),"")</f>
        <v>1.7935625512860385</v>
      </c>
      <c r="AH8" s="7">
        <f ca="1">IF(LEN(DATA!G16)&gt;0,SUMPRODUCT(OFFSET(DATA!$R$6,AH$5,0,1,10),DATA!$R16:$AA16),"")</f>
        <v>0.49867413371669267</v>
      </c>
      <c r="AI8" s="7">
        <f ca="1">IF(LEN(DATA!H16)&gt;0,SUMPRODUCT(OFFSET(DATA!$R$6,AI$5,0,1,10),DATA!$R16:$AA16),"")</f>
        <v>1.1242785879060937</v>
      </c>
      <c r="AJ8" s="7">
        <f ca="1">IF(LEN(DATA!I16)&gt;0,SUMPRODUCT(OFFSET(DATA!$R$6,AJ$5,0,1,10),DATA!$R16:$AA16),"")</f>
        <v>4.5081967213114753</v>
      </c>
      <c r="AK8" s="7"/>
      <c r="AL8" s="7">
        <f t="shared" ca="1" si="2"/>
        <v>0.38392136338481614</v>
      </c>
      <c r="AM8" s="7">
        <f t="shared" ca="1" si="3"/>
        <v>0.30942790151931876</v>
      </c>
      <c r="AN8" s="7">
        <f t="shared" ca="1" si="4"/>
        <v>8.1334525990290646E-2</v>
      </c>
      <c r="AO8" s="7">
        <f t="shared" ca="1" si="5"/>
        <v>0.18337158445905269</v>
      </c>
      <c r="AP8" s="7">
        <f t="shared" ca="1" si="6"/>
        <v>0.3066507350958651</v>
      </c>
      <c r="AQ8" s="7">
        <f t="shared" ca="1" si="7"/>
        <v>0.73529388955065667</v>
      </c>
      <c r="AS8">
        <f t="shared" si="8"/>
        <v>2</v>
      </c>
      <c r="AT8">
        <f t="shared" si="9"/>
        <v>0</v>
      </c>
      <c r="AU8">
        <f t="shared" ca="1" si="10"/>
        <v>0.46136468585552443</v>
      </c>
      <c r="AV8">
        <f t="shared" ca="1" si="11"/>
        <v>0.26797242335543953</v>
      </c>
      <c r="AW8">
        <f ca="1">IF(AND($AT8&lt;3,OFFSET(DATA!$C$14,$AS8,0)=AW$6),$AV8,dNULL)</f>
        <v>-99</v>
      </c>
      <c r="AX8">
        <f ca="1">IF(AND($AT8&lt;3,OFFSET(DATA!$C$14,$AS8,0)=AX$6),$AV8,dNULL)</f>
        <v>0.26797242335543953</v>
      </c>
      <c r="AY8">
        <f ca="1">IF(AND($AT8&lt;3,OFFSET(DATA!$C$14,$AS8,0)=AY$6),$AV8,dNULL)</f>
        <v>-99</v>
      </c>
      <c r="AZ8">
        <f ca="1">IF(AND($AT8&lt;3,OFFSET(DATA!$C$14,$AS8,0)=AZ$6),$AV8,dNULL)</f>
        <v>-99</v>
      </c>
      <c r="BA8">
        <f ca="1">IF(AND($AT8&lt;3,OFFSET(DATA!$C$14,$AS8,0)=BA$6),$AV8,dNULL)</f>
        <v>-99</v>
      </c>
      <c r="BB8">
        <f ca="1">IF(AND($AT8&lt;3,OFFSET(DATA!$C$14,$AS8,0)=BB$6),$AV8,dNULL)</f>
        <v>-99</v>
      </c>
      <c r="BC8">
        <f ca="1">IF(AND($AT8&lt;3,OFFSET(DATA!$C$14,$AS8,0)=BC$6),$AV8,dNULL)</f>
        <v>-99</v>
      </c>
      <c r="BD8">
        <f ca="1">IF(AND($AT8&lt;3,OFFSET(DATA!$C$14,$AS8,0)=BD$6),$AV8,dNULL)</f>
        <v>-99</v>
      </c>
      <c r="BE8">
        <f ca="1">IF(AND($AT8&lt;3,OFFSET(DATA!$C$14,$AS8,0)=BE$6),$AV8,dNULL)</f>
        <v>-99</v>
      </c>
      <c r="BF8">
        <f ca="1">IF(AND($AT8&lt;3,OFFSET(DATA!$C$14,$AS8,0)=BF$6),$AV8,dNULL)</f>
        <v>-99</v>
      </c>
      <c r="BG8">
        <f ca="1">IF(AND($AT8&lt;3,OFFSET(DATA!$C$14,$AS8,0)=BG$6),$AV8,dNULL)</f>
        <v>-99</v>
      </c>
      <c r="BH8">
        <f ca="1">IF(AND($AT8&lt;3,OFFSET(DATA!$C$14,$AS8,0)=BH$6),$AV8,dNULL)</f>
        <v>-99</v>
      </c>
      <c r="BJ8" t="str">
        <f>PIPER!O23</f>
        <v>Ca²⁺</v>
      </c>
      <c r="BK8" t="str">
        <f>PIPER!P23</f>
        <v>SO₄²⁻</v>
      </c>
      <c r="BL8">
        <v>1.1000000000000001</v>
      </c>
      <c r="BM8">
        <f ca="1">BM13</f>
        <v>0.49900199600798406</v>
      </c>
      <c r="BN8">
        <f ca="1">BM16</f>
        <v>-0.9160788494049652</v>
      </c>
      <c r="BP8">
        <f>BP7-IF(COUNT($BP$7:BP7)&lt;=$BP$7*2/$BP$2,$BP$2,0)</f>
        <v>0</v>
      </c>
      <c r="BQ8">
        <f t="shared" ref="BQ8:BQ19" si="15">IF($BN$1=$BM$2,$BQ$4,-3)</f>
        <v>-3</v>
      </c>
      <c r="BR8" t="str">
        <f t="shared" ref="BR8:BR19" si="16">TEXT(10^(ABS(BP8)+LOG($BO$1)),IF(ABS(BP8)+LOG($BO$1)&gt;=0,"#,##0","0."&amp;REPT("0",ABS(ABS(BP8)+LOG($BO$1)))))</f>
        <v>0.</v>
      </c>
      <c r="BU8">
        <f t="shared" ref="BU8:BU71" si="17">MATCH(BV8,$BL$7:$BL$9,1)</f>
        <v>1</v>
      </c>
      <c r="BV8">
        <f>BV7+MOD(ROW(BV8)-ROW($H$16),2)*$BV$4</f>
        <v>0.1</v>
      </c>
      <c r="BW8">
        <f t="shared" ca="1" si="12"/>
        <v>3.4848929167377003</v>
      </c>
      <c r="BX8">
        <f t="shared" ca="1" si="13"/>
        <v>-2.7049180327868854</v>
      </c>
      <c r="BZ8" t="s">
        <v>150</v>
      </c>
      <c r="CA8">
        <v>0</v>
      </c>
      <c r="CB8" s="40" t="s">
        <v>105</v>
      </c>
      <c r="CC8" t="s">
        <v>167</v>
      </c>
      <c r="CD8" t="str">
        <f ca="1">IF(LEN(OFFSET(DATA!$E$14,0,ROW(CD8)-ROW($CD$8)))&gt;1,LEFT(OFFSET(DATA!$E$14,0,ROW(CD8)-ROW($CD$8)),LEN(OFFSET(DATA!$E$14,0,ROW(CD8)-ROW($CD$8)))-1)&amp;" = ","")</f>
        <v xml:space="preserve">Ca² = </v>
      </c>
      <c r="CE8" t="str">
        <f t="shared" ref="CE8:CE17" ca="1" si="18">IF(LEN(CD8)&gt;1,SUBSTITUTE(SUBSTITUTE($CE$4,$CD$6,CD8),$CD$5,CC8),"")</f>
        <v>&lt;tr bgcolor=#FFFFFF style="text-align:right;"&gt; &lt;td&gt;Ca² = &lt;/td&gt; &lt;td&gt;VALUE mg/L&lt;/td&gt;</v>
      </c>
    </row>
    <row r="9" spans="2:83" x14ac:dyDescent="0.25">
      <c r="B9" t="s">
        <v>22</v>
      </c>
      <c r="C9" s="2">
        <v>1</v>
      </c>
      <c r="D9">
        <v>22.989830000000001</v>
      </c>
      <c r="E9" t="s">
        <v>6</v>
      </c>
      <c r="F9">
        <v>22.989768999999999</v>
      </c>
      <c r="H9" t="s">
        <v>31</v>
      </c>
      <c r="J9" s="3" t="s">
        <v>15</v>
      </c>
      <c r="K9">
        <v>1</v>
      </c>
      <c r="L9">
        <v>0</v>
      </c>
      <c r="Q9">
        <f>AVERAGE(K13:K14)+LabelOFF*COS(T9*PI()/180)</f>
        <v>2.1624999999999996</v>
      </c>
      <c r="R9">
        <f>AVERAGE(L13:L14)-SIN(T9*PI()/180)*LabelOFF</f>
        <v>0.62786841774371793</v>
      </c>
      <c r="S9" t="str">
        <f ca="1">OFFSET(DATA!$D$5,MATCH(U9,DATA!$Q$6:$Q$11,0),0)</f>
        <v>Sulfate (SO₄²⁻)</v>
      </c>
      <c r="T9">
        <v>-60</v>
      </c>
      <c r="U9" s="26" t="s">
        <v>47</v>
      </c>
      <c r="V9" s="26"/>
      <c r="W9" s="26">
        <v>1</v>
      </c>
      <c r="X9">
        <f t="shared" ca="1" si="0"/>
        <v>1.5180918368269856</v>
      </c>
      <c r="Y9">
        <f t="shared" ca="1" si="0"/>
        <v>0.19612180630955353</v>
      </c>
      <c r="Z9" s="26"/>
      <c r="AA9" s="26"/>
      <c r="AB9" s="26" t="str">
        <f t="shared" ca="1" si="1"/>
        <v>AW03</v>
      </c>
      <c r="AC9">
        <f t="shared" ca="1" si="14"/>
        <v>3</v>
      </c>
      <c r="AD9" t="str">
        <f ca="1">IF(AND(AT9&lt;1,MAX(AW9:BH9)&gt;dNULL),DATA!$D17,"")</f>
        <v>AW03</v>
      </c>
      <c r="AE9" s="7">
        <f ca="1">IF(LEN(DATA!D17)&gt;0,SUMPRODUCT(OFFSET(DATA!$R$6,AE$5,0,1,10),DATA!$R17:$AA17),"")</f>
        <v>1.347305389221557</v>
      </c>
      <c r="AF9" s="7">
        <f ca="1">IF(LEN(DATA!E17)&gt;0,SUMPRODUCT(OFFSET(DATA!$R$6,AF$5,0,1,10),DATA!$R17:$AA17),"")</f>
        <v>0.16452780519907864</v>
      </c>
      <c r="AG9" s="7">
        <f ca="1">IF(LEN(DATA!F17)&gt;0,SUMPRODUCT(OFFSET(DATA!$R$6,AG$5,0,1,10),DATA!$R17:$AA17),"")</f>
        <v>1.9880332974330477</v>
      </c>
      <c r="AH9" s="7">
        <f ca="1">IF(LEN(DATA!G17)&gt;0,SUMPRODUCT(OFFSET(DATA!$R$6,AH$5,0,1,10),DATA!$R17:$AA17),"")</f>
        <v>0.28712645086897887</v>
      </c>
      <c r="AI9" s="7">
        <f ca="1">IF(LEN(DATA!H17)&gt;0,SUMPRODUCT(OFFSET(DATA!$R$6,AI$5,0,1,10),DATA!$R17:$AA17),"")</f>
        <v>0.6870591370537239</v>
      </c>
      <c r="AJ9" s="7">
        <f ca="1">IF(LEN(DATA!I17)&gt;0,SUMPRODUCT(OFFSET(DATA!$R$6,AJ$5,0,1,10),DATA!$R17:$AA17),"")</f>
        <v>2.459016393442623</v>
      </c>
      <c r="AK9" s="7"/>
      <c r="AL9" s="7">
        <f t="shared" ca="1" si="2"/>
        <v>0.38495908125568667</v>
      </c>
      <c r="AM9" s="7">
        <f t="shared" ca="1" si="3"/>
        <v>4.7009737537713182E-2</v>
      </c>
      <c r="AN9" s="7">
        <f t="shared" ca="1" si="4"/>
        <v>8.363226295086594E-2</v>
      </c>
      <c r="AO9" s="7">
        <f t="shared" ca="1" si="5"/>
        <v>0.20012196800040649</v>
      </c>
      <c r="AP9" s="7">
        <f t="shared" ca="1" si="6"/>
        <v>0.56803118120660023</v>
      </c>
      <c r="AQ9" s="7">
        <f t="shared" ca="1" si="7"/>
        <v>0.71624576904872761</v>
      </c>
      <c r="AS9">
        <f t="shared" si="8"/>
        <v>3</v>
      </c>
      <c r="AT9">
        <f t="shared" si="9"/>
        <v>0</v>
      </c>
      <c r="AU9">
        <f t="shared" ca="1" si="10"/>
        <v>0.59153604997545672</v>
      </c>
      <c r="AV9">
        <f t="shared" ca="1" si="11"/>
        <v>4.0711626932898537E-2</v>
      </c>
      <c r="AW9">
        <f ca="1">IF(AND($AT9&lt;3,OFFSET(DATA!$C$14,$AS9,0)=AW$6),$AV9,dNULL)</f>
        <v>-99</v>
      </c>
      <c r="AX9">
        <f ca="1">IF(AND($AT9&lt;3,OFFSET(DATA!$C$14,$AS9,0)=AX$6),$AV9,dNULL)</f>
        <v>-99</v>
      </c>
      <c r="AY9">
        <f ca="1">IF(AND($AT9&lt;3,OFFSET(DATA!$C$14,$AS9,0)=AY$6),$AV9,dNULL)</f>
        <v>4.0711626932898537E-2</v>
      </c>
      <c r="AZ9">
        <f ca="1">IF(AND($AT9&lt;3,OFFSET(DATA!$C$14,$AS9,0)=AZ$6),$AV9,dNULL)</f>
        <v>-99</v>
      </c>
      <c r="BA9">
        <f ca="1">IF(AND($AT9&lt;3,OFFSET(DATA!$C$14,$AS9,0)=BA$6),$AV9,dNULL)</f>
        <v>-99</v>
      </c>
      <c r="BB9">
        <f ca="1">IF(AND($AT9&lt;3,OFFSET(DATA!$C$14,$AS9,0)=BB$6),$AV9,dNULL)</f>
        <v>-99</v>
      </c>
      <c r="BC9">
        <f ca="1">IF(AND($AT9&lt;3,OFFSET(DATA!$C$14,$AS9,0)=BC$6),$AV9,dNULL)</f>
        <v>-99</v>
      </c>
      <c r="BD9">
        <f ca="1">IF(AND($AT9&lt;3,OFFSET(DATA!$C$14,$AS9,0)=BD$6),$AV9,dNULL)</f>
        <v>-99</v>
      </c>
      <c r="BE9">
        <f ca="1">IF(AND($AT9&lt;3,OFFSET(DATA!$C$14,$AS9,0)=BE$6),$AV9,dNULL)</f>
        <v>-99</v>
      </c>
      <c r="BF9">
        <f ca="1">IF(AND($AT9&lt;3,OFFSET(DATA!$C$14,$AS9,0)=BF$6),$AV9,dNULL)</f>
        <v>-99</v>
      </c>
      <c r="BG9">
        <f ca="1">IF(AND($AT9&lt;3,OFFSET(DATA!$C$14,$AS9,0)=BG$6),$AV9,dNULL)</f>
        <v>-99</v>
      </c>
      <c r="BH9">
        <f ca="1">IF(AND($AT9&lt;3,OFFSET(DATA!$C$14,$AS9,0)=BH$6),$AV9,dNULL)</f>
        <v>-99</v>
      </c>
      <c r="BJ9" t="str">
        <f>PIPER!O24</f>
        <v>Mg²⁺</v>
      </c>
      <c r="BK9" t="str">
        <f>PIPER!P24</f>
        <v>Cl⁻ + F⁻</v>
      </c>
      <c r="BL9">
        <v>2.101</v>
      </c>
      <c r="BM9">
        <f ca="1">BM14</f>
        <v>0.12339585389930897</v>
      </c>
      <c r="BN9">
        <f ca="1">BM17</f>
        <v>-0.42418080805499458</v>
      </c>
      <c r="BP9">
        <f>BP8-IF(COUNT($BP$7:BP8)&lt;=$BP$7*2/$BP$2,$BP$2,0)</f>
        <v>0</v>
      </c>
      <c r="BQ9">
        <f t="shared" si="15"/>
        <v>-3</v>
      </c>
      <c r="BR9" t="str">
        <f t="shared" si="16"/>
        <v>0.</v>
      </c>
      <c r="BU9">
        <f t="shared" si="17"/>
        <v>1</v>
      </c>
      <c r="BV9">
        <f t="shared" ref="BV9:BV72" si="19">BV8+MOD(ROW(BV9)-ROW($H$16),2)*$BV$4</f>
        <v>0.12000000000000001</v>
      </c>
      <c r="BW9">
        <f t="shared" ca="1" si="12"/>
        <v>0.2</v>
      </c>
      <c r="BX9">
        <f t="shared" ca="1" si="13"/>
        <v>-0.2</v>
      </c>
      <c r="BZ9" t="s">
        <v>150</v>
      </c>
      <c r="CA9">
        <v>0</v>
      </c>
      <c r="CB9" s="40" t="s">
        <v>106</v>
      </c>
      <c r="CC9" t="s">
        <v>168</v>
      </c>
      <c r="CD9" s="39" t="str">
        <f ca="1">IF(LEN(OFFSET(DATA!$E$14,0,ROW(CD9)-ROW($CD$8)))&gt;1,LEFT(OFFSET(DATA!$E$14,0,ROW(CD9)-ROW($CD$8)),LEN(OFFSET(DATA!$E$14,0,ROW(CD9)-ROW($CD$8)))-1)&amp;" = ","")</f>
        <v xml:space="preserve">Mg² = </v>
      </c>
      <c r="CE9" t="str">
        <f t="shared" ca="1" si="18"/>
        <v>&lt;tr bgcolor=#D9D9D9 style="text-align:right;"&gt; &lt;td&gt;Mg² = &lt;/td&gt; &lt;td&gt;VALUE mg/L&lt;/td&gt;</v>
      </c>
    </row>
    <row r="10" spans="2:83" x14ac:dyDescent="0.25">
      <c r="B10" t="s">
        <v>23</v>
      </c>
      <c r="C10" s="2">
        <v>1</v>
      </c>
      <c r="D10">
        <v>39.101999999999997</v>
      </c>
      <c r="E10" t="s">
        <v>7</v>
      </c>
      <c r="F10">
        <v>39.098300000000002</v>
      </c>
      <c r="J10" s="3" t="s">
        <v>15</v>
      </c>
      <c r="K10">
        <v>0</v>
      </c>
      <c r="L10">
        <v>0</v>
      </c>
      <c r="N10">
        <f>IF(N7&lt;1-$N$5,N7+$N$5,dNULL)</f>
        <v>0.4</v>
      </c>
      <c r="O10">
        <v>0</v>
      </c>
      <c r="Q10">
        <f>AVERAGE(K14:K15)</f>
        <v>1.7999999999999998</v>
      </c>
      <c r="R10">
        <f>AVERAGE(L14:L15)-LabelOFF</f>
        <v>-0.22499999999999998</v>
      </c>
      <c r="S10" t="str">
        <f ca="1">OFFSET(DATA!$D$5,MATCH(U10,DATA!$Q$6:$Q$11,0),0)</f>
        <v>Chloride (Cl⁻) + Fluoride (F⁻)</v>
      </c>
      <c r="T10">
        <v>0</v>
      </c>
      <c r="U10" s="26" t="s">
        <v>46</v>
      </c>
      <c r="V10" s="26"/>
      <c r="W10" s="26"/>
      <c r="Y10" s="26"/>
      <c r="Z10" s="26"/>
      <c r="AA10" s="26"/>
      <c r="AB10" s="26" t="str">
        <f t="shared" ca="1" si="1"/>
        <v>AW04</v>
      </c>
      <c r="AC10">
        <f t="shared" ca="1" si="14"/>
        <v>4</v>
      </c>
      <c r="AD10" t="str">
        <f ca="1">IF(AND(AT10&lt;1,MAX(AW10:BH10)&gt;dNULL),DATA!$D18,"")</f>
        <v>AW04</v>
      </c>
      <c r="AE10" s="7">
        <f ca="1">IF(LEN(DATA!D18)&gt;0,SUMPRODUCT(OFFSET(DATA!$R$6,AE$5,0,1,10),DATA!$R18:$AA18),"")</f>
        <v>1.4471057884231537</v>
      </c>
      <c r="AF10" s="7">
        <f ca="1">IF(LEN(DATA!E18)&gt;0,SUMPRODUCT(OFFSET(DATA!$R$6,AF$5,0,1,10),DATA!$R18:$AA18),"")</f>
        <v>0.18098058571898651</v>
      </c>
      <c r="AG10" s="7">
        <f ca="1">IF(LEN(DATA!F18)&gt;0,SUMPRODUCT(OFFSET(DATA!$R$6,AG$5,0,1,10),DATA!$R18:$AA18),"")</f>
        <v>1.6553978264764582</v>
      </c>
      <c r="AH10" s="7">
        <f ca="1">IF(LEN(DATA!G18)&gt;0,SUMPRODUCT(OFFSET(DATA!$R$6,AH$5,0,1,10),DATA!$R18:$AA18),"")</f>
        <v>0.22187415773176716</v>
      </c>
      <c r="AI10" s="7">
        <f ca="1">IF(LEN(DATA!H18)&gt;0,SUMPRODUCT(OFFSET(DATA!$R$6,AI$5,0,1,10),DATA!$R18:$AA18),"")</f>
        <v>0.54131932010293393</v>
      </c>
      <c r="AJ10" s="7">
        <f ca="1">IF(LEN(DATA!I18)&gt;0,SUMPRODUCT(OFFSET(DATA!$R$6,AJ$5,0,1,10),DATA!$R18:$AA18),"")</f>
        <v>2.2950819672131146</v>
      </c>
      <c r="AK10" s="7"/>
      <c r="AL10" s="7">
        <f t="shared" ca="1" si="2"/>
        <v>0.44072262877053686</v>
      </c>
      <c r="AM10" s="7">
        <f t="shared" ca="1" si="3"/>
        <v>5.5118457912753258E-2</v>
      </c>
      <c r="AN10" s="7">
        <f t="shared" ca="1" si="4"/>
        <v>7.2548781729599304E-2</v>
      </c>
      <c r="AO10" s="7">
        <f t="shared" ca="1" si="5"/>
        <v>0.17700149310601762</v>
      </c>
      <c r="AP10" s="7">
        <f t="shared" ca="1" si="6"/>
        <v>0.50415891331670981</v>
      </c>
      <c r="AQ10" s="7">
        <f t="shared" ca="1" si="7"/>
        <v>0.75044972516438313</v>
      </c>
      <c r="AS10">
        <f t="shared" si="8"/>
        <v>4</v>
      </c>
      <c r="AT10">
        <f t="shared" si="9"/>
        <v>0</v>
      </c>
      <c r="AU10">
        <f t="shared" ca="1" si="10"/>
        <v>0.53171814227308656</v>
      </c>
      <c r="AV10">
        <f t="shared" ca="1" si="11"/>
        <v>4.7733984769867725E-2</v>
      </c>
      <c r="AW10">
        <f ca="1">IF(AND($AT10&lt;3,OFFSET(DATA!$C$14,$AS10,0)=AW$6),$AV10,dNULL)</f>
        <v>-99</v>
      </c>
      <c r="AX10">
        <f ca="1">IF(AND($AT10&lt;3,OFFSET(DATA!$C$14,$AS10,0)=AX$6),$AV10,dNULL)</f>
        <v>-99</v>
      </c>
      <c r="AY10">
        <f ca="1">IF(AND($AT10&lt;3,OFFSET(DATA!$C$14,$AS10,0)=AY$6),$AV10,dNULL)</f>
        <v>4.7733984769867725E-2</v>
      </c>
      <c r="AZ10">
        <f ca="1">IF(AND($AT10&lt;3,OFFSET(DATA!$C$14,$AS10,0)=AZ$6),$AV10,dNULL)</f>
        <v>-99</v>
      </c>
      <c r="BA10">
        <f ca="1">IF(AND($AT10&lt;3,OFFSET(DATA!$C$14,$AS10,0)=BA$6),$AV10,dNULL)</f>
        <v>-99</v>
      </c>
      <c r="BB10">
        <f ca="1">IF(AND($AT10&lt;3,OFFSET(DATA!$C$14,$AS10,0)=BB$6),$AV10,dNULL)</f>
        <v>-99</v>
      </c>
      <c r="BC10">
        <f ca="1">IF(AND($AT10&lt;3,OFFSET(DATA!$C$14,$AS10,0)=BC$6),$AV10,dNULL)</f>
        <v>-99</v>
      </c>
      <c r="BD10">
        <f ca="1">IF(AND($AT10&lt;3,OFFSET(DATA!$C$14,$AS10,0)=BD$6),$AV10,dNULL)</f>
        <v>-99</v>
      </c>
      <c r="BE10">
        <f ca="1">IF(AND($AT10&lt;3,OFFSET(DATA!$C$14,$AS10,0)=BE$6),$AV10,dNULL)</f>
        <v>-99</v>
      </c>
      <c r="BF10">
        <f ca="1">IF(AND($AT10&lt;3,OFFSET(DATA!$C$14,$AS10,0)=BF$6),$AV10,dNULL)</f>
        <v>-99</v>
      </c>
      <c r="BG10">
        <f ca="1">IF(AND($AT10&lt;3,OFFSET(DATA!$C$14,$AS10,0)=BG$6),$AV10,dNULL)</f>
        <v>-99</v>
      </c>
      <c r="BH10">
        <f ca="1">IF(AND($AT10&lt;3,OFFSET(DATA!$C$14,$AS10,0)=BH$6),$AV10,dNULL)</f>
        <v>-99</v>
      </c>
      <c r="BP10">
        <f>BP9-IF(COUNT($BP$7:BP9)&lt;=$BP$7*2/$BP$2,$BP$2,0)</f>
        <v>0</v>
      </c>
      <c r="BQ10">
        <f t="shared" si="15"/>
        <v>-3</v>
      </c>
      <c r="BR10" t="str">
        <f t="shared" si="16"/>
        <v>0.</v>
      </c>
      <c r="BU10">
        <f t="shared" si="17"/>
        <v>1</v>
      </c>
      <c r="BV10">
        <f t="shared" si="19"/>
        <v>0.12000000000000001</v>
      </c>
      <c r="BW10">
        <f t="shared" ca="1" si="12"/>
        <v>3.425175098323106</v>
      </c>
      <c r="BX10">
        <f t="shared" ca="1" si="13"/>
        <v>-2.6691412491192468</v>
      </c>
      <c r="BZ10" t="s">
        <v>150</v>
      </c>
      <c r="CA10">
        <v>0</v>
      </c>
      <c r="CB10" s="40" t="s">
        <v>153</v>
      </c>
      <c r="CC10" t="s">
        <v>167</v>
      </c>
      <c r="CD10" t="str">
        <f ca="1">IF(LEN(OFFSET(DATA!$E$14,0,ROW(CD10)-ROW($CD$8)))&gt;1,LEFT(OFFSET(DATA!$E$14,0,ROW(CD10)-ROW($CD$8)),LEN(OFFSET(DATA!$E$14,0,ROW(CD10)-ROW($CD$8)))-1)&amp;" = ","")</f>
        <v xml:space="preserve">Na = </v>
      </c>
      <c r="CE10" t="str">
        <f t="shared" ca="1" si="18"/>
        <v>&lt;tr bgcolor=#FFFFFF style="text-align:right;"&gt; &lt;td&gt;Na = &lt;/td&gt; &lt;td&gt;VALUE mg/L&lt;/td&gt;</v>
      </c>
    </row>
    <row r="11" spans="2:83" x14ac:dyDescent="0.25">
      <c r="B11" t="s">
        <v>24</v>
      </c>
      <c r="C11" s="2">
        <v>-1</v>
      </c>
      <c r="D11">
        <v>35.453000000000003</v>
      </c>
      <c r="E11" t="s">
        <v>8</v>
      </c>
      <c r="F11">
        <v>35.453000000000003</v>
      </c>
      <c r="J11" s="3" t="s">
        <v>15</v>
      </c>
      <c r="N11">
        <f>N10-N10/2</f>
        <v>0.2</v>
      </c>
      <c r="O11">
        <f>O10+N10*ApexCAT</f>
        <v>0.34641016151377546</v>
      </c>
      <c r="Q11">
        <f>(AVERAGE(K17:K18)+AVERAGE(K8:K9))/2</f>
        <v>0.82499999999999996</v>
      </c>
      <c r="R11">
        <f>(AVERAGE(L17:L18)+AVERAGE(L8:L9))/2</f>
        <v>0.56291651245988505</v>
      </c>
      <c r="S11" t="str">
        <f ca="1">OFFSET(DATA!$D$5,MATCH(U11,DATA!$Q$6:$Q$11,0),0)</f>
        <v>Sodium (Na⁺) + Potassium (K⁺)</v>
      </c>
      <c r="T11">
        <v>-60</v>
      </c>
      <c r="U11" s="26" t="s">
        <v>45</v>
      </c>
      <c r="V11" s="26"/>
      <c r="W11" s="26"/>
      <c r="Y11" s="26"/>
      <c r="Z11" s="26"/>
      <c r="AA11" s="26"/>
      <c r="AB11" s="26" t="str">
        <f t="shared" ca="1" si="1"/>
        <v>AW05</v>
      </c>
      <c r="AC11">
        <f t="shared" ca="1" si="14"/>
        <v>5</v>
      </c>
      <c r="AD11" t="str">
        <f ca="1">IF(AND(AT11&lt;1,MAX(AW11:BH11)&gt;dNULL),DATA!$D19,"")</f>
        <v>AW05</v>
      </c>
      <c r="AE11" s="7">
        <f ca="1">IF(LEN(DATA!D19)&gt;0,SUMPRODUCT(OFFSET(DATA!$R$6,AE$5,0,1,10),DATA!$R19:$AA19),"")</f>
        <v>1.4970059880239521</v>
      </c>
      <c r="AF11" s="7">
        <f ca="1">IF(LEN(DATA!E19)&gt;0,SUMPRODUCT(OFFSET(DATA!$R$6,AF$5,0,1,10),DATA!$R19:$AA19),"")</f>
        <v>0.21388614675880224</v>
      </c>
      <c r="AG11" s="7">
        <f ca="1">IF(LEN(DATA!F19)&gt;0,SUMPRODUCT(OFFSET(DATA!$R$6,AG$5,0,1,10),DATA!$R19:$AA19),"")</f>
        <v>1.7526224709022198</v>
      </c>
      <c r="AH11" s="7">
        <f ca="1">IF(LEN(DATA!G19)&gt;0,SUMPRODUCT(OFFSET(DATA!$R$6,AH$5,0,1,10),DATA!$R19:$AA19),"")</f>
        <v>0.25403416240783683</v>
      </c>
      <c r="AI11" s="7">
        <f ca="1">IF(LEN(DATA!H19)&gt;0,SUMPRODUCT(OFFSET(DATA!$R$6,AI$5,0,1,10),DATA!$R19:$AA19),"")</f>
        <v>0.62459921550338537</v>
      </c>
      <c r="AJ11" s="7">
        <f ca="1">IF(LEN(DATA!I19)&gt;0,SUMPRODUCT(OFFSET(DATA!$R$6,AJ$5,0,1,10),DATA!$R19:$AA19),"")</f>
        <v>2.459016393442623</v>
      </c>
      <c r="AK11" s="7"/>
      <c r="AL11" s="7">
        <f t="shared" ca="1" si="2"/>
        <v>0.43222164721545658</v>
      </c>
      <c r="AM11" s="7">
        <f t="shared" ca="1" si="3"/>
        <v>6.1754076742662471E-2</v>
      </c>
      <c r="AN11" s="7">
        <f t="shared" ca="1" si="4"/>
        <v>7.611168930549396E-2</v>
      </c>
      <c r="AO11" s="7">
        <f t="shared" ca="1" si="5"/>
        <v>0.18713743450980186</v>
      </c>
      <c r="AP11" s="7">
        <f t="shared" ca="1" si="6"/>
        <v>0.50602427604188094</v>
      </c>
      <c r="AQ11" s="7">
        <f t="shared" ca="1" si="7"/>
        <v>0.73675087618470425</v>
      </c>
      <c r="AS11">
        <f t="shared" si="8"/>
        <v>5</v>
      </c>
      <c r="AT11">
        <f t="shared" si="9"/>
        <v>0</v>
      </c>
      <c r="AU11">
        <f t="shared" ca="1" si="10"/>
        <v>0.53690131441321221</v>
      </c>
      <c r="AV11">
        <f t="shared" ca="1" si="11"/>
        <v>5.3480599246399474E-2</v>
      </c>
      <c r="AW11">
        <f ca="1">IF(AND($AT11&lt;3,OFFSET(DATA!$C$14,$AS11,0)=AW$6),$AV11,dNULL)</f>
        <v>-99</v>
      </c>
      <c r="AX11">
        <f ca="1">IF(AND($AT11&lt;3,OFFSET(DATA!$C$14,$AS11,0)=AX$6),$AV11,dNULL)</f>
        <v>-99</v>
      </c>
      <c r="AY11">
        <f ca="1">IF(AND($AT11&lt;3,OFFSET(DATA!$C$14,$AS11,0)=AY$6),$AV11,dNULL)</f>
        <v>5.3480599246399474E-2</v>
      </c>
      <c r="AZ11">
        <f ca="1">IF(AND($AT11&lt;3,OFFSET(DATA!$C$14,$AS11,0)=AZ$6),$AV11,dNULL)</f>
        <v>-99</v>
      </c>
      <c r="BA11">
        <f ca="1">IF(AND($AT11&lt;3,OFFSET(DATA!$C$14,$AS11,0)=BA$6),$AV11,dNULL)</f>
        <v>-99</v>
      </c>
      <c r="BB11">
        <f ca="1">IF(AND($AT11&lt;3,OFFSET(DATA!$C$14,$AS11,0)=BB$6),$AV11,dNULL)</f>
        <v>-99</v>
      </c>
      <c r="BC11">
        <f ca="1">IF(AND($AT11&lt;3,OFFSET(DATA!$C$14,$AS11,0)=BC$6),$AV11,dNULL)</f>
        <v>-99</v>
      </c>
      <c r="BD11">
        <f ca="1">IF(AND($AT11&lt;3,OFFSET(DATA!$C$14,$AS11,0)=BD$6),$AV11,dNULL)</f>
        <v>-99</v>
      </c>
      <c r="BE11">
        <f ca="1">IF(AND($AT11&lt;3,OFFSET(DATA!$C$14,$AS11,0)=BE$6),$AV11,dNULL)</f>
        <v>-99</v>
      </c>
      <c r="BF11">
        <f ca="1">IF(AND($AT11&lt;3,OFFSET(DATA!$C$14,$AS11,0)=BF$6),$AV11,dNULL)</f>
        <v>-99</v>
      </c>
      <c r="BG11">
        <f ca="1">IF(AND($AT11&lt;3,OFFSET(DATA!$C$14,$AS11,0)=BG$6),$AV11,dNULL)</f>
        <v>-99</v>
      </c>
      <c r="BH11">
        <f ca="1">IF(AND($AT11&lt;3,OFFSET(DATA!$C$14,$AS11,0)=BH$6),$AV11,dNULL)</f>
        <v>-99</v>
      </c>
      <c r="BM11" t="s">
        <v>52</v>
      </c>
      <c r="BN11" t="s">
        <v>53</v>
      </c>
      <c r="BP11">
        <f>BP10-IF(COUNT($BP$7:BP10)&lt;=$BP$7*2/$BP$2,$BP$2,0)</f>
        <v>0</v>
      </c>
      <c r="BQ11">
        <f t="shared" si="15"/>
        <v>-3</v>
      </c>
      <c r="BR11" t="str">
        <f t="shared" si="16"/>
        <v>0.</v>
      </c>
      <c r="BU11">
        <f t="shared" si="17"/>
        <v>1</v>
      </c>
      <c r="BV11">
        <f t="shared" si="19"/>
        <v>0.14000000000000001</v>
      </c>
      <c r="BW11">
        <f t="shared" ca="1" si="12"/>
        <v>0.2</v>
      </c>
      <c r="BX11">
        <f t="shared" ca="1" si="13"/>
        <v>-0.2</v>
      </c>
      <c r="BZ11" t="s">
        <v>150</v>
      </c>
      <c r="CA11">
        <v>0</v>
      </c>
      <c r="CB11" s="40" t="s">
        <v>170</v>
      </c>
      <c r="CC11" t="s">
        <v>168</v>
      </c>
      <c r="CD11" s="39" t="str">
        <f ca="1">IF(LEN(OFFSET(DATA!$E$14,0,ROW(CD11)-ROW($CD$8)))&gt;1,LEFT(OFFSET(DATA!$E$14,0,ROW(CD11)-ROW($CD$8)),LEN(OFFSET(DATA!$E$14,0,ROW(CD11)-ROW($CD$8)))-1)&amp;" = ","")</f>
        <v xml:space="preserve">K = </v>
      </c>
      <c r="CE11" t="str">
        <f t="shared" ca="1" si="18"/>
        <v>&lt;tr bgcolor=#D9D9D9 style="text-align:right;"&gt; &lt;td&gt;K = &lt;/td&gt; &lt;td&gt;VALUE mg/L&lt;/td&gt;</v>
      </c>
    </row>
    <row r="12" spans="2:83" x14ac:dyDescent="0.25">
      <c r="B12" t="s">
        <v>26</v>
      </c>
      <c r="C12" s="2">
        <v>-1</v>
      </c>
      <c r="D12">
        <v>18.9984</v>
      </c>
      <c r="E12" t="s">
        <v>9</v>
      </c>
      <c r="F12">
        <v>18.998403</v>
      </c>
      <c r="J12" s="3" t="s">
        <v>16</v>
      </c>
      <c r="K12">
        <f>K7+1+dAnionOFF</f>
        <v>1.3</v>
      </c>
      <c r="L12">
        <v>0</v>
      </c>
      <c r="Q12">
        <f>AVERAGE(K18:K19)-LabelOFF*COS(T12*PI()/180)</f>
        <v>0.78749999999999987</v>
      </c>
      <c r="R12">
        <f>AVERAGE(L18:L19)+SIN(T12*PI()/180)*LabelOFF</f>
        <v>1.7537014426634883</v>
      </c>
      <c r="S12" t="str">
        <f ca="1">S10&amp;DATA!$E$4&amp;S9</f>
        <v>Chloride (Cl⁻) + Fluoride (F⁻) + Sulfate (SO₄²⁻)</v>
      </c>
      <c r="T12">
        <v>60</v>
      </c>
      <c r="U12" s="26"/>
      <c r="V12" s="26"/>
      <c r="W12" s="26"/>
      <c r="Y12" s="26"/>
      <c r="Z12" s="26"/>
      <c r="AA12" s="26"/>
      <c r="AB12" s="26" t="str">
        <f t="shared" ca="1" si="1"/>
        <v>AW06</v>
      </c>
      <c r="AC12">
        <f t="shared" ca="1" si="14"/>
        <v>6</v>
      </c>
      <c r="AD12" t="str">
        <f ca="1">IF(AND(AT12&lt;1,MAX(AW12:BH12)&gt;dNULL),DATA!$D20,"")</f>
        <v>AW06</v>
      </c>
      <c r="AE12" s="7">
        <f ca="1">IF(LEN(DATA!D20)&gt;0,SUMPRODUCT(OFFSET(DATA!$R$6,AE$5,0,1,10),DATA!$R20:$AA20),"")</f>
        <v>1.1399431137724549</v>
      </c>
      <c r="AF12" s="7">
        <f ca="1">IF(LEN(DATA!E20)&gt;0,SUMPRODUCT(OFFSET(DATA!$R$6,AF$5,0,1,10),DATA!$R20:$AA20),"")</f>
        <v>0.19994241526818035</v>
      </c>
      <c r="AG12" s="7">
        <f ca="1">IF(LEN(DATA!F20)&gt;0,SUMPRODUCT(OFFSET(DATA!$R$6,AG$5,0,1,10),DATA!$R20:$AA20),"")</f>
        <v>1.7799826095851876</v>
      </c>
      <c r="AH12" s="7">
        <f ca="1">IF(LEN(DATA!G20)&gt;0,SUMPRODUCT(OFFSET(DATA!$R$6,AH$5,0,1,10),DATA!$R20:$AA20),"")</f>
        <v>0.17</v>
      </c>
      <c r="AI12" s="7">
        <f ca="1">IF(LEN(DATA!H20)&gt;0,SUMPRODUCT(OFFSET(DATA!$R$6,AI$5,0,1,10),DATA!$R20:$AA20),"")</f>
        <v>0.6</v>
      </c>
      <c r="AJ12" s="7">
        <f ca="1">IF(LEN(DATA!I20)&gt;0,SUMPRODUCT(OFFSET(DATA!$R$6,AJ$5,0,1,10),DATA!$R20:$AA20),"")</f>
        <v>2.2599999999999998</v>
      </c>
      <c r="AK12" s="7"/>
      <c r="AL12" s="7">
        <f t="shared" ca="1" si="2"/>
        <v>0.36538182484678799</v>
      </c>
      <c r="AM12" s="7">
        <f t="shared" ca="1" si="3"/>
        <v>6.4086815975577402E-2</v>
      </c>
      <c r="AN12" s="7">
        <f t="shared" ca="1" si="4"/>
        <v>5.6105610561056111E-2</v>
      </c>
      <c r="AO12" s="7">
        <f t="shared" ca="1" si="5"/>
        <v>0.19801980198019803</v>
      </c>
      <c r="AP12" s="7">
        <f t="shared" ca="1" si="6"/>
        <v>0.57053135917763453</v>
      </c>
      <c r="AQ12" s="7">
        <f t="shared" ca="1" si="7"/>
        <v>0.7458745874587458</v>
      </c>
      <c r="AS12">
        <f t="shared" si="8"/>
        <v>6</v>
      </c>
      <c r="AT12">
        <f t="shared" si="9"/>
        <v>0</v>
      </c>
      <c r="AU12">
        <f t="shared" ca="1" si="10"/>
        <v>0.60257476716542335</v>
      </c>
      <c r="AV12">
        <f t="shared" ca="1" si="11"/>
        <v>5.5500810682508429E-2</v>
      </c>
      <c r="AW12">
        <f ca="1">IF(AND($AT12&lt;3,OFFSET(DATA!$C$14,$AS12,0)=AW$6),$AV12,dNULL)</f>
        <v>-99</v>
      </c>
      <c r="AX12">
        <f ca="1">IF(AND($AT12&lt;3,OFFSET(DATA!$C$14,$AS12,0)=AX$6),$AV12,dNULL)</f>
        <v>-99</v>
      </c>
      <c r="AY12">
        <f ca="1">IF(AND($AT12&lt;3,OFFSET(DATA!$C$14,$AS12,0)=AY$6),$AV12,dNULL)</f>
        <v>5.5500810682508429E-2</v>
      </c>
      <c r="AZ12">
        <f ca="1">IF(AND($AT12&lt;3,OFFSET(DATA!$C$14,$AS12,0)=AZ$6),$AV12,dNULL)</f>
        <v>-99</v>
      </c>
      <c r="BA12">
        <f ca="1">IF(AND($AT12&lt;3,OFFSET(DATA!$C$14,$AS12,0)=BA$6),$AV12,dNULL)</f>
        <v>-99</v>
      </c>
      <c r="BB12">
        <f ca="1">IF(AND($AT12&lt;3,OFFSET(DATA!$C$14,$AS12,0)=BB$6),$AV12,dNULL)</f>
        <v>-99</v>
      </c>
      <c r="BC12">
        <f ca="1">IF(AND($AT12&lt;3,OFFSET(DATA!$C$14,$AS12,0)=BC$6),$AV12,dNULL)</f>
        <v>-99</v>
      </c>
      <c r="BD12">
        <f ca="1">IF(AND($AT12&lt;3,OFFSET(DATA!$C$14,$AS12,0)=BD$6),$AV12,dNULL)</f>
        <v>-99</v>
      </c>
      <c r="BE12">
        <f ca="1">IF(AND($AT12&lt;3,OFFSET(DATA!$C$14,$AS12,0)=BE$6),$AV12,dNULL)</f>
        <v>-99</v>
      </c>
      <c r="BF12">
        <f ca="1">IF(AND($AT12&lt;3,OFFSET(DATA!$C$14,$AS12,0)=BF$6),$AV12,dNULL)</f>
        <v>-99</v>
      </c>
      <c r="BG12">
        <f ca="1">IF(AND($AT12&lt;3,OFFSET(DATA!$C$14,$AS12,0)=BG$6),$AV12,dNULL)</f>
        <v>-99</v>
      </c>
      <c r="BH12">
        <f ca="1">IF(AND($AT12&lt;3,OFFSET(DATA!$C$14,$AS12,0)=BH$6),$AV12,dNULL)</f>
        <v>-99</v>
      </c>
      <c r="BK12" s="33">
        <f ca="1">MATCH(BL12,DATA!$C$6:$C$11,0)-1</f>
        <v>2</v>
      </c>
      <c r="BL12" s="32" t="str">
        <f>PIPER!O22</f>
        <v>Na⁺ + K⁺</v>
      </c>
      <c r="BM12">
        <f ca="1">IF($BN$1=$BM$3,OFFSET($AE$6,$Y$5,BK12)*(1-2*INT(BK12/3)),LOG(MAX(ABS(OFFSET($AE$6,$Y$5,BK12)*(1-2*INT(BK12/3))),$BO$1)/$BO$1))</f>
        <v>3.4848929167377003</v>
      </c>
      <c r="BN12">
        <f>BL7</f>
        <v>0.1</v>
      </c>
      <c r="BP12">
        <f>BP11-IF(COUNT($BP$7:BP11)&lt;=$BP$7*2/$BP$2,$BP$2,0)</f>
        <v>0</v>
      </c>
      <c r="BQ12">
        <f t="shared" si="15"/>
        <v>-3</v>
      </c>
      <c r="BR12" t="str">
        <f t="shared" si="16"/>
        <v>0.</v>
      </c>
      <c r="BU12">
        <f t="shared" si="17"/>
        <v>1</v>
      </c>
      <c r="BV12">
        <f t="shared" si="19"/>
        <v>0.14000000000000001</v>
      </c>
      <c r="BW12">
        <f t="shared" ca="1" si="12"/>
        <v>3.3654572799085116</v>
      </c>
      <c r="BX12">
        <f t="shared" ca="1" si="13"/>
        <v>-2.6333644654516086</v>
      </c>
      <c r="BZ12" t="s">
        <v>124</v>
      </c>
      <c r="CA12">
        <v>1</v>
      </c>
      <c r="CB12" s="40" t="s">
        <v>110</v>
      </c>
      <c r="CC12" t="s">
        <v>167</v>
      </c>
      <c r="CD12" t="str">
        <f ca="1">IF(LEN(OFFSET(DATA!$E$14,0,ROW(CD12)-ROW($CD$8)))&gt;1,LEFT(OFFSET(DATA!$E$14,0,ROW(CD12)-ROW($CD$8)),LEN(OFFSET(DATA!$E$14,0,ROW(CD12)-ROW($CD$8)))-1)&amp;" = ","")</f>
        <v xml:space="preserve">HCO₃ = </v>
      </c>
      <c r="CE12" t="str">
        <f t="shared" ca="1" si="18"/>
        <v>&lt;tr bgcolor=#FFFFFF style="text-align:right;"&gt; &lt;td&gt;HCO₃ = &lt;/td&gt; &lt;td&gt;VALUE mg/L&lt;/td&gt;</v>
      </c>
    </row>
    <row r="13" spans="2:83" x14ac:dyDescent="0.25">
      <c r="B13" t="s">
        <v>25</v>
      </c>
      <c r="C13" s="2">
        <v>-1</v>
      </c>
      <c r="D13">
        <v>61</v>
      </c>
      <c r="E13" t="s">
        <v>10</v>
      </c>
      <c r="F13">
        <v>61.016800000000003</v>
      </c>
      <c r="J13" s="3" t="s">
        <v>16</v>
      </c>
      <c r="K13">
        <f>K8+1+dAnionOFF</f>
        <v>1.8</v>
      </c>
      <c r="L13">
        <f>3^0.5/2</f>
        <v>0.8660254037844386</v>
      </c>
      <c r="N13">
        <f>IF(N10&lt;1-$N$5,N10+$N$5,dNULL)</f>
        <v>0.60000000000000009</v>
      </c>
      <c r="O13">
        <v>0</v>
      </c>
      <c r="Q13">
        <f>AVERAGE(K19:K20)+COS(T13*PI()/180)*LabelOFF</f>
        <v>1.5125</v>
      </c>
      <c r="R13">
        <f>AVERAGE(L19:L20)-SIN(T13*PI()/180)*LabelOFF</f>
        <v>1.7537014426634883</v>
      </c>
      <c r="S13" t="str">
        <f ca="1">S8&amp;DATA!$E$4&amp;S7</f>
        <v>Calcium (Ca²⁺) + Magnesium (Mg²⁺)</v>
      </c>
      <c r="T13">
        <v>-60</v>
      </c>
      <c r="U13" s="26"/>
      <c r="V13" s="26"/>
      <c r="W13" s="26"/>
      <c r="Y13" s="26"/>
      <c r="Z13" s="26"/>
      <c r="AA13" s="26"/>
      <c r="AB13" s="26" t="str">
        <f t="shared" ca="1" si="1"/>
        <v>AW07</v>
      </c>
      <c r="AC13">
        <f t="shared" ca="1" si="14"/>
        <v>7</v>
      </c>
      <c r="AD13" t="str">
        <f ca="1">IF(AND(AT13&lt;1,MAX(AW13:BH13)&gt;dNULL),DATA!$D21,"")</f>
        <v>AW07</v>
      </c>
      <c r="AE13" s="7">
        <f ca="1">IF(LEN(DATA!D21)&gt;0,SUMPRODUCT(OFFSET(DATA!$R$6,AE$5,0,1,10),DATA!$R21:$AA21),"")</f>
        <v>1.5199241516966071</v>
      </c>
      <c r="AF13" s="7">
        <f ca="1">IF(LEN(DATA!E21)&gt;0,SUMPRODUCT(OFFSET(DATA!$R$6,AF$5,0,1,10),DATA!$R21:$AA21),"")</f>
        <v>0.27991938137545247</v>
      </c>
      <c r="AG13" s="7">
        <f ca="1">IF(LEN(DATA!F21)&gt;0,SUMPRODUCT(OFFSET(DATA!$R$6,AG$5,0,1,10),DATA!$R21:$AA21),"")</f>
        <v>2.4399774947573016</v>
      </c>
      <c r="AH13" s="7">
        <f ca="1">IF(LEN(DATA!G21)&gt;0,SUMPRODUCT(OFFSET(DATA!$R$6,AH$5,0,1,10),DATA!$R21:$AA21),"")</f>
        <v>0.34</v>
      </c>
      <c r="AI13" s="7">
        <f ca="1">IF(LEN(DATA!H21)&gt;0,SUMPRODUCT(OFFSET(DATA!$R$6,AI$5,0,1,10),DATA!$R21:$AA21),"")</f>
        <v>1.34</v>
      </c>
      <c r="AJ13" s="7">
        <f ca="1">IF(LEN(DATA!I21)&gt;0,SUMPRODUCT(OFFSET(DATA!$R$6,AJ$5,0,1,10),DATA!$R21:$AA21),"")</f>
        <v>2.35</v>
      </c>
      <c r="AK13" s="7"/>
      <c r="AL13" s="7">
        <f t="shared" ca="1" si="2"/>
        <v>0.35848780920706802</v>
      </c>
      <c r="AM13" s="7">
        <f t="shared" ca="1" si="3"/>
        <v>6.6021508817970392E-2</v>
      </c>
      <c r="AN13" s="7">
        <f t="shared" ca="1" si="4"/>
        <v>8.4367245657568243E-2</v>
      </c>
      <c r="AO13" s="7">
        <f t="shared" ca="1" si="5"/>
        <v>0.33250620347394538</v>
      </c>
      <c r="AP13" s="7">
        <f t="shared" ca="1" si="6"/>
        <v>0.57549068197496156</v>
      </c>
      <c r="AQ13" s="7">
        <f t="shared" ca="1" si="7"/>
        <v>0.5831265508684863</v>
      </c>
      <c r="AS13">
        <f t="shared" si="8"/>
        <v>7</v>
      </c>
      <c r="AT13">
        <f t="shared" si="9"/>
        <v>0</v>
      </c>
      <c r="AU13">
        <f t="shared" ca="1" si="10"/>
        <v>0.60850143638394683</v>
      </c>
      <c r="AV13">
        <f t="shared" ca="1" si="11"/>
        <v>5.717630383254068E-2</v>
      </c>
      <c r="AW13">
        <f ca="1">IF(AND($AT13&lt;3,OFFSET(DATA!$C$14,$AS13,0)=AW$6),$AV13,dNULL)</f>
        <v>-99</v>
      </c>
      <c r="AX13">
        <f ca="1">IF(AND($AT13&lt;3,OFFSET(DATA!$C$14,$AS13,0)=AX$6),$AV13,dNULL)</f>
        <v>-99</v>
      </c>
      <c r="AY13">
        <f ca="1">IF(AND($AT13&lt;3,OFFSET(DATA!$C$14,$AS13,0)=AY$6),$AV13,dNULL)</f>
        <v>5.717630383254068E-2</v>
      </c>
      <c r="AZ13">
        <f ca="1">IF(AND($AT13&lt;3,OFFSET(DATA!$C$14,$AS13,0)=AZ$6),$AV13,dNULL)</f>
        <v>-99</v>
      </c>
      <c r="BA13">
        <f ca="1">IF(AND($AT13&lt;3,OFFSET(DATA!$C$14,$AS13,0)=BA$6),$AV13,dNULL)</f>
        <v>-99</v>
      </c>
      <c r="BB13">
        <f ca="1">IF(AND($AT13&lt;3,OFFSET(DATA!$C$14,$AS13,0)=BB$6),$AV13,dNULL)</f>
        <v>-99</v>
      </c>
      <c r="BC13">
        <f ca="1">IF(AND($AT13&lt;3,OFFSET(DATA!$C$14,$AS13,0)=BC$6),$AV13,dNULL)</f>
        <v>-99</v>
      </c>
      <c r="BD13">
        <f ca="1">IF(AND($AT13&lt;3,OFFSET(DATA!$C$14,$AS13,0)=BD$6),$AV13,dNULL)</f>
        <v>-99</v>
      </c>
      <c r="BE13">
        <f ca="1">IF(AND($AT13&lt;3,OFFSET(DATA!$C$14,$AS13,0)=BE$6),$AV13,dNULL)</f>
        <v>-99</v>
      </c>
      <c r="BF13">
        <f ca="1">IF(AND($AT13&lt;3,OFFSET(DATA!$C$14,$AS13,0)=BF$6),$AV13,dNULL)</f>
        <v>-99</v>
      </c>
      <c r="BG13">
        <f ca="1">IF(AND($AT13&lt;3,OFFSET(DATA!$C$14,$AS13,0)=BG$6),$AV13,dNULL)</f>
        <v>-99</v>
      </c>
      <c r="BH13">
        <f ca="1">IF(AND($AT13&lt;3,OFFSET(DATA!$C$14,$AS13,0)=BH$6),$AV13,dNULL)</f>
        <v>-99</v>
      </c>
      <c r="BK13" s="33">
        <f ca="1">MATCH(BL13,DATA!$C$6:$C$11,0)-1</f>
        <v>0</v>
      </c>
      <c r="BL13" s="32" t="str">
        <f>PIPER!O23</f>
        <v>Ca²⁺</v>
      </c>
      <c r="BM13">
        <f ca="1">IF($BN$1=$BM$3,OFFSET($AE$6,$Y$5,BK13)*(1-2*INT(BK13/3)),LOG(MAX(ABS(OFFSET($AE$6,$Y$5,BK13)*(1-2*INT(BK13/3))),$BO$1)/$BO$1))</f>
        <v>0.49900199600798406</v>
      </c>
      <c r="BN13">
        <f t="shared" ref="BN13:BN14" si="20">BL8</f>
        <v>1.1000000000000001</v>
      </c>
      <c r="BP13">
        <f>BP12-IF(COUNT($BP$7:BP12)&lt;=$BP$7*2/$BP$2,$BP$2,0)</f>
        <v>0</v>
      </c>
      <c r="BQ13">
        <f t="shared" si="15"/>
        <v>-3</v>
      </c>
      <c r="BR13" t="str">
        <f t="shared" si="16"/>
        <v>0.</v>
      </c>
      <c r="BU13">
        <f t="shared" si="17"/>
        <v>1</v>
      </c>
      <c r="BV13">
        <f t="shared" si="19"/>
        <v>0.16</v>
      </c>
      <c r="BW13">
        <f t="shared" ca="1" si="12"/>
        <v>0.2</v>
      </c>
      <c r="BX13">
        <f t="shared" ca="1" si="13"/>
        <v>-0.2</v>
      </c>
      <c r="BZ13" t="s">
        <v>150</v>
      </c>
      <c r="CA13">
        <v>1</v>
      </c>
      <c r="CB13" s="40" t="s">
        <v>156</v>
      </c>
      <c r="CC13" t="s">
        <v>168</v>
      </c>
      <c r="CD13" s="39" t="str">
        <f ca="1">IF(LEN(OFFSET(DATA!$E$14,0,ROW(CD13)-ROW($CD$8)))&gt;1,LEFT(OFFSET(DATA!$E$14,0,ROW(CD13)-ROW($CD$8)),LEN(OFFSET(DATA!$E$14,0,ROW(CD13)-ROW($CD$8)))-1)&amp;" = ","")</f>
        <v xml:space="preserve">CO₃ = </v>
      </c>
      <c r="CE13" t="str">
        <f t="shared" ca="1" si="18"/>
        <v>&lt;tr bgcolor=#D9D9D9 style="text-align:right;"&gt; &lt;td&gt;CO₃ = &lt;/td&gt; &lt;td&gt;VALUE mg/L&lt;/td&gt;</v>
      </c>
    </row>
    <row r="14" spans="2:83" x14ac:dyDescent="0.25">
      <c r="B14" t="s">
        <v>27</v>
      </c>
      <c r="C14" s="2">
        <v>-1</v>
      </c>
      <c r="D14">
        <v>30</v>
      </c>
      <c r="E14" t="s">
        <v>11</v>
      </c>
      <c r="F14">
        <v>60.008000000000003</v>
      </c>
      <c r="J14" s="3" t="s">
        <v>16</v>
      </c>
      <c r="K14">
        <f>K9+1+dAnionOFF</f>
        <v>2.2999999999999998</v>
      </c>
      <c r="L14">
        <v>0</v>
      </c>
      <c r="N14">
        <f>N13-N13/2</f>
        <v>0.30000000000000004</v>
      </c>
      <c r="O14">
        <f>O13+N13*ApexCAT</f>
        <v>0.51961524227066325</v>
      </c>
      <c r="Q14">
        <f>(AVERAGE(K20:K21)+AVERAGE(K12:K13))/2</f>
        <v>1.4750000000000001</v>
      </c>
      <c r="R14">
        <f>(AVERAGE(L20:L21)+AVERAGE(L12:L13))/2</f>
        <v>0.56291651245988505</v>
      </c>
      <c r="S14" t="str">
        <f ca="1">OFFSET(DATA!$D$5,MATCH(U14,DATA!$Q$6:$Q$11,0),0)</f>
        <v>Bicarbonate (HCO₃⁻) + Carbonate (CO₃⁻)</v>
      </c>
      <c r="T14">
        <v>60</v>
      </c>
      <c r="U14" s="26" t="s">
        <v>48</v>
      </c>
      <c r="V14" s="26"/>
      <c r="W14" s="26"/>
      <c r="Y14" s="26"/>
      <c r="Z14" s="26"/>
      <c r="AA14" s="26"/>
      <c r="AB14" s="26" t="str">
        <f t="shared" ca="1" si="1"/>
        <v>AW08</v>
      </c>
      <c r="AC14">
        <f t="shared" ca="1" si="14"/>
        <v>8</v>
      </c>
      <c r="AD14" t="str">
        <f ca="1">IF(AND(AT14&lt;1,MAX(AW14:BH14)&gt;dNULL),DATA!$D22,"")</f>
        <v>AW08</v>
      </c>
      <c r="AE14" s="7">
        <f ca="1">IF(LEN(DATA!D22)&gt;0,SUMPRODUCT(OFFSET(DATA!$R$6,AE$5,0,1,10),DATA!$R22:$AA22),"")</f>
        <v>1.1477045908183634</v>
      </c>
      <c r="AF14" s="7">
        <f ca="1">IF(LEN(DATA!E22)&gt;0,SUMPRODUCT(OFFSET(DATA!$R$6,AF$5,0,1,10),DATA!$R22:$AA22),"")</f>
        <v>0.21388614675880224</v>
      </c>
      <c r="AG14" s="7">
        <f ca="1">IF(LEN(DATA!F22)&gt;0,SUMPRODUCT(OFFSET(DATA!$R$6,AG$5,0,1,10),DATA!$R22:$AA22),"")</f>
        <v>2.6660269371748746</v>
      </c>
      <c r="AH14" s="7">
        <f ca="1">IF(LEN(DATA!G22)&gt;0,SUMPRODUCT(OFFSET(DATA!$R$6,AH$5,0,1,10),DATA!$R22:$AA22),"")</f>
        <v>0.32943598743852159</v>
      </c>
      <c r="AI14" s="7">
        <f ca="1">IF(LEN(DATA!H22)&gt;0,SUMPRODUCT(OFFSET(DATA!$R$6,AI$5,0,1,10),DATA!$R22:$AA22),"")</f>
        <v>1.3949382479575605</v>
      </c>
      <c r="AJ14" s="7">
        <f ca="1">IF(LEN(DATA!I22)&gt;0,SUMPRODUCT(OFFSET(DATA!$R$6,AJ$5,0,1,10),DATA!$R22:$AA22),"")</f>
        <v>2.2950819672131146</v>
      </c>
      <c r="AK14" s="7"/>
      <c r="AL14" s="7">
        <f t="shared" ca="1" si="2"/>
        <v>0.28495867371249972</v>
      </c>
      <c r="AM14" s="7">
        <f t="shared" ca="1" si="3"/>
        <v>5.3104878375023548E-2</v>
      </c>
      <c r="AN14" s="7">
        <f t="shared" ca="1" si="4"/>
        <v>8.1960337625938295E-2</v>
      </c>
      <c r="AO14" s="7">
        <f t="shared" ca="1" si="5"/>
        <v>0.34704651018514587</v>
      </c>
      <c r="AP14" s="7">
        <f t="shared" ca="1" si="6"/>
        <v>0.66193644791247674</v>
      </c>
      <c r="AQ14" s="7">
        <f t="shared" ca="1" si="7"/>
        <v>0.57099315218891578</v>
      </c>
      <c r="AS14">
        <f t="shared" si="8"/>
        <v>8</v>
      </c>
      <c r="AT14">
        <f t="shared" si="9"/>
        <v>0</v>
      </c>
      <c r="AU14">
        <f t="shared" ca="1" si="10"/>
        <v>0.68848888709998846</v>
      </c>
      <c r="AV14">
        <f t="shared" ca="1" si="11"/>
        <v>4.5990173737653267E-2</v>
      </c>
      <c r="AW14">
        <f ca="1">IF(AND($AT14&lt;3,OFFSET(DATA!$C$14,$AS14,0)=AW$6),$AV14,dNULL)</f>
        <v>-99</v>
      </c>
      <c r="AX14">
        <f ca="1">IF(AND($AT14&lt;3,OFFSET(DATA!$C$14,$AS14,0)=AX$6),$AV14,dNULL)</f>
        <v>-99</v>
      </c>
      <c r="AY14">
        <f ca="1">IF(AND($AT14&lt;3,OFFSET(DATA!$C$14,$AS14,0)=AY$6),$AV14,dNULL)</f>
        <v>4.5990173737653267E-2</v>
      </c>
      <c r="AZ14">
        <f ca="1">IF(AND($AT14&lt;3,OFFSET(DATA!$C$14,$AS14,0)=AZ$6),$AV14,dNULL)</f>
        <v>-99</v>
      </c>
      <c r="BA14">
        <f ca="1">IF(AND($AT14&lt;3,OFFSET(DATA!$C$14,$AS14,0)=BA$6),$AV14,dNULL)</f>
        <v>-99</v>
      </c>
      <c r="BB14">
        <f ca="1">IF(AND($AT14&lt;3,OFFSET(DATA!$C$14,$AS14,0)=BB$6),$AV14,dNULL)</f>
        <v>-99</v>
      </c>
      <c r="BC14">
        <f ca="1">IF(AND($AT14&lt;3,OFFSET(DATA!$C$14,$AS14,0)=BC$6),$AV14,dNULL)</f>
        <v>-99</v>
      </c>
      <c r="BD14">
        <f ca="1">IF(AND($AT14&lt;3,OFFSET(DATA!$C$14,$AS14,0)=BD$6),$AV14,dNULL)</f>
        <v>-99</v>
      </c>
      <c r="BE14">
        <f ca="1">IF(AND($AT14&lt;3,OFFSET(DATA!$C$14,$AS14,0)=BE$6),$AV14,dNULL)</f>
        <v>-99</v>
      </c>
      <c r="BF14">
        <f ca="1">IF(AND($AT14&lt;3,OFFSET(DATA!$C$14,$AS14,0)=BF$6),$AV14,dNULL)</f>
        <v>-99</v>
      </c>
      <c r="BG14">
        <f ca="1">IF(AND($AT14&lt;3,OFFSET(DATA!$C$14,$AS14,0)=BG$6),$AV14,dNULL)</f>
        <v>-99</v>
      </c>
      <c r="BH14">
        <f ca="1">IF(AND($AT14&lt;3,OFFSET(DATA!$C$14,$AS14,0)=BH$6),$AV14,dNULL)</f>
        <v>-99</v>
      </c>
      <c r="BK14" s="33">
        <f ca="1">MATCH(BL14,DATA!$C$6:$C$11,0)-1</f>
        <v>1</v>
      </c>
      <c r="BL14" s="32" t="str">
        <f>PIPER!O24</f>
        <v>Mg²⁺</v>
      </c>
      <c r="BM14">
        <f ca="1">IF($BN$1=$BM$3,OFFSET($AE$6,$Y$5,BK14)*(1-2*INT(BK14/3)),LOG(MAX(ABS(OFFSET($AE$6,$Y$5,BK14)*(1-2*INT(BK14/3))),$BO$1)/$BO$1))</f>
        <v>0.12339585389930897</v>
      </c>
      <c r="BN14">
        <f t="shared" si="20"/>
        <v>2.101</v>
      </c>
      <c r="BP14">
        <f>BP13-IF(COUNT($BP$7:BP13)&lt;=$BP$7*2/$BP$2,$BP$2,0)</f>
        <v>0</v>
      </c>
      <c r="BQ14">
        <f t="shared" si="15"/>
        <v>-3</v>
      </c>
      <c r="BR14" t="str">
        <f t="shared" si="16"/>
        <v>0.</v>
      </c>
      <c r="BU14">
        <f t="shared" si="17"/>
        <v>1</v>
      </c>
      <c r="BV14">
        <f t="shared" si="19"/>
        <v>0.16</v>
      </c>
      <c r="BW14">
        <f t="shared" ca="1" si="12"/>
        <v>3.3057394614939173</v>
      </c>
      <c r="BX14">
        <f t="shared" ca="1" si="13"/>
        <v>-2.59758768178397</v>
      </c>
      <c r="BZ14" t="s">
        <v>150</v>
      </c>
      <c r="CA14">
        <v>1</v>
      </c>
      <c r="CB14" s="40" t="s">
        <v>111</v>
      </c>
      <c r="CC14" t="s">
        <v>167</v>
      </c>
      <c r="CD14" t="str">
        <f ca="1">IF(LEN(OFFSET(DATA!$E$14,0,ROW(CD14)-ROW($CD$8)))&gt;1,LEFT(OFFSET(DATA!$E$14,0,ROW(CD14)-ROW($CD$8)),LEN(OFFSET(DATA!$E$14,0,ROW(CD14)-ROW($CD$8)))-1)&amp;" = ","")</f>
        <v xml:space="preserve">Cl = </v>
      </c>
      <c r="CE14" t="str">
        <f t="shared" ca="1" si="18"/>
        <v>&lt;tr bgcolor=#FFFFFF style="text-align:right;"&gt; &lt;td&gt;Cl = &lt;/td&gt; &lt;td&gt;VALUE mg/L&lt;/td&gt;</v>
      </c>
    </row>
    <row r="15" spans="2:83" x14ac:dyDescent="0.25">
      <c r="B15" t="s">
        <v>28</v>
      </c>
      <c r="C15" s="2">
        <v>-2</v>
      </c>
      <c r="D15">
        <v>48.030799999999999</v>
      </c>
      <c r="E15" t="s">
        <v>12</v>
      </c>
      <c r="F15">
        <v>96.06</v>
      </c>
      <c r="J15" s="3" t="s">
        <v>16</v>
      </c>
      <c r="K15">
        <f>K10+1+dAnionOFF</f>
        <v>1.3</v>
      </c>
      <c r="L15">
        <f>L12</f>
        <v>0</v>
      </c>
      <c r="U15" s="26"/>
      <c r="V15" s="26"/>
      <c r="W15" s="26"/>
      <c r="Y15" s="26"/>
      <c r="Z15" s="26"/>
      <c r="AA15" s="26"/>
      <c r="AB15" s="26" t="str">
        <f t="shared" ca="1" si="1"/>
        <v>AW09</v>
      </c>
      <c r="AC15">
        <f t="shared" ca="1" si="14"/>
        <v>9</v>
      </c>
      <c r="AD15" t="str">
        <f ca="1">IF(AND(AT15&lt;1,MAX(AW15:BH15)&gt;dNULL),DATA!$D23,"")</f>
        <v>AW09</v>
      </c>
      <c r="AE15" s="7">
        <f ca="1">IF(LEN(DATA!D23)&gt;0,SUMPRODUCT(OFFSET(DATA!$R$6,AE$5,0,1,10),DATA!$R23:$AA23),"")</f>
        <v>0.99800399201596812</v>
      </c>
      <c r="AF15" s="7">
        <f ca="1">IF(LEN(DATA!E23)&gt;0,SUMPRODUCT(OFFSET(DATA!$R$6,AF$5,0,1,10),DATA!$R23:$AA23),"")</f>
        <v>0.22211253701875616</v>
      </c>
      <c r="AG15" s="7">
        <f ca="1">IF(LEN(DATA!F23)&gt;0,SUMPRODUCT(OFFSET(DATA!$R$6,AG$5,0,1,10),DATA!$R23:$AA23),"")</f>
        <v>2.0519471887130827</v>
      </c>
      <c r="AH15" s="7">
        <f ca="1">IF(LEN(DATA!G23)&gt;0,SUMPRODUCT(OFFSET(DATA!$R$6,AH$5,0,1,10),DATA!$R23:$AA23),"")</f>
        <v>0.27189026082072631</v>
      </c>
      <c r="AI15" s="7">
        <f ca="1">IF(LEN(DATA!H23)&gt;0,SUMPRODUCT(OFFSET(DATA!$R$6,AI$5,0,1,10),DATA!$R23:$AA23),"")</f>
        <v>0.58295926780315965</v>
      </c>
      <c r="AJ15" s="7">
        <f ca="1">IF(LEN(DATA!I23)&gt;0,SUMPRODUCT(OFFSET(DATA!$R$6,AJ$5,0,1,10),DATA!$R23:$AA23),"")</f>
        <v>2.459016393442623</v>
      </c>
      <c r="AK15" s="7"/>
      <c r="AL15" s="7">
        <f t="shared" ca="1" si="2"/>
        <v>0.30500750538650995</v>
      </c>
      <c r="AM15" s="7">
        <f t="shared" ca="1" si="3"/>
        <v>6.7881482812821983E-2</v>
      </c>
      <c r="AN15" s="7">
        <f t="shared" ca="1" si="4"/>
        <v>8.2046246654172719E-2</v>
      </c>
      <c r="AO15" s="7">
        <f t="shared" ca="1" si="5"/>
        <v>0.17591516419578898</v>
      </c>
      <c r="AP15" s="7">
        <f t="shared" ca="1" si="6"/>
        <v>0.62711101180066797</v>
      </c>
      <c r="AQ15" s="7">
        <f t="shared" ca="1" si="7"/>
        <v>0.74203858915003817</v>
      </c>
      <c r="AS15">
        <f t="shared" si="8"/>
        <v>9</v>
      </c>
      <c r="AT15">
        <f t="shared" si="9"/>
        <v>0</v>
      </c>
      <c r="AU15">
        <f t="shared" ca="1" si="10"/>
        <v>0.66105175320707898</v>
      </c>
      <c r="AV15">
        <f t="shared" ca="1" si="11"/>
        <v>5.8787088562460586E-2</v>
      </c>
      <c r="AW15">
        <f ca="1">IF(AND($AT15&lt;3,OFFSET(DATA!$C$14,$AS15,0)=AW$6),$AV15,dNULL)</f>
        <v>-99</v>
      </c>
      <c r="AX15">
        <f ca="1">IF(AND($AT15&lt;3,OFFSET(DATA!$C$14,$AS15,0)=AX$6),$AV15,dNULL)</f>
        <v>-99</v>
      </c>
      <c r="AY15">
        <f ca="1">IF(AND($AT15&lt;3,OFFSET(DATA!$C$14,$AS15,0)=AY$6),$AV15,dNULL)</f>
        <v>5.8787088562460586E-2</v>
      </c>
      <c r="AZ15">
        <f ca="1">IF(AND($AT15&lt;3,OFFSET(DATA!$C$14,$AS15,0)=AZ$6),$AV15,dNULL)</f>
        <v>-99</v>
      </c>
      <c r="BA15">
        <f ca="1">IF(AND($AT15&lt;3,OFFSET(DATA!$C$14,$AS15,0)=BA$6),$AV15,dNULL)</f>
        <v>-99</v>
      </c>
      <c r="BB15">
        <f ca="1">IF(AND($AT15&lt;3,OFFSET(DATA!$C$14,$AS15,0)=BB$6),$AV15,dNULL)</f>
        <v>-99</v>
      </c>
      <c r="BC15">
        <f ca="1">IF(AND($AT15&lt;3,OFFSET(DATA!$C$14,$AS15,0)=BC$6),$AV15,dNULL)</f>
        <v>-99</v>
      </c>
      <c r="BD15">
        <f ca="1">IF(AND($AT15&lt;3,OFFSET(DATA!$C$14,$AS15,0)=BD$6),$AV15,dNULL)</f>
        <v>-99</v>
      </c>
      <c r="BE15">
        <f ca="1">IF(AND($AT15&lt;3,OFFSET(DATA!$C$14,$AS15,0)=BE$6),$AV15,dNULL)</f>
        <v>-99</v>
      </c>
      <c r="BF15">
        <f ca="1">IF(AND($AT15&lt;3,OFFSET(DATA!$C$14,$AS15,0)=BF$6),$AV15,dNULL)</f>
        <v>-99</v>
      </c>
      <c r="BG15">
        <f ca="1">IF(AND($AT15&lt;3,OFFSET(DATA!$C$14,$AS15,0)=BG$6),$AV15,dNULL)</f>
        <v>-99</v>
      </c>
      <c r="BH15">
        <f ca="1">IF(AND($AT15&lt;3,OFFSET(DATA!$C$14,$AS15,0)=BH$6),$AV15,dNULL)</f>
        <v>-99</v>
      </c>
      <c r="BK15" s="33">
        <f ca="1">MATCH(BL15,DATA!$C$6:$C$11,0)-1</f>
        <v>5</v>
      </c>
      <c r="BL15" s="32" t="str">
        <f>PIPER!P22</f>
        <v>HCO₃⁻ + CO₃⁻</v>
      </c>
      <c r="BM15">
        <f ca="1">IF($BN$1=$BM$3,OFFSET($AE$6,$Y$5,BK15)*(1-2*INT(BK15/3)),LOG($BO$1/MAX(ABS(OFFSET($AE$6,$Y$5,BK15)*(1-2*INT(BK15/3))),$BO$1)))</f>
        <v>-2.7049180327868854</v>
      </c>
      <c r="BN15">
        <f t="shared" ref="BN15:BN17" si="21">BN12</f>
        <v>0.1</v>
      </c>
      <c r="BP15">
        <f>BP14-IF(COUNT($BP$7:BP14)&lt;=$BP$7*2/$BP$2,$BP$2,0)</f>
        <v>0</v>
      </c>
      <c r="BQ15">
        <f t="shared" si="15"/>
        <v>-3</v>
      </c>
      <c r="BR15" t="str">
        <f t="shared" si="16"/>
        <v>0.</v>
      </c>
      <c r="BU15">
        <f t="shared" si="17"/>
        <v>1</v>
      </c>
      <c r="BV15">
        <f t="shared" si="19"/>
        <v>0.18</v>
      </c>
      <c r="BW15">
        <f t="shared" ca="1" si="12"/>
        <v>0.2</v>
      </c>
      <c r="BX15">
        <f t="shared" ca="1" si="13"/>
        <v>-0.2</v>
      </c>
      <c r="BZ15" t="s">
        <v>127</v>
      </c>
      <c r="CA15">
        <v>1</v>
      </c>
      <c r="CB15" s="40" t="s">
        <v>128</v>
      </c>
      <c r="CC15" t="s">
        <v>168</v>
      </c>
      <c r="CD15" s="39" t="str">
        <f ca="1">IF(LEN(OFFSET(DATA!$E$14,0,ROW(CD15)-ROW($CD$8)))&gt;1,LEFT(OFFSET(DATA!$E$14,0,ROW(CD15)-ROW($CD$8)),LEN(OFFSET(DATA!$E$14,0,ROW(CD15)-ROW($CD$8)))-1)&amp;" = ","")</f>
        <v xml:space="preserve">SO₄² = </v>
      </c>
      <c r="CE15" t="str">
        <f t="shared" ca="1" si="18"/>
        <v>&lt;tr bgcolor=#D9D9D9 style="text-align:right;"&gt; &lt;td&gt;SO₄² = &lt;/td&gt; &lt;td&gt;VALUE mg/L&lt;/td&gt;</v>
      </c>
    </row>
    <row r="16" spans="2:83" x14ac:dyDescent="0.25">
      <c r="B16" t="s">
        <v>171</v>
      </c>
      <c r="C16" s="2">
        <v>-1</v>
      </c>
      <c r="D16">
        <f>F16/1</f>
        <v>62.003999999999998</v>
      </c>
      <c r="E16" t="s">
        <v>172</v>
      </c>
      <c r="F16">
        <v>62.003999999999998</v>
      </c>
      <c r="J16" s="3" t="s">
        <v>16</v>
      </c>
      <c r="N16">
        <f>IF(N13&lt;1-$N$5,N13+$N$5,dNULL)</f>
        <v>0.8</v>
      </c>
      <c r="O16">
        <v>0</v>
      </c>
      <c r="Q16">
        <v>0</v>
      </c>
      <c r="R16">
        <f t="shared" ref="R16:R25" si="22">IF(Q16&lt;=1,-NumberOFF,dNULL)</f>
        <v>-7.4999999999999997E-2</v>
      </c>
      <c r="S16">
        <f>100-Q16*100</f>
        <v>100</v>
      </c>
      <c r="T16">
        <v>0</v>
      </c>
      <c r="U16" s="26"/>
      <c r="V16" s="26"/>
      <c r="W16" s="26"/>
      <c r="Y16" s="26"/>
      <c r="Z16" s="26"/>
      <c r="AA16" s="26"/>
      <c r="AB16" s="26" t="str">
        <f t="shared" ca="1" si="1"/>
        <v>AW10</v>
      </c>
      <c r="AC16">
        <f t="shared" ca="1" si="14"/>
        <v>10</v>
      </c>
      <c r="AD16" t="str">
        <f ca="1">IF(AND(AT16&lt;1,MAX(AW16:BH16)&gt;dNULL),DATA!$D24,"")</f>
        <v>AW10</v>
      </c>
      <c r="AE16" s="7">
        <f ca="1">IF(LEN(DATA!D24)&gt;0,SUMPRODUCT(OFFSET(DATA!$R$6,AE$5,0,1,10),DATA!$R24:$AA24),"")</f>
        <v>1.4970059880239521</v>
      </c>
      <c r="AF16" s="7">
        <f ca="1">IF(LEN(DATA!E24)&gt;0,SUMPRODUCT(OFFSET(DATA!$R$6,AF$5,0,1,10),DATA!$R24:$AA24),"")</f>
        <v>0.15630141493912469</v>
      </c>
      <c r="AG16" s="7">
        <f ca="1">IF(LEN(DATA!F24)&gt;0,SUMPRODUCT(OFFSET(DATA!$R$6,AG$5,0,1,10),DATA!$R24:$AA24),"")</f>
        <v>1.8498685726234672</v>
      </c>
      <c r="AH16" s="7">
        <f ca="1">IF(LEN(DATA!G24)&gt;0,SUMPRODUCT(OFFSET(DATA!$R$6,AH$5,0,1,10),DATA!$R24:$AA24),"")</f>
        <v>0.23129213324683379</v>
      </c>
      <c r="AI16" s="7">
        <f ca="1">IF(LEN(DATA!H24)&gt;0,SUMPRODUCT(OFFSET(DATA!$R$6,AI$5,0,1,10),DATA!$R24:$AA24),"")</f>
        <v>1.0618186663557552</v>
      </c>
      <c r="AJ16" s="7">
        <f ca="1">IF(LEN(DATA!I24)&gt;0,SUMPRODUCT(OFFSET(DATA!$R$6,AJ$5,0,1,10),DATA!$R24:$AA24),"")</f>
        <v>2.1639344262295084</v>
      </c>
      <c r="AK16" s="7"/>
      <c r="AL16" s="7">
        <f t="shared" ca="1" si="2"/>
        <v>0.42732822971398271</v>
      </c>
      <c r="AM16" s="7">
        <f t="shared" ca="1" si="3"/>
        <v>4.4617060641081507E-2</v>
      </c>
      <c r="AN16" s="7">
        <f t="shared" ca="1" si="4"/>
        <v>6.6904572586597461E-2</v>
      </c>
      <c r="AO16" s="7">
        <f t="shared" ca="1" si="5"/>
        <v>0.30714630471754373</v>
      </c>
      <c r="AP16" s="7">
        <f t="shared" ca="1" si="6"/>
        <v>0.52805470964493584</v>
      </c>
      <c r="AQ16" s="7">
        <f t="shared" ca="1" si="7"/>
        <v>0.62594912269585878</v>
      </c>
      <c r="AS16">
        <f t="shared" si="8"/>
        <v>10</v>
      </c>
      <c r="AT16">
        <f t="shared" si="9"/>
        <v>0</v>
      </c>
      <c r="AU16">
        <f t="shared" ca="1" si="10"/>
        <v>0.55036323996547654</v>
      </c>
      <c r="AV16">
        <f t="shared" ca="1" si="11"/>
        <v>3.8639507957367397E-2</v>
      </c>
      <c r="AW16">
        <f ca="1">IF(AND($AT16&lt;3,OFFSET(DATA!$C$14,$AS16,0)=AW$6),$AV16,dNULL)</f>
        <v>-99</v>
      </c>
      <c r="AX16">
        <f ca="1">IF(AND($AT16&lt;3,OFFSET(DATA!$C$14,$AS16,0)=AX$6),$AV16,dNULL)</f>
        <v>-99</v>
      </c>
      <c r="AY16">
        <f ca="1">IF(AND($AT16&lt;3,OFFSET(DATA!$C$14,$AS16,0)=AY$6),$AV16,dNULL)</f>
        <v>3.8639507957367397E-2</v>
      </c>
      <c r="AZ16">
        <f ca="1">IF(AND($AT16&lt;3,OFFSET(DATA!$C$14,$AS16,0)=AZ$6),$AV16,dNULL)</f>
        <v>-99</v>
      </c>
      <c r="BA16">
        <f ca="1">IF(AND($AT16&lt;3,OFFSET(DATA!$C$14,$AS16,0)=BA$6),$AV16,dNULL)</f>
        <v>-99</v>
      </c>
      <c r="BB16">
        <f ca="1">IF(AND($AT16&lt;3,OFFSET(DATA!$C$14,$AS16,0)=BB$6),$AV16,dNULL)</f>
        <v>-99</v>
      </c>
      <c r="BC16">
        <f ca="1">IF(AND($AT16&lt;3,OFFSET(DATA!$C$14,$AS16,0)=BC$6),$AV16,dNULL)</f>
        <v>-99</v>
      </c>
      <c r="BD16">
        <f ca="1">IF(AND($AT16&lt;3,OFFSET(DATA!$C$14,$AS16,0)=BD$6),$AV16,dNULL)</f>
        <v>-99</v>
      </c>
      <c r="BE16">
        <f ca="1">IF(AND($AT16&lt;3,OFFSET(DATA!$C$14,$AS16,0)=BE$6),$AV16,dNULL)</f>
        <v>-99</v>
      </c>
      <c r="BF16">
        <f ca="1">IF(AND($AT16&lt;3,OFFSET(DATA!$C$14,$AS16,0)=BF$6),$AV16,dNULL)</f>
        <v>-99</v>
      </c>
      <c r="BG16">
        <f ca="1">IF(AND($AT16&lt;3,OFFSET(DATA!$C$14,$AS16,0)=BG$6),$AV16,dNULL)</f>
        <v>-99</v>
      </c>
      <c r="BH16">
        <f ca="1">IF(AND($AT16&lt;3,OFFSET(DATA!$C$14,$AS16,0)=BH$6),$AV16,dNULL)</f>
        <v>-99</v>
      </c>
      <c r="BK16" s="33">
        <f ca="1">MATCH(BL16,DATA!$C$6:$C$11,0)-1</f>
        <v>4</v>
      </c>
      <c r="BL16" s="32" t="str">
        <f>PIPER!P23</f>
        <v>SO₄²⁻</v>
      </c>
      <c r="BM16">
        <f ca="1">IF($BN$1=$BM$3,OFFSET($AE$6,$Y$5,BK16)*(1-2*INT(BK16/3)),LOG($BO$1/MAX(ABS(OFFSET($AE$6,$Y$5,BK16)*(1-2*INT(BK16/3))),$BO$1)))</f>
        <v>-0.9160788494049652</v>
      </c>
      <c r="BN16">
        <f t="shared" si="21"/>
        <v>1.1000000000000001</v>
      </c>
      <c r="BP16">
        <f>BP15-IF(COUNT($BP$7:BP15)&lt;=$BP$7*2/$BP$2,$BP$2,0)</f>
        <v>0</v>
      </c>
      <c r="BQ16">
        <f t="shared" si="15"/>
        <v>-3</v>
      </c>
      <c r="BR16" t="str">
        <f t="shared" si="16"/>
        <v>0.</v>
      </c>
      <c r="BU16">
        <f t="shared" si="17"/>
        <v>1</v>
      </c>
      <c r="BV16">
        <f t="shared" si="19"/>
        <v>0.18</v>
      </c>
      <c r="BW16">
        <f t="shared" ca="1" si="12"/>
        <v>3.2460216430793229</v>
      </c>
      <c r="BX16">
        <f t="shared" ca="1" si="13"/>
        <v>-2.5618108981163319</v>
      </c>
      <c r="BZ16" t="s">
        <v>129</v>
      </c>
      <c r="CA16">
        <v>1</v>
      </c>
      <c r="CB16" s="40" t="s">
        <v>130</v>
      </c>
      <c r="CC16" t="s">
        <v>167</v>
      </c>
      <c r="CD16" t="str">
        <f ca="1">IF(LEN(OFFSET(DATA!$E$14,0,ROW(CD16)-ROW($CD$8)))&gt;1,LEFT(OFFSET(DATA!$E$14,0,ROW(CD16)-ROW($CD$8)),LEN(OFFSET(DATA!$E$14,0,ROW(CD16)-ROW($CD$8)))-1)&amp;" = ","")</f>
        <v xml:space="preserve">F = </v>
      </c>
      <c r="CE16" t="str">
        <f t="shared" ca="1" si="18"/>
        <v>&lt;tr bgcolor=#FFFFFF style="text-align:right;"&gt; &lt;td&gt;F = &lt;/td&gt; &lt;td&gt;VALUE mg/L&lt;/td&gt;</v>
      </c>
    </row>
    <row r="17" spans="3:83" x14ac:dyDescent="0.25">
      <c r="C17" s="2"/>
      <c r="J17" s="3" t="s">
        <v>17</v>
      </c>
      <c r="K17">
        <f>K14/2</f>
        <v>1.1499999999999999</v>
      </c>
      <c r="L17">
        <f>dAnionOFF*3^0.5/2</f>
        <v>0.25980762113533157</v>
      </c>
      <c r="N17">
        <f>N16-N16/2</f>
        <v>0.4</v>
      </c>
      <c r="O17">
        <f>O16+N16*ApexCAT</f>
        <v>0.69282032302755092</v>
      </c>
      <c r="Q17">
        <f>Q16+$N$5</f>
        <v>0.2</v>
      </c>
      <c r="R17">
        <f t="shared" si="22"/>
        <v>-7.4999999999999997E-2</v>
      </c>
      <c r="S17">
        <f t="shared" ref="S17:S25" si="23">100-Q17*100</f>
        <v>80</v>
      </c>
      <c r="T17">
        <v>0</v>
      </c>
      <c r="U17" s="26"/>
      <c r="V17" s="26"/>
      <c r="W17" s="26"/>
      <c r="Y17" s="26"/>
      <c r="Z17" s="26"/>
      <c r="AA17" s="26"/>
      <c r="AB17" s="26" t="str">
        <f t="shared" ca="1" si="1"/>
        <v>AW11</v>
      </c>
      <c r="AC17">
        <f t="shared" ca="1" si="14"/>
        <v>11</v>
      </c>
      <c r="AD17" t="str">
        <f ca="1">IF(AND(AT17&lt;1,MAX(AW17:BH17)&gt;dNULL),DATA!$D25,"")</f>
        <v>AW11</v>
      </c>
      <c r="AE17" s="7">
        <f ca="1">IF(LEN(DATA!D25)&gt;0,SUMPRODUCT(OFFSET(DATA!$R$6,AE$5,0,1,10),DATA!$R25:$AA25),"")</f>
        <v>1.1976047904191618</v>
      </c>
      <c r="AF17" s="7">
        <f ca="1">IF(LEN(DATA!E25)&gt;0,SUMPRODUCT(OFFSET(DATA!$R$6,AF$5,0,1,10),DATA!$R25:$AA25),"")</f>
        <v>9.0490292859493254E-2</v>
      </c>
      <c r="AG17" s="7">
        <f ca="1">IF(LEN(DATA!F25)&gt;0,SUMPRODUCT(OFFSET(DATA!$R$6,AG$5,0,1,10),DATA!$R25:$AA25),"")</f>
        <v>1.7756177390939216</v>
      </c>
      <c r="AH17" s="7">
        <f ca="1">IF(LEN(DATA!G25)&gt;0,SUMPRODUCT(OFFSET(DATA!$R$6,AH$5,0,1,10),DATA!$R25:$AA25),"")</f>
        <v>0.23879797235958428</v>
      </c>
      <c r="AI17" s="7">
        <f ca="1">IF(LEN(DATA!H25)&gt;0,SUMPRODUCT(OFFSET(DATA!$R$6,AI$5,0,1,10),DATA!$R25:$AA25),"")</f>
        <v>0.6870591370537239</v>
      </c>
      <c r="AJ17" s="7">
        <f ca="1">IF(LEN(DATA!I25)&gt;0,SUMPRODUCT(OFFSET(DATA!$R$6,AJ$5,0,1,10),DATA!$R25:$AA25),"")</f>
        <v>2.1311475409836067</v>
      </c>
      <c r="AK17" s="7"/>
      <c r="AL17" s="7">
        <f t="shared" ca="1" si="2"/>
        <v>0.39089981987662992</v>
      </c>
      <c r="AM17" s="7">
        <f t="shared" ca="1" si="3"/>
        <v>2.95361537147651E-2</v>
      </c>
      <c r="AN17" s="7">
        <f t="shared" ca="1" si="4"/>
        <v>7.8115017695043171E-2</v>
      </c>
      <c r="AO17" s="7">
        <f t="shared" ca="1" si="5"/>
        <v>0.22474913048121062</v>
      </c>
      <c r="AP17" s="7">
        <f t="shared" ca="1" si="6"/>
        <v>0.57956402640860494</v>
      </c>
      <c r="AQ17" s="7">
        <f t="shared" ca="1" si="7"/>
        <v>0.69713585182374616</v>
      </c>
      <c r="AS17">
        <f t="shared" si="8"/>
        <v>11</v>
      </c>
      <c r="AT17">
        <f t="shared" si="9"/>
        <v>0</v>
      </c>
      <c r="AU17">
        <f t="shared" ca="1" si="10"/>
        <v>0.59433210326598751</v>
      </c>
      <c r="AV17">
        <f t="shared" ca="1" si="11"/>
        <v>2.5579059447068692E-2</v>
      </c>
      <c r="AW17">
        <f ca="1">IF(AND($AT17&lt;3,OFFSET(DATA!$C$14,$AS17,0)=AW$6),$AV17,dNULL)</f>
        <v>-99</v>
      </c>
      <c r="AX17">
        <f ca="1">IF(AND($AT17&lt;3,OFFSET(DATA!$C$14,$AS17,0)=AX$6),$AV17,dNULL)</f>
        <v>-99</v>
      </c>
      <c r="AY17">
        <f ca="1">IF(AND($AT17&lt;3,OFFSET(DATA!$C$14,$AS17,0)=AY$6),$AV17,dNULL)</f>
        <v>2.5579059447068692E-2</v>
      </c>
      <c r="AZ17">
        <f ca="1">IF(AND($AT17&lt;3,OFFSET(DATA!$C$14,$AS17,0)=AZ$6),$AV17,dNULL)</f>
        <v>-99</v>
      </c>
      <c r="BA17">
        <f ca="1">IF(AND($AT17&lt;3,OFFSET(DATA!$C$14,$AS17,0)=BA$6),$AV17,dNULL)</f>
        <v>-99</v>
      </c>
      <c r="BB17">
        <f ca="1">IF(AND($AT17&lt;3,OFFSET(DATA!$C$14,$AS17,0)=BB$6),$AV17,dNULL)</f>
        <v>-99</v>
      </c>
      <c r="BC17">
        <f ca="1">IF(AND($AT17&lt;3,OFFSET(DATA!$C$14,$AS17,0)=BC$6),$AV17,dNULL)</f>
        <v>-99</v>
      </c>
      <c r="BD17">
        <f ca="1">IF(AND($AT17&lt;3,OFFSET(DATA!$C$14,$AS17,0)=BD$6),$AV17,dNULL)</f>
        <v>-99</v>
      </c>
      <c r="BE17">
        <f ca="1">IF(AND($AT17&lt;3,OFFSET(DATA!$C$14,$AS17,0)=BE$6),$AV17,dNULL)</f>
        <v>-99</v>
      </c>
      <c r="BF17">
        <f ca="1">IF(AND($AT17&lt;3,OFFSET(DATA!$C$14,$AS17,0)=BF$6),$AV17,dNULL)</f>
        <v>-99</v>
      </c>
      <c r="BG17">
        <f ca="1">IF(AND($AT17&lt;3,OFFSET(DATA!$C$14,$AS17,0)=BG$6),$AV17,dNULL)</f>
        <v>-99</v>
      </c>
      <c r="BH17">
        <f ca="1">IF(AND($AT17&lt;3,OFFSET(DATA!$C$14,$AS17,0)=BH$6),$AV17,dNULL)</f>
        <v>-99</v>
      </c>
      <c r="BK17" s="33">
        <f ca="1">MATCH(BL17,DATA!$C$6:$C$11,0)-1</f>
        <v>3</v>
      </c>
      <c r="BL17" s="32" t="str">
        <f>PIPER!P24</f>
        <v>Cl⁻ + F⁻</v>
      </c>
      <c r="BM17">
        <f ca="1">IF($BN$1=$BM$3,OFFSET($AE$6,$Y$5,BK17)*(1-2*INT(BK17/3)),LOG($BO$1/MAX(ABS(OFFSET($AE$6,$Y$5,BK17)*(1-2*INT(BK17/3))),$BO$1)))</f>
        <v>-0.42418080805499458</v>
      </c>
      <c r="BN17">
        <f t="shared" si="21"/>
        <v>2.101</v>
      </c>
      <c r="BP17">
        <f>BP16-IF(COUNT($BP$7:BP16)&lt;=$BP$7*2/$BP$2,$BP$2,0)</f>
        <v>0</v>
      </c>
      <c r="BQ17">
        <f t="shared" si="15"/>
        <v>-3</v>
      </c>
      <c r="BR17" t="str">
        <f t="shared" si="16"/>
        <v>0.</v>
      </c>
      <c r="BU17">
        <f t="shared" si="17"/>
        <v>1</v>
      </c>
      <c r="BV17">
        <f t="shared" si="19"/>
        <v>0.19999999999999998</v>
      </c>
      <c r="BW17">
        <f t="shared" ca="1" si="12"/>
        <v>0.2</v>
      </c>
      <c r="BX17">
        <f t="shared" ca="1" si="13"/>
        <v>-0.2</v>
      </c>
      <c r="BZ17" t="s">
        <v>150</v>
      </c>
      <c r="CA17">
        <v>1</v>
      </c>
      <c r="CB17" s="40" t="s">
        <v>112</v>
      </c>
      <c r="CC17" t="s">
        <v>168</v>
      </c>
      <c r="CD17" s="39" t="str">
        <f ca="1">IF(LEN(OFFSET(DATA!$E$14,0,ROW(CD17)-ROW($CD$8)))&gt;1,LEFT(OFFSET(DATA!$E$14,0,ROW(CD17)-ROW($CD$8)),LEN(OFFSET(DATA!$E$14,0,ROW(CD17)-ROW($CD$8)))-1)&amp;" = ","")</f>
        <v/>
      </c>
      <c r="CE17" t="str">
        <f t="shared" ca="1" si="18"/>
        <v/>
      </c>
    </row>
    <row r="18" spans="3:83" x14ac:dyDescent="0.25">
      <c r="C18" s="2"/>
      <c r="J18" s="3" t="s">
        <v>17</v>
      </c>
      <c r="K18">
        <f>K17-0.5</f>
        <v>0.64999999999999991</v>
      </c>
      <c r="L18">
        <f>L17+L8</f>
        <v>1.1258330249197701</v>
      </c>
      <c r="Q18">
        <f t="shared" ref="Q18:Q25" si="24">Q17+$N$5</f>
        <v>0.4</v>
      </c>
      <c r="R18">
        <f t="shared" si="22"/>
        <v>-7.4999999999999997E-2</v>
      </c>
      <c r="S18">
        <f t="shared" si="23"/>
        <v>60</v>
      </c>
      <c r="T18">
        <v>0</v>
      </c>
      <c r="Y18" s="26"/>
      <c r="Z18" s="26"/>
      <c r="AB18" s="26" t="str">
        <f t="shared" ca="1" si="1"/>
        <v>AW12</v>
      </c>
      <c r="AC18">
        <f t="shared" ca="1" si="14"/>
        <v>12</v>
      </c>
      <c r="AD18" t="str">
        <f ca="1">IF(AND(AT18&lt;1,MAX(AW18:BH18)&gt;dNULL),DATA!$D26,"")</f>
        <v>AW12</v>
      </c>
      <c r="AE18" s="7">
        <f ca="1">IF(LEN(DATA!D26)&gt;0,SUMPRODUCT(OFFSET(DATA!$R$6,AE$5,0,1,10),DATA!$R26:$AA26),"")</f>
        <v>0.89820359281437134</v>
      </c>
      <c r="AF18" s="7">
        <f ca="1">IF(LEN(DATA!E26)&gt;0,SUMPRODUCT(OFFSET(DATA!$R$6,AF$5,0,1,10),DATA!$R26:$AA26),"")</f>
        <v>5.758473181967752E-2</v>
      </c>
      <c r="AG18" s="7">
        <f ca="1">IF(LEN(DATA!F26)&gt;0,SUMPRODUCT(OFFSET(DATA!$R$6,AG$5,0,1,10),DATA!$R26:$AA26),"")</f>
        <v>2.5253262557177587</v>
      </c>
      <c r="AH18" s="7">
        <f ca="1">IF(LEN(DATA!G26)&gt;0,SUMPRODUCT(OFFSET(DATA!$R$6,AH$5,0,1,10),DATA!$R26:$AA26),"")</f>
        <v>0.29896360734201655</v>
      </c>
      <c r="AI18" s="7">
        <f ca="1">IF(LEN(DATA!H26)&gt;0,SUMPRODUCT(OFFSET(DATA!$R$6,AI$5,0,1,10),DATA!$R26:$AA26),"")</f>
        <v>0.62459921550338537</v>
      </c>
      <c r="AJ18" s="7">
        <f ca="1">IF(LEN(DATA!I26)&gt;0,SUMPRODUCT(OFFSET(DATA!$R$6,AJ$5,0,1,10),DATA!$R26:$AA26),"")</f>
        <v>2.459016393442623</v>
      </c>
      <c r="AK18" s="7"/>
      <c r="AL18" s="7">
        <f t="shared" ca="1" si="2"/>
        <v>0.25802184101725184</v>
      </c>
      <c r="AM18" s="7">
        <f t="shared" ca="1" si="3"/>
        <v>1.6542038617372346E-2</v>
      </c>
      <c r="AN18" s="7">
        <f t="shared" ca="1" si="4"/>
        <v>8.8383327699297243E-2</v>
      </c>
      <c r="AO18" s="7">
        <f t="shared" ca="1" si="5"/>
        <v>0.18465176291977814</v>
      </c>
      <c r="AP18" s="7">
        <f t="shared" ca="1" si="6"/>
        <v>0.72543612036537586</v>
      </c>
      <c r="AQ18" s="7">
        <f t="shared" ca="1" si="7"/>
        <v>0.72696490938092462</v>
      </c>
      <c r="AS18">
        <f t="shared" si="8"/>
        <v>12</v>
      </c>
      <c r="AT18">
        <f t="shared" si="9"/>
        <v>0</v>
      </c>
      <c r="AU18">
        <f t="shared" ca="1" si="10"/>
        <v>0.73370713967406198</v>
      </c>
      <c r="AV18">
        <f t="shared" ca="1" si="11"/>
        <v>1.4325825673027662E-2</v>
      </c>
      <c r="AW18">
        <f ca="1">IF(AND($AT18&lt;3,OFFSET(DATA!$C$14,$AS18,0)=AW$6),$AV18,dNULL)</f>
        <v>-99</v>
      </c>
      <c r="AX18">
        <f ca="1">IF(AND($AT18&lt;3,OFFSET(DATA!$C$14,$AS18,0)=AX$6),$AV18,dNULL)</f>
        <v>-99</v>
      </c>
      <c r="AY18">
        <f ca="1">IF(AND($AT18&lt;3,OFFSET(DATA!$C$14,$AS18,0)=AY$6),$AV18,dNULL)</f>
        <v>1.4325825673027662E-2</v>
      </c>
      <c r="AZ18">
        <f ca="1">IF(AND($AT18&lt;3,OFFSET(DATA!$C$14,$AS18,0)=AZ$6),$AV18,dNULL)</f>
        <v>-99</v>
      </c>
      <c r="BA18">
        <f ca="1">IF(AND($AT18&lt;3,OFFSET(DATA!$C$14,$AS18,0)=BA$6),$AV18,dNULL)</f>
        <v>-99</v>
      </c>
      <c r="BB18">
        <f ca="1">IF(AND($AT18&lt;3,OFFSET(DATA!$C$14,$AS18,0)=BB$6),$AV18,dNULL)</f>
        <v>-99</v>
      </c>
      <c r="BC18">
        <f ca="1">IF(AND($AT18&lt;3,OFFSET(DATA!$C$14,$AS18,0)=BC$6),$AV18,dNULL)</f>
        <v>-99</v>
      </c>
      <c r="BD18">
        <f ca="1">IF(AND($AT18&lt;3,OFFSET(DATA!$C$14,$AS18,0)=BD$6),$AV18,dNULL)</f>
        <v>-99</v>
      </c>
      <c r="BE18">
        <f ca="1">IF(AND($AT18&lt;3,OFFSET(DATA!$C$14,$AS18,0)=BE$6),$AV18,dNULL)</f>
        <v>-99</v>
      </c>
      <c r="BF18">
        <f ca="1">IF(AND($AT18&lt;3,OFFSET(DATA!$C$14,$AS18,0)=BF$6),$AV18,dNULL)</f>
        <v>-99</v>
      </c>
      <c r="BG18">
        <f ca="1">IF(AND($AT18&lt;3,OFFSET(DATA!$C$14,$AS18,0)=BG$6),$AV18,dNULL)</f>
        <v>-99</v>
      </c>
      <c r="BH18">
        <f ca="1">IF(AND($AT18&lt;3,OFFSET(DATA!$C$14,$AS18,0)=BH$6),$AV18,dNULL)</f>
        <v>-99</v>
      </c>
      <c r="BP18">
        <f>BP17-IF(COUNT($BP$7:BP17)&lt;=$BP$7*2/$BP$2,$BP$2,0)</f>
        <v>0</v>
      </c>
      <c r="BQ18">
        <f t="shared" si="15"/>
        <v>-3</v>
      </c>
      <c r="BR18" t="str">
        <f t="shared" si="16"/>
        <v>0.</v>
      </c>
      <c r="BU18">
        <f t="shared" si="17"/>
        <v>1</v>
      </c>
      <c r="BV18">
        <f t="shared" si="19"/>
        <v>0.19999999999999998</v>
      </c>
      <c r="BW18">
        <f t="shared" ca="1" si="12"/>
        <v>3.1863038246647286</v>
      </c>
      <c r="BX18">
        <f t="shared" ca="1" si="13"/>
        <v>-2.5260341144486933</v>
      </c>
      <c r="BZ18" t="s">
        <v>150</v>
      </c>
      <c r="CA18">
        <v>1</v>
      </c>
      <c r="CB18" s="40" t="s">
        <v>113</v>
      </c>
    </row>
    <row r="19" spans="3:83" x14ac:dyDescent="0.25">
      <c r="J19" s="3" t="s">
        <v>17</v>
      </c>
      <c r="K19">
        <f>K17</f>
        <v>1.1499999999999999</v>
      </c>
      <c r="L19">
        <f>L18+L8</f>
        <v>1.9918584287042087</v>
      </c>
      <c r="N19">
        <f>IF(N16&lt;1-$N$5,N16+$N$5,dNULL)</f>
        <v>-99</v>
      </c>
      <c r="O19">
        <v>0</v>
      </c>
      <c r="Q19">
        <f t="shared" si="24"/>
        <v>0.60000000000000009</v>
      </c>
      <c r="R19">
        <f t="shared" si="22"/>
        <v>-7.4999999999999997E-2</v>
      </c>
      <c r="S19">
        <f t="shared" si="23"/>
        <v>39.999999999999993</v>
      </c>
      <c r="T19">
        <v>0</v>
      </c>
      <c r="Y19" s="26"/>
      <c r="Z19" s="26"/>
      <c r="AB19" s="26" t="str">
        <f t="shared" ca="1" si="1"/>
        <v>AW13</v>
      </c>
      <c r="AC19">
        <f t="shared" ca="1" si="14"/>
        <v>13</v>
      </c>
      <c r="AD19" t="str">
        <f ca="1">IF(AND(AT19&lt;1,MAX(AW19:BH19)&gt;dNULL),DATA!$D27,"")</f>
        <v>AW13</v>
      </c>
      <c r="AE19" s="7">
        <f ca="1">IF(LEN(DATA!D27)&gt;0,SUMPRODUCT(OFFSET(DATA!$R$6,AE$5,0,1,10),DATA!$R27:$AA27),"")</f>
        <v>0.94810379241516973</v>
      </c>
      <c r="AF19" s="7">
        <f ca="1">IF(LEN(DATA!E27)&gt;0,SUMPRODUCT(OFFSET(DATA!$R$6,AF$5,0,1,10),DATA!$R27:$AA27),"")</f>
        <v>6.5811122079631454E-2</v>
      </c>
      <c r="AG19" s="7">
        <f ca="1">IF(LEN(DATA!F27)&gt;0,SUMPRODUCT(OFFSET(DATA!$R$6,AG$5,0,1,10),DATA!$R27:$AA27),"")</f>
        <v>2.0570834738946098</v>
      </c>
      <c r="AH19" s="7">
        <f ca="1">IF(LEN(DATA!G27)&gt;0,SUMPRODUCT(OFFSET(DATA!$R$6,AH$5,0,1,10),DATA!$R27:$AA27),"")</f>
        <v>0.33074594162084014</v>
      </c>
      <c r="AI19" s="7">
        <f ca="1">IF(LEN(DATA!H27)&gt;0,SUMPRODUCT(OFFSET(DATA!$R$6,AI$5,0,1,10),DATA!$R27:$AA27),"")</f>
        <v>0.58295926780315965</v>
      </c>
      <c r="AJ19" s="7">
        <f ca="1">IF(LEN(DATA!I27)&gt;0,SUMPRODUCT(OFFSET(DATA!$R$6,AJ$5,0,1,10),DATA!$R27:$AA27),"")</f>
        <v>2.1311475409836067</v>
      </c>
      <c r="AK19" s="7"/>
      <c r="AL19" s="7">
        <f t="shared" ca="1" si="2"/>
        <v>0.30872819601589047</v>
      </c>
      <c r="AM19" s="7">
        <f t="shared" ca="1" si="3"/>
        <v>2.1429878416232638E-2</v>
      </c>
      <c r="AN19" s="7">
        <f t="shared" ca="1" si="4"/>
        <v>0.10862460970454615</v>
      </c>
      <c r="AO19" s="7">
        <f t="shared" ca="1" si="5"/>
        <v>0.19145729386260812</v>
      </c>
      <c r="AP19" s="7">
        <f t="shared" ca="1" si="6"/>
        <v>0.66984192556787692</v>
      </c>
      <c r="AQ19" s="7">
        <f t="shared" ca="1" si="7"/>
        <v>0.69991809643284575</v>
      </c>
      <c r="AS19">
        <f t="shared" si="8"/>
        <v>13</v>
      </c>
      <c r="AT19">
        <f t="shared" si="9"/>
        <v>0</v>
      </c>
      <c r="AU19">
        <f t="shared" ca="1" si="10"/>
        <v>0.6805568647759932</v>
      </c>
      <c r="AV19">
        <f t="shared" ca="1" si="11"/>
        <v>1.8558819108469297E-2</v>
      </c>
      <c r="AW19">
        <f ca="1">IF(AND($AT19&lt;3,OFFSET(DATA!$C$14,$AS19,0)=AW$6),$AV19,dNULL)</f>
        <v>-99</v>
      </c>
      <c r="AX19">
        <f ca="1">IF(AND($AT19&lt;3,OFFSET(DATA!$C$14,$AS19,0)=AX$6),$AV19,dNULL)</f>
        <v>-99</v>
      </c>
      <c r="AY19">
        <f ca="1">IF(AND($AT19&lt;3,OFFSET(DATA!$C$14,$AS19,0)=AY$6),$AV19,dNULL)</f>
        <v>1.8558819108469297E-2</v>
      </c>
      <c r="AZ19">
        <f ca="1">IF(AND($AT19&lt;3,OFFSET(DATA!$C$14,$AS19,0)=AZ$6),$AV19,dNULL)</f>
        <v>-99</v>
      </c>
      <c r="BA19">
        <f ca="1">IF(AND($AT19&lt;3,OFFSET(DATA!$C$14,$AS19,0)=BA$6),$AV19,dNULL)</f>
        <v>-99</v>
      </c>
      <c r="BB19">
        <f ca="1">IF(AND($AT19&lt;3,OFFSET(DATA!$C$14,$AS19,0)=BB$6),$AV19,dNULL)</f>
        <v>-99</v>
      </c>
      <c r="BC19">
        <f ca="1">IF(AND($AT19&lt;3,OFFSET(DATA!$C$14,$AS19,0)=BC$6),$AV19,dNULL)</f>
        <v>-99</v>
      </c>
      <c r="BD19">
        <f ca="1">IF(AND($AT19&lt;3,OFFSET(DATA!$C$14,$AS19,0)=BD$6),$AV19,dNULL)</f>
        <v>-99</v>
      </c>
      <c r="BE19">
        <f ca="1">IF(AND($AT19&lt;3,OFFSET(DATA!$C$14,$AS19,0)=BE$6),$AV19,dNULL)</f>
        <v>-99</v>
      </c>
      <c r="BF19">
        <f ca="1">IF(AND($AT19&lt;3,OFFSET(DATA!$C$14,$AS19,0)=BF$6),$AV19,dNULL)</f>
        <v>-99</v>
      </c>
      <c r="BG19">
        <f ca="1">IF(AND($AT19&lt;3,OFFSET(DATA!$C$14,$AS19,0)=BG$6),$AV19,dNULL)</f>
        <v>-99</v>
      </c>
      <c r="BH19">
        <f ca="1">IF(AND($AT19&lt;3,OFFSET(DATA!$C$14,$AS19,0)=BH$6),$AV19,dNULL)</f>
        <v>-99</v>
      </c>
      <c r="BP19">
        <f>BP18-IF(COUNT($BP$7:BP18)&lt;=$BP$7*2/$BP$2,$BP$2,0)</f>
        <v>0</v>
      </c>
      <c r="BQ19">
        <f t="shared" si="15"/>
        <v>-3</v>
      </c>
      <c r="BR19" t="str">
        <f t="shared" si="16"/>
        <v>0.</v>
      </c>
      <c r="BU19">
        <f t="shared" si="17"/>
        <v>1</v>
      </c>
      <c r="BV19">
        <f t="shared" si="19"/>
        <v>0.21999999999999997</v>
      </c>
      <c r="BW19">
        <f t="shared" ca="1" si="12"/>
        <v>0.2</v>
      </c>
      <c r="BX19">
        <f t="shared" ca="1" si="13"/>
        <v>-0.2</v>
      </c>
      <c r="BZ19" t="s">
        <v>150</v>
      </c>
      <c r="CA19">
        <v>1</v>
      </c>
      <c r="CB19" s="40" t="s">
        <v>114</v>
      </c>
    </row>
    <row r="20" spans="3:83" x14ac:dyDescent="0.25">
      <c r="J20" s="3" t="s">
        <v>17</v>
      </c>
      <c r="K20">
        <f>K19+0.5</f>
        <v>1.65</v>
      </c>
      <c r="L20">
        <f>L18</f>
        <v>1.1258330249197701</v>
      </c>
      <c r="N20">
        <f>N19-N19/2</f>
        <v>-49.5</v>
      </c>
      <c r="O20">
        <f>O19+N19*ApexCAT</f>
        <v>-85.736514974659414</v>
      </c>
      <c r="Q20">
        <f t="shared" si="24"/>
        <v>0.8</v>
      </c>
      <c r="R20">
        <f t="shared" si="22"/>
        <v>-7.4999999999999997E-2</v>
      </c>
      <c r="S20">
        <f t="shared" si="23"/>
        <v>20</v>
      </c>
      <c r="T20">
        <v>0</v>
      </c>
      <c r="Y20" s="26"/>
      <c r="Z20" s="26"/>
      <c r="AB20" s="26" t="str">
        <f t="shared" ca="1" si="1"/>
        <v>AW14</v>
      </c>
      <c r="AC20">
        <f t="shared" ca="1" si="14"/>
        <v>14</v>
      </c>
      <c r="AD20" t="str">
        <f ca="1">IF(AND(AT20&lt;1,MAX(AW20:BH20)&gt;dNULL),DATA!$D28,"")</f>
        <v>AW14</v>
      </c>
      <c r="AE20" s="7">
        <f ca="1">IF(LEN(DATA!D28)&gt;0,SUMPRODUCT(OFFSET(DATA!$R$6,AE$5,0,1,10),DATA!$R28:$AA28),"")</f>
        <v>0.84830339321357284</v>
      </c>
      <c r="AF20" s="7">
        <f ca="1">IF(LEN(DATA!E28)&gt;0,SUMPRODUCT(OFFSET(DATA!$R$6,AF$5,0,1,10),DATA!$R28:$AA28),"")</f>
        <v>0.16452780519907864</v>
      </c>
      <c r="AG20" s="7">
        <f ca="1">IF(LEN(DATA!F28)&gt;0,SUMPRODUCT(OFFSET(DATA!$R$6,AG$5,0,1,10),DATA!$R28:$AA28),"")</f>
        <v>1.8959020235978419</v>
      </c>
      <c r="AH20" s="7">
        <f ca="1">IF(LEN(DATA!G28)&gt;0,SUMPRODUCT(OFFSET(DATA!$R$6,AH$5,0,1,10),DATA!$R28:$AA28),"")</f>
        <v>0.2788414865456505</v>
      </c>
      <c r="AI20" s="7">
        <f ca="1">IF(LEN(DATA!H28)&gt;0,SUMPRODUCT(OFFSET(DATA!$R$6,AI$5,0,1,10),DATA!$R28:$AA28),"")</f>
        <v>0.52049934625282113</v>
      </c>
      <c r="AJ20" s="7">
        <f ca="1">IF(LEN(DATA!I28)&gt;0,SUMPRODUCT(OFFSET(DATA!$R$6,AJ$5,0,1,10),DATA!$R28:$AA28),"")</f>
        <v>2.1311475409836067</v>
      </c>
      <c r="AK20" s="7"/>
      <c r="AL20" s="7">
        <f t="shared" ca="1" si="2"/>
        <v>0.29164015001253096</v>
      </c>
      <c r="AM20" s="7">
        <f t="shared" ca="1" si="3"/>
        <v>5.6563387784789122E-2</v>
      </c>
      <c r="AN20" s="7">
        <f t="shared" ca="1" si="4"/>
        <v>9.5151882887622108E-2</v>
      </c>
      <c r="AO20" s="7">
        <f t="shared" ca="1" si="5"/>
        <v>0.17761522308347069</v>
      </c>
      <c r="AP20" s="7">
        <f t="shared" ca="1" si="6"/>
        <v>0.65179646220267995</v>
      </c>
      <c r="AQ20" s="7">
        <f t="shared" ca="1" si="7"/>
        <v>0.72723289402890712</v>
      </c>
      <c r="AS20">
        <f t="shared" si="8"/>
        <v>14</v>
      </c>
      <c r="AT20">
        <f t="shared" si="9"/>
        <v>0</v>
      </c>
      <c r="AU20">
        <f t="shared" ca="1" si="10"/>
        <v>0.68007815609507449</v>
      </c>
      <c r="AV20">
        <f t="shared" ca="1" si="11"/>
        <v>4.8985330745737785E-2</v>
      </c>
      <c r="AW20">
        <f ca="1">IF(AND($AT20&lt;3,OFFSET(DATA!$C$14,$AS20,0)=AW$6),$AV20,dNULL)</f>
        <v>-99</v>
      </c>
      <c r="AX20">
        <f ca="1">IF(AND($AT20&lt;3,OFFSET(DATA!$C$14,$AS20,0)=AX$6),$AV20,dNULL)</f>
        <v>-99</v>
      </c>
      <c r="AY20">
        <f ca="1">IF(AND($AT20&lt;3,OFFSET(DATA!$C$14,$AS20,0)=AY$6),$AV20,dNULL)</f>
        <v>4.8985330745737785E-2</v>
      </c>
      <c r="AZ20">
        <f ca="1">IF(AND($AT20&lt;3,OFFSET(DATA!$C$14,$AS20,0)=AZ$6),$AV20,dNULL)</f>
        <v>-99</v>
      </c>
      <c r="BA20">
        <f ca="1">IF(AND($AT20&lt;3,OFFSET(DATA!$C$14,$AS20,0)=BA$6),$AV20,dNULL)</f>
        <v>-99</v>
      </c>
      <c r="BB20">
        <f ca="1">IF(AND($AT20&lt;3,OFFSET(DATA!$C$14,$AS20,0)=BB$6),$AV20,dNULL)</f>
        <v>-99</v>
      </c>
      <c r="BC20">
        <f ca="1">IF(AND($AT20&lt;3,OFFSET(DATA!$C$14,$AS20,0)=BC$6),$AV20,dNULL)</f>
        <v>-99</v>
      </c>
      <c r="BD20">
        <f ca="1">IF(AND($AT20&lt;3,OFFSET(DATA!$C$14,$AS20,0)=BD$6),$AV20,dNULL)</f>
        <v>-99</v>
      </c>
      <c r="BE20">
        <f ca="1">IF(AND($AT20&lt;3,OFFSET(DATA!$C$14,$AS20,0)=BE$6),$AV20,dNULL)</f>
        <v>-99</v>
      </c>
      <c r="BF20">
        <f ca="1">IF(AND($AT20&lt;3,OFFSET(DATA!$C$14,$AS20,0)=BF$6),$AV20,dNULL)</f>
        <v>-99</v>
      </c>
      <c r="BG20">
        <f ca="1">IF(AND($AT20&lt;3,OFFSET(DATA!$C$14,$AS20,0)=BG$6),$AV20,dNULL)</f>
        <v>-99</v>
      </c>
      <c r="BH20">
        <f ca="1">IF(AND($AT20&lt;3,OFFSET(DATA!$C$14,$AS20,0)=BH$6),$AV20,dNULL)</f>
        <v>-99</v>
      </c>
      <c r="BU20">
        <f t="shared" si="17"/>
        <v>1</v>
      </c>
      <c r="BV20">
        <f t="shared" si="19"/>
        <v>0.21999999999999997</v>
      </c>
      <c r="BW20">
        <f t="shared" ca="1" si="12"/>
        <v>3.1265860062501343</v>
      </c>
      <c r="BX20">
        <f t="shared" ca="1" si="13"/>
        <v>-2.4902573307810552</v>
      </c>
      <c r="BZ20" t="s">
        <v>150</v>
      </c>
      <c r="CA20">
        <v>1</v>
      </c>
      <c r="CB20" s="40" t="s">
        <v>115</v>
      </c>
    </row>
    <row r="21" spans="3:83" x14ac:dyDescent="0.25">
      <c r="J21" s="3" t="s">
        <v>17</v>
      </c>
      <c r="K21">
        <f>K17</f>
        <v>1.1499999999999999</v>
      </c>
      <c r="L21">
        <f>L17</f>
        <v>0.25980762113533157</v>
      </c>
      <c r="Q21">
        <f t="shared" si="24"/>
        <v>1</v>
      </c>
      <c r="R21">
        <f t="shared" si="22"/>
        <v>-7.4999999999999997E-2</v>
      </c>
      <c r="S21">
        <f t="shared" si="23"/>
        <v>0</v>
      </c>
      <c r="T21">
        <v>0</v>
      </c>
      <c r="Y21" s="26"/>
      <c r="Z21" s="26"/>
      <c r="AB21" s="26" t="str">
        <f t="shared" ca="1" si="1"/>
        <v>AW15</v>
      </c>
      <c r="AC21">
        <f t="shared" ca="1" si="14"/>
        <v>15</v>
      </c>
      <c r="AD21" t="str">
        <f ca="1">IF(AND(AT21&lt;1,MAX(AW21:BH21)&gt;dNULL),DATA!$D29,"")</f>
        <v>AW15</v>
      </c>
      <c r="AE21" s="7">
        <f ca="1">IF(LEN(DATA!D29)&gt;0,SUMPRODUCT(OFFSET(DATA!$R$6,AE$5,0,1,10),DATA!$R29:$AA29),"")</f>
        <v>0.94810379241516973</v>
      </c>
      <c r="AF21" s="7">
        <f ca="1">IF(LEN(DATA!E29)&gt;0,SUMPRODUCT(OFFSET(DATA!$R$6,AF$5,0,1,10),DATA!$R29:$AA29),"")</f>
        <v>0.12339585389930897</v>
      </c>
      <c r="AG21" s="7">
        <f ca="1">IF(LEN(DATA!F29)&gt;0,SUMPRODUCT(OFFSET(DATA!$R$6,AG$5,0,1,10),DATA!$R29:$AA29),"")</f>
        <v>1.9214761630280499</v>
      </c>
      <c r="AH21" s="7">
        <f ca="1">IF(LEN(DATA!G29)&gt;0,SUMPRODUCT(OFFSET(DATA!$R$6,AH$5,0,1,10),DATA!$R29:$AA29),"")</f>
        <v>0.267181273063193</v>
      </c>
      <c r="AI21" s="7">
        <f ca="1">IF(LEN(DATA!H29)&gt;0,SUMPRODUCT(OFFSET(DATA!$R$6,AI$5,0,1,10),DATA!$R29:$AA29),"")</f>
        <v>0.52049934625282113</v>
      </c>
      <c r="AJ21" s="7">
        <f ca="1">IF(LEN(DATA!I29)&gt;0,SUMPRODUCT(OFFSET(DATA!$R$6,AJ$5,0,1,10),DATA!$R29:$AA29),"")</f>
        <v>2.2950819672131146</v>
      </c>
      <c r="AK21" s="7"/>
      <c r="AL21" s="7">
        <f t="shared" ca="1" si="2"/>
        <v>0.31677629650586486</v>
      </c>
      <c r="AM21" s="7">
        <f t="shared" ca="1" si="3"/>
        <v>4.1228483542743881E-2</v>
      </c>
      <c r="AN21" s="7">
        <f t="shared" ca="1" si="4"/>
        <v>8.6669428982531993E-2</v>
      </c>
      <c r="AO21" s="7">
        <f t="shared" ca="1" si="5"/>
        <v>0.1688418526056038</v>
      </c>
      <c r="AP21" s="7">
        <f t="shared" ca="1" si="6"/>
        <v>0.6419952199513913</v>
      </c>
      <c r="AQ21" s="7">
        <f t="shared" ca="1" si="7"/>
        <v>0.74448871841186415</v>
      </c>
      <c r="AS21">
        <f t="shared" si="8"/>
        <v>15</v>
      </c>
      <c r="AT21">
        <f t="shared" si="9"/>
        <v>0</v>
      </c>
      <c r="AU21">
        <f t="shared" ca="1" si="10"/>
        <v>0.66260946172276314</v>
      </c>
      <c r="AV21">
        <f t="shared" ca="1" si="11"/>
        <v>3.5704914107524854E-2</v>
      </c>
      <c r="AW21">
        <f ca="1">IF(AND($AT21&lt;3,OFFSET(DATA!$C$14,$AS21,0)=AW$6),$AV21,dNULL)</f>
        <v>-99</v>
      </c>
      <c r="AX21">
        <f ca="1">IF(AND($AT21&lt;3,OFFSET(DATA!$C$14,$AS21,0)=AX$6),$AV21,dNULL)</f>
        <v>-99</v>
      </c>
      <c r="AY21">
        <f ca="1">IF(AND($AT21&lt;3,OFFSET(DATA!$C$14,$AS21,0)=AY$6),$AV21,dNULL)</f>
        <v>3.5704914107524854E-2</v>
      </c>
      <c r="AZ21">
        <f ca="1">IF(AND($AT21&lt;3,OFFSET(DATA!$C$14,$AS21,0)=AZ$6),$AV21,dNULL)</f>
        <v>-99</v>
      </c>
      <c r="BA21">
        <f ca="1">IF(AND($AT21&lt;3,OFFSET(DATA!$C$14,$AS21,0)=BA$6),$AV21,dNULL)</f>
        <v>-99</v>
      </c>
      <c r="BB21">
        <f ca="1">IF(AND($AT21&lt;3,OFFSET(DATA!$C$14,$AS21,0)=BB$6),$AV21,dNULL)</f>
        <v>-99</v>
      </c>
      <c r="BC21">
        <f ca="1">IF(AND($AT21&lt;3,OFFSET(DATA!$C$14,$AS21,0)=BC$6),$AV21,dNULL)</f>
        <v>-99</v>
      </c>
      <c r="BD21">
        <f ca="1">IF(AND($AT21&lt;3,OFFSET(DATA!$C$14,$AS21,0)=BD$6),$AV21,dNULL)</f>
        <v>-99</v>
      </c>
      <c r="BE21">
        <f ca="1">IF(AND($AT21&lt;3,OFFSET(DATA!$C$14,$AS21,0)=BE$6),$AV21,dNULL)</f>
        <v>-99</v>
      </c>
      <c r="BF21">
        <f ca="1">IF(AND($AT21&lt;3,OFFSET(DATA!$C$14,$AS21,0)=BF$6),$AV21,dNULL)</f>
        <v>-99</v>
      </c>
      <c r="BG21">
        <f ca="1">IF(AND($AT21&lt;3,OFFSET(DATA!$C$14,$AS21,0)=BG$6),$AV21,dNULL)</f>
        <v>-99</v>
      </c>
      <c r="BH21">
        <f ca="1">IF(AND($AT21&lt;3,OFFSET(DATA!$C$14,$AS21,0)=BH$6),$AV21,dNULL)</f>
        <v>-99</v>
      </c>
      <c r="BU21">
        <f t="shared" si="17"/>
        <v>1</v>
      </c>
      <c r="BV21">
        <f t="shared" si="19"/>
        <v>0.23999999999999996</v>
      </c>
      <c r="BW21">
        <f t="shared" ca="1" si="12"/>
        <v>0.2</v>
      </c>
      <c r="BX21">
        <f t="shared" ca="1" si="13"/>
        <v>-0.2</v>
      </c>
      <c r="BZ21" t="s">
        <v>131</v>
      </c>
      <c r="CA21">
        <v>1</v>
      </c>
      <c r="CB21" s="40" t="s">
        <v>132</v>
      </c>
    </row>
    <row r="22" spans="3:83" x14ac:dyDescent="0.25">
      <c r="N22">
        <f>IF(N19&lt;1-$N$5,N19+$N$5,dNULL)</f>
        <v>-98.8</v>
      </c>
      <c r="O22">
        <v>0</v>
      </c>
      <c r="Q22">
        <f t="shared" si="24"/>
        <v>1.2</v>
      </c>
      <c r="R22">
        <f t="shared" si="22"/>
        <v>-99</v>
      </c>
      <c r="S22">
        <f t="shared" si="23"/>
        <v>-20</v>
      </c>
      <c r="T22">
        <v>0</v>
      </c>
      <c r="Y22" s="26"/>
      <c r="Z22" s="26"/>
      <c r="AB22" s="26" t="str">
        <f t="shared" ca="1" si="1"/>
        <v>AW16</v>
      </c>
      <c r="AC22">
        <f t="shared" ca="1" si="14"/>
        <v>16</v>
      </c>
      <c r="AD22" t="str">
        <f ca="1">IF(AND(AT22&lt;1,MAX(AW22:BH22)&gt;dNULL),DATA!$D30,"")</f>
        <v>AW16</v>
      </c>
      <c r="AE22" s="7">
        <f ca="1">IF(LEN(DATA!D30)&gt;0,SUMPRODUCT(OFFSET(DATA!$R$6,AE$5,0,1,10),DATA!$R30:$AA30),"")</f>
        <v>1.1976047904191618</v>
      </c>
      <c r="AF22" s="7">
        <f ca="1">IF(LEN(DATA!E30)&gt;0,SUMPRODUCT(OFFSET(DATA!$R$6,AF$5,0,1,10),DATA!$R30:$AA30),"")</f>
        <v>0.14807502467917077</v>
      </c>
      <c r="AG22" s="7">
        <f ca="1">IF(LEN(DATA!F30)&gt;0,SUMPRODUCT(OFFSET(DATA!$R$6,AG$5,0,1,10),DATA!$R30:$AA30),"")</f>
        <v>2.2745709455288061</v>
      </c>
      <c r="AH22" s="7">
        <f ca="1">IF(LEN(DATA!G30)&gt;0,SUMPRODUCT(OFFSET(DATA!$R$6,AH$5,0,1,10),DATA!$R30:$AA30),"")</f>
        <v>0.35744161774488425</v>
      </c>
      <c r="AI22" s="7">
        <f ca="1">IF(LEN(DATA!H30)&gt;0,SUMPRODUCT(OFFSET(DATA!$R$6,AI$5,0,1,10),DATA!$R30:$AA30),"")</f>
        <v>0.64541918935349818</v>
      </c>
      <c r="AJ22" s="7">
        <f ca="1">IF(LEN(DATA!I30)&gt;0,SUMPRODUCT(OFFSET(DATA!$R$6,AJ$5,0,1,10),DATA!$R30:$AA30),"")</f>
        <v>2.459016393442623</v>
      </c>
      <c r="AK22" s="7"/>
      <c r="AL22" s="7">
        <f t="shared" ca="1" si="2"/>
        <v>0.33080713729667166</v>
      </c>
      <c r="AM22" s="7">
        <f t="shared" ca="1" si="3"/>
        <v>4.0901869641074153E-2</v>
      </c>
      <c r="AN22" s="7">
        <f t="shared" ca="1" si="4"/>
        <v>0.10325080788221633</v>
      </c>
      <c r="AO22" s="7">
        <f t="shared" ca="1" si="5"/>
        <v>0.18643618821968475</v>
      </c>
      <c r="AP22" s="7">
        <f t="shared" ca="1" si="6"/>
        <v>0.62829099306225422</v>
      </c>
      <c r="AQ22" s="7">
        <f t="shared" ca="1" si="7"/>
        <v>0.71031300389809893</v>
      </c>
      <c r="AS22">
        <f t="shared" si="8"/>
        <v>16</v>
      </c>
      <c r="AT22">
        <f t="shared" si="9"/>
        <v>0</v>
      </c>
      <c r="AU22">
        <f t="shared" ca="1" si="10"/>
        <v>0.64874192788279128</v>
      </c>
      <c r="AV22">
        <f t="shared" ca="1" si="11"/>
        <v>3.5422058171449715E-2</v>
      </c>
      <c r="AW22">
        <f ca="1">IF(AND($AT22&lt;3,OFFSET(DATA!$C$14,$AS22,0)=AW$6),$AV22,dNULL)</f>
        <v>-99</v>
      </c>
      <c r="AX22">
        <f ca="1">IF(AND($AT22&lt;3,OFFSET(DATA!$C$14,$AS22,0)=AX$6),$AV22,dNULL)</f>
        <v>-99</v>
      </c>
      <c r="AY22">
        <f ca="1">IF(AND($AT22&lt;3,OFFSET(DATA!$C$14,$AS22,0)=AY$6),$AV22,dNULL)</f>
        <v>3.5422058171449715E-2</v>
      </c>
      <c r="AZ22">
        <f ca="1">IF(AND($AT22&lt;3,OFFSET(DATA!$C$14,$AS22,0)=AZ$6),$AV22,dNULL)</f>
        <v>-99</v>
      </c>
      <c r="BA22">
        <f ca="1">IF(AND($AT22&lt;3,OFFSET(DATA!$C$14,$AS22,0)=BA$6),$AV22,dNULL)</f>
        <v>-99</v>
      </c>
      <c r="BB22">
        <f ca="1">IF(AND($AT22&lt;3,OFFSET(DATA!$C$14,$AS22,0)=BB$6),$AV22,dNULL)</f>
        <v>-99</v>
      </c>
      <c r="BC22">
        <f ca="1">IF(AND($AT22&lt;3,OFFSET(DATA!$C$14,$AS22,0)=BC$6),$AV22,dNULL)</f>
        <v>-99</v>
      </c>
      <c r="BD22">
        <f ca="1">IF(AND($AT22&lt;3,OFFSET(DATA!$C$14,$AS22,0)=BD$6),$AV22,dNULL)</f>
        <v>-99</v>
      </c>
      <c r="BE22">
        <f ca="1">IF(AND($AT22&lt;3,OFFSET(DATA!$C$14,$AS22,0)=BE$6),$AV22,dNULL)</f>
        <v>-99</v>
      </c>
      <c r="BF22">
        <f ca="1">IF(AND($AT22&lt;3,OFFSET(DATA!$C$14,$AS22,0)=BF$6),$AV22,dNULL)</f>
        <v>-99</v>
      </c>
      <c r="BG22">
        <f ca="1">IF(AND($AT22&lt;3,OFFSET(DATA!$C$14,$AS22,0)=BG$6),$AV22,dNULL)</f>
        <v>-99</v>
      </c>
      <c r="BH22">
        <f ca="1">IF(AND($AT22&lt;3,OFFSET(DATA!$C$14,$AS22,0)=BH$6),$AV22,dNULL)</f>
        <v>-99</v>
      </c>
      <c r="BU22">
        <f t="shared" si="17"/>
        <v>1</v>
      </c>
      <c r="BV22">
        <f t="shared" si="19"/>
        <v>0.23999999999999996</v>
      </c>
      <c r="BW22">
        <f t="shared" ca="1" si="12"/>
        <v>3.0668681878355399</v>
      </c>
      <c r="BX22">
        <f t="shared" ca="1" si="13"/>
        <v>-2.4544805471134166</v>
      </c>
      <c r="BZ22" t="s">
        <v>150</v>
      </c>
      <c r="CA22">
        <v>1</v>
      </c>
      <c r="CB22" s="40" t="s">
        <v>116</v>
      </c>
    </row>
    <row r="23" spans="3:83" x14ac:dyDescent="0.25">
      <c r="N23">
        <f>N22-N22/2</f>
        <v>-49.4</v>
      </c>
      <c r="O23">
        <f>O22+N22*ApexCAT</f>
        <v>-85.563309893902527</v>
      </c>
      <c r="Q23">
        <f t="shared" si="24"/>
        <v>1.4</v>
      </c>
      <c r="R23">
        <f t="shared" si="22"/>
        <v>-99</v>
      </c>
      <c r="S23">
        <f t="shared" si="23"/>
        <v>-40</v>
      </c>
      <c r="T23">
        <v>0</v>
      </c>
      <c r="Y23" s="26"/>
      <c r="Z23" s="26"/>
      <c r="AB23" s="26" t="str">
        <f t="shared" ca="1" si="1"/>
        <v>AW17</v>
      </c>
      <c r="AC23">
        <f t="shared" ca="1" si="14"/>
        <v>17</v>
      </c>
      <c r="AD23" t="str">
        <f ca="1">IF(AND(AT23&lt;1,MAX(AW23:BH23)&gt;dNULL),DATA!$D31,"")</f>
        <v>AW17</v>
      </c>
      <c r="AE23" s="7">
        <f ca="1">IF(LEN(DATA!D31)&gt;0,SUMPRODUCT(OFFSET(DATA!$R$6,AE$5,0,1,10),DATA!$R31:$AA31),"")</f>
        <v>1.2475049900199602</v>
      </c>
      <c r="AF23" s="7">
        <f ca="1">IF(LEN(DATA!E31)&gt;0,SUMPRODUCT(OFFSET(DATA!$R$6,AF$5,0,1,10),DATA!$R31:$AA31),"")</f>
        <v>0.29615004935834155</v>
      </c>
      <c r="AG23" s="7">
        <f ca="1">IF(LEN(DATA!F31)&gt;0,SUMPRODUCT(OFFSET(DATA!$R$6,AG$5,0,1,10),DATA!$R31:$AA31),"")</f>
        <v>2.3359488801613058</v>
      </c>
      <c r="AH23" s="7">
        <f ca="1">IF(LEN(DATA!G31)&gt;0,SUMPRODUCT(OFFSET(DATA!$R$6,AH$5,0,1,10),DATA!$R31:$AA31),"")</f>
        <v>0.34522679087460045</v>
      </c>
      <c r="AI23" s="7">
        <f ca="1">IF(LEN(DATA!H31)&gt;0,SUMPRODUCT(OFFSET(DATA!$R$6,AI$5,0,1,10),DATA!$R31:$AA31),"")</f>
        <v>1.4365781956577863</v>
      </c>
      <c r="AJ23" s="7">
        <f ca="1">IF(LEN(DATA!I31)&gt;0,SUMPRODUCT(OFFSET(DATA!$R$6,AJ$5,0,1,10),DATA!$R31:$AA31),"")</f>
        <v>2.1311475409836067</v>
      </c>
      <c r="AK23" s="7"/>
      <c r="AL23" s="7">
        <f t="shared" ca="1" si="2"/>
        <v>0.32155472978489041</v>
      </c>
      <c r="AM23" s="7">
        <f t="shared" ca="1" si="3"/>
        <v>7.6335124796318293E-2</v>
      </c>
      <c r="AN23" s="7">
        <f t="shared" ca="1" si="4"/>
        <v>8.8226674984415443E-2</v>
      </c>
      <c r="AO23" s="7">
        <f t="shared" ca="1" si="5"/>
        <v>0.36713407217586402</v>
      </c>
      <c r="AP23" s="7">
        <f t="shared" ca="1" si="6"/>
        <v>0.60211014541879126</v>
      </c>
      <c r="AQ23" s="7">
        <f t="shared" ca="1" si="7"/>
        <v>0.54463925283972059</v>
      </c>
      <c r="AS23">
        <f t="shared" si="8"/>
        <v>17</v>
      </c>
      <c r="AT23">
        <f t="shared" si="9"/>
        <v>0</v>
      </c>
      <c r="AU23">
        <f t="shared" ca="1" si="10"/>
        <v>0.64027770781695048</v>
      </c>
      <c r="AV23">
        <f t="shared" ca="1" si="11"/>
        <v>6.6108157274667068E-2</v>
      </c>
      <c r="AW23">
        <f ca="1">IF(AND($AT23&lt;3,OFFSET(DATA!$C$14,$AS23,0)=AW$6),$AV23,dNULL)</f>
        <v>-99</v>
      </c>
      <c r="AX23">
        <f ca="1">IF(AND($AT23&lt;3,OFFSET(DATA!$C$14,$AS23,0)=AX$6),$AV23,dNULL)</f>
        <v>-99</v>
      </c>
      <c r="AY23">
        <f ca="1">IF(AND($AT23&lt;3,OFFSET(DATA!$C$14,$AS23,0)=AY$6),$AV23,dNULL)</f>
        <v>6.6108157274667068E-2</v>
      </c>
      <c r="AZ23">
        <f ca="1">IF(AND($AT23&lt;3,OFFSET(DATA!$C$14,$AS23,0)=AZ$6),$AV23,dNULL)</f>
        <v>-99</v>
      </c>
      <c r="BA23">
        <f ca="1">IF(AND($AT23&lt;3,OFFSET(DATA!$C$14,$AS23,0)=BA$6),$AV23,dNULL)</f>
        <v>-99</v>
      </c>
      <c r="BB23">
        <f ca="1">IF(AND($AT23&lt;3,OFFSET(DATA!$C$14,$AS23,0)=BB$6),$AV23,dNULL)</f>
        <v>-99</v>
      </c>
      <c r="BC23">
        <f ca="1">IF(AND($AT23&lt;3,OFFSET(DATA!$C$14,$AS23,0)=BC$6),$AV23,dNULL)</f>
        <v>-99</v>
      </c>
      <c r="BD23">
        <f ca="1">IF(AND($AT23&lt;3,OFFSET(DATA!$C$14,$AS23,0)=BD$6),$AV23,dNULL)</f>
        <v>-99</v>
      </c>
      <c r="BE23">
        <f ca="1">IF(AND($AT23&lt;3,OFFSET(DATA!$C$14,$AS23,0)=BE$6),$AV23,dNULL)</f>
        <v>-99</v>
      </c>
      <c r="BF23">
        <f ca="1">IF(AND($AT23&lt;3,OFFSET(DATA!$C$14,$AS23,0)=BF$6),$AV23,dNULL)</f>
        <v>-99</v>
      </c>
      <c r="BG23">
        <f ca="1">IF(AND($AT23&lt;3,OFFSET(DATA!$C$14,$AS23,0)=BG$6),$AV23,dNULL)</f>
        <v>-99</v>
      </c>
      <c r="BH23">
        <f ca="1">IF(AND($AT23&lt;3,OFFSET(DATA!$C$14,$AS23,0)=BH$6),$AV23,dNULL)</f>
        <v>-99</v>
      </c>
      <c r="BU23">
        <f t="shared" si="17"/>
        <v>1</v>
      </c>
      <c r="BV23">
        <f t="shared" si="19"/>
        <v>0.25999999999999995</v>
      </c>
      <c r="BW23">
        <f t="shared" ca="1" si="12"/>
        <v>0.2</v>
      </c>
      <c r="BX23">
        <f t="shared" ca="1" si="13"/>
        <v>-0.2</v>
      </c>
      <c r="BZ23" t="s">
        <v>150</v>
      </c>
      <c r="CA23">
        <v>1</v>
      </c>
      <c r="CB23" s="40" t="s">
        <v>117</v>
      </c>
    </row>
    <row r="24" spans="3:83" x14ac:dyDescent="0.25">
      <c r="Q24">
        <f t="shared" si="24"/>
        <v>1.5999999999999999</v>
      </c>
      <c r="R24">
        <f t="shared" si="22"/>
        <v>-99</v>
      </c>
      <c r="S24">
        <f t="shared" si="23"/>
        <v>-60</v>
      </c>
      <c r="T24">
        <v>0</v>
      </c>
      <c r="Y24" s="26"/>
      <c r="Z24" s="26"/>
      <c r="AB24" s="26" t="str">
        <f t="shared" ca="1" si="1"/>
        <v>AW18</v>
      </c>
      <c r="AC24">
        <f t="shared" ca="1" si="14"/>
        <v>18</v>
      </c>
      <c r="AD24" t="str">
        <f ca="1">IF(AND(AT24&lt;1,MAX(AW24:BH24)&gt;dNULL),DATA!$D32,"")</f>
        <v>AW18</v>
      </c>
      <c r="AE24" s="7">
        <f ca="1">IF(LEN(DATA!D32)&gt;0,SUMPRODUCT(OFFSET(DATA!$R$6,AE$5,0,1,10),DATA!$R32:$AA32),"")</f>
        <v>1.0479041916167664</v>
      </c>
      <c r="AF24" s="7">
        <f ca="1">IF(LEN(DATA!E32)&gt;0,SUMPRODUCT(OFFSET(DATA!$R$6,AF$5,0,1,10),DATA!$R32:$AA32),"")</f>
        <v>0.22211253701875616</v>
      </c>
      <c r="AG24" s="7">
        <f ca="1">IF(LEN(DATA!F32)&gt;0,SUMPRODUCT(OFFSET(DATA!$R$6,AG$5,0,1,10),DATA!$R32:$AA32),"")</f>
        <v>1.757715841492776</v>
      </c>
      <c r="AH24" s="7">
        <f ca="1">IF(LEN(DATA!G32)&gt;0,SUMPRODUCT(OFFSET(DATA!$R$6,AH$5,0,1,10),DATA!$R32:$AA32),"")</f>
        <v>0.25421110539841701</v>
      </c>
      <c r="AI24" s="7">
        <f ca="1">IF(LEN(DATA!H32)&gt;0,SUMPRODUCT(OFFSET(DATA!$R$6,AI$5,0,1,10),DATA!$R32:$AA32),"")</f>
        <v>0.56213929395304685</v>
      </c>
      <c r="AJ24" s="7">
        <f ca="1">IF(LEN(DATA!I32)&gt;0,SUMPRODUCT(OFFSET(DATA!$R$6,AJ$5,0,1,10),DATA!$R32:$AA32),"")</f>
        <v>1.9672131147540983</v>
      </c>
      <c r="AK24" s="7"/>
      <c r="AL24" s="7">
        <f t="shared" ca="1" si="2"/>
        <v>0.34610196486817263</v>
      </c>
      <c r="AM24" s="7">
        <f t="shared" ca="1" si="3"/>
        <v>7.335936443334698E-2</v>
      </c>
      <c r="AN24" s="7">
        <f t="shared" ca="1" si="4"/>
        <v>9.1325778668320506E-2</v>
      </c>
      <c r="AO24" s="7">
        <f t="shared" ca="1" si="5"/>
        <v>0.20194951223653976</v>
      </c>
      <c r="AP24" s="7">
        <f t="shared" ca="1" si="6"/>
        <v>0.58053867069848042</v>
      </c>
      <c r="AQ24" s="7">
        <f t="shared" ca="1" si="7"/>
        <v>0.70672470909513974</v>
      </c>
      <c r="AS24">
        <f t="shared" si="8"/>
        <v>18</v>
      </c>
      <c r="AT24">
        <f t="shared" si="9"/>
        <v>0</v>
      </c>
      <c r="AU24">
        <f t="shared" ca="1" si="10"/>
        <v>0.61721835291515381</v>
      </c>
      <c r="AV24">
        <f t="shared" ca="1" si="11"/>
        <v>6.3531073204759106E-2</v>
      </c>
      <c r="AW24">
        <f ca="1">IF(AND($AT24&lt;3,OFFSET(DATA!$C$14,$AS24,0)=AW$6),$AV24,dNULL)</f>
        <v>-99</v>
      </c>
      <c r="AX24">
        <f ca="1">IF(AND($AT24&lt;3,OFFSET(DATA!$C$14,$AS24,0)=AX$6),$AV24,dNULL)</f>
        <v>-99</v>
      </c>
      <c r="AY24">
        <f ca="1">IF(AND($AT24&lt;3,OFFSET(DATA!$C$14,$AS24,0)=AY$6),$AV24,dNULL)</f>
        <v>6.3531073204759106E-2</v>
      </c>
      <c r="AZ24">
        <f ca="1">IF(AND($AT24&lt;3,OFFSET(DATA!$C$14,$AS24,0)=AZ$6),$AV24,dNULL)</f>
        <v>-99</v>
      </c>
      <c r="BA24">
        <f ca="1">IF(AND($AT24&lt;3,OFFSET(DATA!$C$14,$AS24,0)=BA$6),$AV24,dNULL)</f>
        <v>-99</v>
      </c>
      <c r="BB24">
        <f ca="1">IF(AND($AT24&lt;3,OFFSET(DATA!$C$14,$AS24,0)=BB$6),$AV24,dNULL)</f>
        <v>-99</v>
      </c>
      <c r="BC24">
        <f ca="1">IF(AND($AT24&lt;3,OFFSET(DATA!$C$14,$AS24,0)=BC$6),$AV24,dNULL)</f>
        <v>-99</v>
      </c>
      <c r="BD24">
        <f ca="1">IF(AND($AT24&lt;3,OFFSET(DATA!$C$14,$AS24,0)=BD$6),$AV24,dNULL)</f>
        <v>-99</v>
      </c>
      <c r="BE24">
        <f ca="1">IF(AND($AT24&lt;3,OFFSET(DATA!$C$14,$AS24,0)=BE$6),$AV24,dNULL)</f>
        <v>-99</v>
      </c>
      <c r="BF24">
        <f ca="1">IF(AND($AT24&lt;3,OFFSET(DATA!$C$14,$AS24,0)=BF$6),$AV24,dNULL)</f>
        <v>-99</v>
      </c>
      <c r="BG24">
        <f ca="1">IF(AND($AT24&lt;3,OFFSET(DATA!$C$14,$AS24,0)=BG$6),$AV24,dNULL)</f>
        <v>-99</v>
      </c>
      <c r="BH24">
        <f ca="1">IF(AND($AT24&lt;3,OFFSET(DATA!$C$14,$AS24,0)=BH$6),$AV24,dNULL)</f>
        <v>-99</v>
      </c>
      <c r="BU24">
        <f t="shared" si="17"/>
        <v>1</v>
      </c>
      <c r="BV24">
        <f t="shared" si="19"/>
        <v>0.25999999999999995</v>
      </c>
      <c r="BW24">
        <f t="shared" ca="1" si="12"/>
        <v>3.0071503694209456</v>
      </c>
      <c r="BX24">
        <f t="shared" ca="1" si="13"/>
        <v>-2.4187037634457784</v>
      </c>
      <c r="BZ24" t="s">
        <v>124</v>
      </c>
      <c r="CA24">
        <v>1</v>
      </c>
      <c r="CB24" s="40" t="s">
        <v>118</v>
      </c>
    </row>
    <row r="25" spans="3:83" x14ac:dyDescent="0.25">
      <c r="N25">
        <f>IF(N22&lt;1-$N$5,N22+$N$5,dNULL)</f>
        <v>-98.6</v>
      </c>
      <c r="O25">
        <v>0</v>
      </c>
      <c r="Q25">
        <f t="shared" si="24"/>
        <v>1.7999999999999998</v>
      </c>
      <c r="R25">
        <f t="shared" si="22"/>
        <v>-99</v>
      </c>
      <c r="S25">
        <f t="shared" si="23"/>
        <v>-79.999999999999972</v>
      </c>
      <c r="T25">
        <v>0</v>
      </c>
      <c r="Y25" s="26"/>
      <c r="Z25" s="26"/>
      <c r="AB25" s="26" t="str">
        <f t="shared" ca="1" si="1"/>
        <v>AW19</v>
      </c>
      <c r="AC25">
        <f t="shared" ca="1" si="14"/>
        <v>19</v>
      </c>
      <c r="AD25" t="str">
        <f ca="1">IF(AND(AT25&lt;1,MAX(AW25:BH25)&gt;dNULL),DATA!$D33,"")</f>
        <v>AW19</v>
      </c>
      <c r="AE25" s="7">
        <f ca="1">IF(LEN(DATA!D33)&gt;0,SUMPRODUCT(OFFSET(DATA!$R$6,AE$5,0,1,10),DATA!$R33:$AA33),"")</f>
        <v>1.0479041916167664</v>
      </c>
      <c r="AF25" s="7">
        <f ca="1">IF(LEN(DATA!E33)&gt;0,SUMPRODUCT(OFFSET(DATA!$R$6,AF$5,0,1,10),DATA!$R33:$AA33),"")</f>
        <v>0.32905561039815728</v>
      </c>
      <c r="AG25" s="7">
        <f ca="1">IF(LEN(DATA!F33)&gt;0,SUMPRODUCT(OFFSET(DATA!$R$6,AG$5,0,1,10),DATA!$R33:$AA33),"")</f>
        <v>1.6016277617865646</v>
      </c>
      <c r="AH25" s="7">
        <f ca="1">IF(LEN(DATA!G33)&gt;0,SUMPRODUCT(OFFSET(DATA!$R$6,AH$5,0,1,10),DATA!$R33:$AA33),"")</f>
        <v>0.35575399316531964</v>
      </c>
      <c r="AI25" s="7">
        <f ca="1">IF(LEN(DATA!H33)&gt;0,SUMPRODUCT(OFFSET(DATA!$R$6,AI$5,0,1,10),DATA!$R33:$AA33),"")</f>
        <v>0.72869908475394951</v>
      </c>
      <c r="AJ25" s="7">
        <f ca="1">IF(LEN(DATA!I33)&gt;0,SUMPRODUCT(OFFSET(DATA!$R$6,AJ$5,0,1,10),DATA!$R33:$AA33),"")</f>
        <v>1.9672131147540983</v>
      </c>
      <c r="AK25" s="7"/>
      <c r="AL25" s="7">
        <f t="shared" ca="1" si="2"/>
        <v>0.35181245109321396</v>
      </c>
      <c r="AM25" s="7">
        <f t="shared" ca="1" si="3"/>
        <v>0.11047370720174256</v>
      </c>
      <c r="AN25" s="7">
        <f t="shared" ca="1" si="4"/>
        <v>0.11657696835238279</v>
      </c>
      <c r="AO25" s="7">
        <f t="shared" ca="1" si="5"/>
        <v>0.23878728496041152</v>
      </c>
      <c r="AP25" s="7">
        <f t="shared" ca="1" si="6"/>
        <v>0.53771384170504355</v>
      </c>
      <c r="AQ25" s="7">
        <f t="shared" ca="1" si="7"/>
        <v>0.64463574668720569</v>
      </c>
      <c r="AS25">
        <f t="shared" si="8"/>
        <v>19</v>
      </c>
      <c r="AT25">
        <f t="shared" si="9"/>
        <v>0</v>
      </c>
      <c r="AU25">
        <f t="shared" ca="1" si="10"/>
        <v>0.59295069530591482</v>
      </c>
      <c r="AV25">
        <f t="shared" ca="1" si="11"/>
        <v>9.5673036886952945E-2</v>
      </c>
      <c r="AW25">
        <f ca="1">IF(AND($AT25&lt;3,OFFSET(DATA!$C$14,$AS25,0)=AW$6),$AV25,dNULL)</f>
        <v>-99</v>
      </c>
      <c r="AX25">
        <f ca="1">IF(AND($AT25&lt;3,OFFSET(DATA!$C$14,$AS25,0)=AX$6),$AV25,dNULL)</f>
        <v>-99</v>
      </c>
      <c r="AY25">
        <f ca="1">IF(AND($AT25&lt;3,OFFSET(DATA!$C$14,$AS25,0)=AY$6),$AV25,dNULL)</f>
        <v>9.5673036886952945E-2</v>
      </c>
      <c r="AZ25">
        <f ca="1">IF(AND($AT25&lt;3,OFFSET(DATA!$C$14,$AS25,0)=AZ$6),$AV25,dNULL)</f>
        <v>-99</v>
      </c>
      <c r="BA25">
        <f ca="1">IF(AND($AT25&lt;3,OFFSET(DATA!$C$14,$AS25,0)=BA$6),$AV25,dNULL)</f>
        <v>-99</v>
      </c>
      <c r="BB25">
        <f ca="1">IF(AND($AT25&lt;3,OFFSET(DATA!$C$14,$AS25,0)=BB$6),$AV25,dNULL)</f>
        <v>-99</v>
      </c>
      <c r="BC25">
        <f ca="1">IF(AND($AT25&lt;3,OFFSET(DATA!$C$14,$AS25,0)=BC$6),$AV25,dNULL)</f>
        <v>-99</v>
      </c>
      <c r="BD25">
        <f ca="1">IF(AND($AT25&lt;3,OFFSET(DATA!$C$14,$AS25,0)=BD$6),$AV25,dNULL)</f>
        <v>-99</v>
      </c>
      <c r="BE25">
        <f ca="1">IF(AND($AT25&lt;3,OFFSET(DATA!$C$14,$AS25,0)=BE$6),$AV25,dNULL)</f>
        <v>-99</v>
      </c>
      <c r="BF25">
        <f ca="1">IF(AND($AT25&lt;3,OFFSET(DATA!$C$14,$AS25,0)=BF$6),$AV25,dNULL)</f>
        <v>-99</v>
      </c>
      <c r="BG25">
        <f ca="1">IF(AND($AT25&lt;3,OFFSET(DATA!$C$14,$AS25,0)=BG$6),$AV25,dNULL)</f>
        <v>-99</v>
      </c>
      <c r="BH25">
        <f ca="1">IF(AND($AT25&lt;3,OFFSET(DATA!$C$14,$AS25,0)=BH$6),$AV25,dNULL)</f>
        <v>-99</v>
      </c>
      <c r="BU25">
        <f t="shared" si="17"/>
        <v>1</v>
      </c>
      <c r="BV25">
        <f t="shared" si="19"/>
        <v>0.27999999999999997</v>
      </c>
      <c r="BW25">
        <f t="shared" ca="1" si="12"/>
        <v>0.2</v>
      </c>
      <c r="BX25">
        <f t="shared" ca="1" si="13"/>
        <v>-0.2</v>
      </c>
      <c r="BZ25" t="s">
        <v>150</v>
      </c>
      <c r="CA25">
        <v>1</v>
      </c>
      <c r="CB25" s="40" t="s">
        <v>156</v>
      </c>
    </row>
    <row r="26" spans="3:83" x14ac:dyDescent="0.25">
      <c r="N26">
        <f>N25-N25/2</f>
        <v>-49.3</v>
      </c>
      <c r="O26">
        <f>O25+N25*ApexCAT</f>
        <v>-85.390104813145641</v>
      </c>
      <c r="Y26" s="26"/>
      <c r="Z26" s="26"/>
      <c r="AB26" s="26" t="str">
        <f t="shared" ca="1" si="1"/>
        <v>AW23</v>
      </c>
      <c r="AC26">
        <f t="shared" ca="1" si="14"/>
        <v>20</v>
      </c>
      <c r="AD26" t="str">
        <f ca="1">IF(AND(AT26&lt;1,MAX(AW26:BH26)&gt;dNULL),DATA!$D34,"")</f>
        <v>AW23</v>
      </c>
      <c r="AE26" s="7">
        <f ca="1">IF(LEN(DATA!D34)&gt;0,SUMPRODUCT(OFFSET(DATA!$R$6,AE$5,0,1,10),DATA!$R34:$AA34),"")</f>
        <v>0.47904191616766467</v>
      </c>
      <c r="AF26" s="7">
        <f ca="1">IF(LEN(DATA!E34)&gt;0,SUMPRODUCT(OFFSET(DATA!$R$6,AF$5,0,1,10),DATA!$R34:$AA34),"")</f>
        <v>0.26324448831852582</v>
      </c>
      <c r="AG26" s="7">
        <f ca="1">IF(LEN(DATA!F34)&gt;0,SUMPRODUCT(OFFSET(DATA!$R$6,AG$5,0,1,10),DATA!$R34:$AA34),"")</f>
        <v>2.6737420935949077</v>
      </c>
      <c r="AH26" s="7">
        <f ca="1">IF(LEN(DATA!G34)&gt;0,SUMPRODUCT(OFFSET(DATA!$R$6,AH$5,0,1,10),DATA!$R34:$AA34),"")</f>
        <v>0.20872704707641102</v>
      </c>
      <c r="AI26" s="7">
        <f ca="1">IF(LEN(DATA!H34)&gt;0,SUMPRODUCT(OFFSET(DATA!$R$6,AI$5,0,1,10),DATA!$R34:$AA34),"")</f>
        <v>0.60377924165327246</v>
      </c>
      <c r="AJ26" s="7">
        <f ca="1">IF(LEN(DATA!I34)&gt;0,SUMPRODUCT(OFFSET(DATA!$R$6,AJ$5,0,1,10),DATA!$R34:$AA34),"")</f>
        <v>2.5081967213114753</v>
      </c>
      <c r="AK26" s="7"/>
      <c r="AL26" s="7">
        <f t="shared" ca="1" si="2"/>
        <v>0.14023358307366557</v>
      </c>
      <c r="AM26" s="7">
        <f t="shared" ca="1" si="3"/>
        <v>7.7061560951964952E-2</v>
      </c>
      <c r="AN26" s="7">
        <f t="shared" ca="1" si="4"/>
        <v>6.2856282674259356E-2</v>
      </c>
      <c r="AO26" s="7">
        <f t="shared" ca="1" si="5"/>
        <v>0.18182271640299108</v>
      </c>
      <c r="AP26" s="7">
        <f t="shared" ca="1" si="6"/>
        <v>0.78270485597436956</v>
      </c>
      <c r="AQ26" s="7">
        <f t="shared" ca="1" si="7"/>
        <v>0.75532100092274956</v>
      </c>
      <c r="AS26">
        <f t="shared" si="8"/>
        <v>20</v>
      </c>
      <c r="AT26">
        <f t="shared" si="9"/>
        <v>0</v>
      </c>
      <c r="AU26">
        <f t="shared" ca="1" si="10"/>
        <v>0.82123563645035191</v>
      </c>
      <c r="AV26">
        <f t="shared" ca="1" si="11"/>
        <v>6.6737269439684568E-2</v>
      </c>
      <c r="AW26">
        <f ca="1">IF(AND($AT26&lt;3,OFFSET(DATA!$C$14,$AS26,0)=AW$6),$AV26,dNULL)</f>
        <v>-99</v>
      </c>
      <c r="AX26">
        <f ca="1">IF(AND($AT26&lt;3,OFFSET(DATA!$C$14,$AS26,0)=AX$6),$AV26,dNULL)</f>
        <v>-99</v>
      </c>
      <c r="AY26">
        <f ca="1">IF(AND($AT26&lt;3,OFFSET(DATA!$C$14,$AS26,0)=AY$6),$AV26,dNULL)</f>
        <v>6.6737269439684568E-2</v>
      </c>
      <c r="AZ26">
        <f ca="1">IF(AND($AT26&lt;3,OFFSET(DATA!$C$14,$AS26,0)=AZ$6),$AV26,dNULL)</f>
        <v>-99</v>
      </c>
      <c r="BA26">
        <f ca="1">IF(AND($AT26&lt;3,OFFSET(DATA!$C$14,$AS26,0)=BA$6),$AV26,dNULL)</f>
        <v>-99</v>
      </c>
      <c r="BB26">
        <f ca="1">IF(AND($AT26&lt;3,OFFSET(DATA!$C$14,$AS26,0)=BB$6),$AV26,dNULL)</f>
        <v>-99</v>
      </c>
      <c r="BC26">
        <f ca="1">IF(AND($AT26&lt;3,OFFSET(DATA!$C$14,$AS26,0)=BC$6),$AV26,dNULL)</f>
        <v>-99</v>
      </c>
      <c r="BD26">
        <f ca="1">IF(AND($AT26&lt;3,OFFSET(DATA!$C$14,$AS26,0)=BD$6),$AV26,dNULL)</f>
        <v>-99</v>
      </c>
      <c r="BE26">
        <f ca="1">IF(AND($AT26&lt;3,OFFSET(DATA!$C$14,$AS26,0)=BE$6),$AV26,dNULL)</f>
        <v>-99</v>
      </c>
      <c r="BF26">
        <f ca="1">IF(AND($AT26&lt;3,OFFSET(DATA!$C$14,$AS26,0)=BF$6),$AV26,dNULL)</f>
        <v>-99</v>
      </c>
      <c r="BG26">
        <f ca="1">IF(AND($AT26&lt;3,OFFSET(DATA!$C$14,$AS26,0)=BG$6),$AV26,dNULL)</f>
        <v>-99</v>
      </c>
      <c r="BH26">
        <f ca="1">IF(AND($AT26&lt;3,OFFSET(DATA!$C$14,$AS26,0)=BH$6),$AV26,dNULL)</f>
        <v>-99</v>
      </c>
      <c r="BU26">
        <f t="shared" si="17"/>
        <v>1</v>
      </c>
      <c r="BV26">
        <f t="shared" si="19"/>
        <v>0.27999999999999997</v>
      </c>
      <c r="BW26">
        <f t="shared" ca="1" si="12"/>
        <v>2.9474325510063517</v>
      </c>
      <c r="BX26">
        <f t="shared" ca="1" si="13"/>
        <v>-2.3829269797781398</v>
      </c>
      <c r="BZ26" t="s">
        <v>150</v>
      </c>
      <c r="CA26">
        <v>1</v>
      </c>
      <c r="CB26" s="40" t="s">
        <v>111</v>
      </c>
    </row>
    <row r="27" spans="3:83" x14ac:dyDescent="0.25">
      <c r="Q27">
        <f t="shared" ref="Q27:Q36" si="25">Q16/2-NumberOFF*COS(T27*PI()/180)</f>
        <v>-3.7500000000000006E-2</v>
      </c>
      <c r="R27">
        <f t="shared" ref="R27:R36" si="26">IF(Q16&lt;=1,Q16*ApexCAT,dNULL)+SIN(T27*PI()/180)*NumberOFF</f>
        <v>6.4951905283832892E-2</v>
      </c>
      <c r="S27">
        <f>Q16*100</f>
        <v>0</v>
      </c>
      <c r="T27">
        <v>60</v>
      </c>
      <c r="Y27" s="26"/>
      <c r="Z27" s="26"/>
      <c r="AB27" s="26" t="str">
        <f t="shared" ca="1" si="1"/>
        <v>AW24</v>
      </c>
      <c r="AC27">
        <f t="shared" ca="1" si="14"/>
        <v>21</v>
      </c>
      <c r="AD27" t="str">
        <f ca="1">IF(AND(AT27&lt;1,MAX(AW27:BH27)&gt;dNULL),DATA!$D35,"")</f>
        <v>AW24</v>
      </c>
      <c r="AE27" s="7">
        <f ca="1">IF(LEN(DATA!D35)&gt;0,SUMPRODUCT(OFFSET(DATA!$R$6,AE$5,0,1,10),DATA!$R35:$AA35),"")</f>
        <v>0.45997704590818367</v>
      </c>
      <c r="AF27" s="7">
        <f ca="1">IF(LEN(DATA!E35)&gt;0,SUMPRODUCT(OFFSET(DATA!$R$6,AF$5,0,1,10),DATA!$R35:$AA35),"")</f>
        <v>7.9976966107272132E-2</v>
      </c>
      <c r="AG27" s="7">
        <f ca="1">IF(LEN(DATA!F35)&gt;0,SUMPRODUCT(OFFSET(DATA!$R$6,AG$5,0,1,10),DATA!$R35:$AA35),"")</f>
        <v>3.0399826095851874</v>
      </c>
      <c r="AH27" s="7">
        <f ca="1">IF(LEN(DATA!G35)&gt;0,SUMPRODUCT(OFFSET(DATA!$R$6,AH$5,0,1,10),DATA!$R35:$AA35),"")</f>
        <v>0.25</v>
      </c>
      <c r="AI27" s="7">
        <f ca="1">IF(LEN(DATA!H35)&gt;0,SUMPRODUCT(OFFSET(DATA!$R$6,AI$5,0,1,10),DATA!$R35:$AA35),"")</f>
        <v>0.56000000000000005</v>
      </c>
      <c r="AJ27" s="7">
        <f ca="1">IF(LEN(DATA!I35)&gt;0,SUMPRODUCT(OFFSET(DATA!$R$6,AJ$5,0,1,10),DATA!$R35:$AA35),"")</f>
        <v>2.56</v>
      </c>
      <c r="AK27" s="7"/>
      <c r="AL27" s="7">
        <f t="shared" ca="1" si="2"/>
        <v>0.12848748302770821</v>
      </c>
      <c r="AM27" s="7">
        <f t="shared" ca="1" si="3"/>
        <v>2.2340330168055669E-2</v>
      </c>
      <c r="AN27" s="7">
        <f t="shared" ca="1" si="4"/>
        <v>7.418397626112759E-2</v>
      </c>
      <c r="AO27" s="7">
        <f t="shared" ca="1" si="5"/>
        <v>0.16617210682492584</v>
      </c>
      <c r="AP27" s="7">
        <f t="shared" ca="1" si="6"/>
        <v>0.84917218680423623</v>
      </c>
      <c r="AQ27" s="7">
        <f t="shared" ca="1" si="7"/>
        <v>0.75964391691394662</v>
      </c>
      <c r="AS27">
        <f t="shared" si="8"/>
        <v>21</v>
      </c>
      <c r="AT27">
        <f t="shared" si="9"/>
        <v>0</v>
      </c>
      <c r="AU27">
        <f t="shared" ca="1" si="10"/>
        <v>0.86034235188826402</v>
      </c>
      <c r="AV27">
        <f t="shared" ca="1" si="11"/>
        <v>1.9347293454468086E-2</v>
      </c>
      <c r="AW27">
        <f ca="1">IF(AND($AT27&lt;3,OFFSET(DATA!$C$14,$AS27,0)=AW$6),$AV27,dNULL)</f>
        <v>-99</v>
      </c>
      <c r="AX27">
        <f ca="1">IF(AND($AT27&lt;3,OFFSET(DATA!$C$14,$AS27,0)=AX$6),$AV27,dNULL)</f>
        <v>-99</v>
      </c>
      <c r="AY27">
        <f ca="1">IF(AND($AT27&lt;3,OFFSET(DATA!$C$14,$AS27,0)=AY$6),$AV27,dNULL)</f>
        <v>1.9347293454468086E-2</v>
      </c>
      <c r="AZ27">
        <f ca="1">IF(AND($AT27&lt;3,OFFSET(DATA!$C$14,$AS27,0)=AZ$6),$AV27,dNULL)</f>
        <v>-99</v>
      </c>
      <c r="BA27">
        <f ca="1">IF(AND($AT27&lt;3,OFFSET(DATA!$C$14,$AS27,0)=BA$6),$AV27,dNULL)</f>
        <v>-99</v>
      </c>
      <c r="BB27">
        <f ca="1">IF(AND($AT27&lt;3,OFFSET(DATA!$C$14,$AS27,0)=BB$6),$AV27,dNULL)</f>
        <v>-99</v>
      </c>
      <c r="BC27">
        <f ca="1">IF(AND($AT27&lt;3,OFFSET(DATA!$C$14,$AS27,0)=BC$6),$AV27,dNULL)</f>
        <v>-99</v>
      </c>
      <c r="BD27">
        <f ca="1">IF(AND($AT27&lt;3,OFFSET(DATA!$C$14,$AS27,0)=BD$6),$AV27,dNULL)</f>
        <v>-99</v>
      </c>
      <c r="BE27">
        <f ca="1">IF(AND($AT27&lt;3,OFFSET(DATA!$C$14,$AS27,0)=BE$6),$AV27,dNULL)</f>
        <v>-99</v>
      </c>
      <c r="BF27">
        <f ca="1">IF(AND($AT27&lt;3,OFFSET(DATA!$C$14,$AS27,0)=BF$6),$AV27,dNULL)</f>
        <v>-99</v>
      </c>
      <c r="BG27">
        <f ca="1">IF(AND($AT27&lt;3,OFFSET(DATA!$C$14,$AS27,0)=BG$6),$AV27,dNULL)</f>
        <v>-99</v>
      </c>
      <c r="BH27">
        <f ca="1">IF(AND($AT27&lt;3,OFFSET(DATA!$C$14,$AS27,0)=BH$6),$AV27,dNULL)</f>
        <v>-99</v>
      </c>
      <c r="BU27">
        <f t="shared" si="17"/>
        <v>1</v>
      </c>
      <c r="BV27">
        <f t="shared" si="19"/>
        <v>0.3</v>
      </c>
      <c r="BW27">
        <f t="shared" ca="1" si="12"/>
        <v>0.2</v>
      </c>
      <c r="BX27">
        <f t="shared" ca="1" si="13"/>
        <v>-0.2</v>
      </c>
      <c r="BZ27" t="s">
        <v>131</v>
      </c>
      <c r="CA27">
        <v>1</v>
      </c>
      <c r="CB27" s="40" t="s">
        <v>132</v>
      </c>
    </row>
    <row r="28" spans="3:83" x14ac:dyDescent="0.25">
      <c r="N28">
        <f>IF(N25&lt;1-$N$5,N25+$N$5,dNULL)</f>
        <v>-98.399999999999991</v>
      </c>
      <c r="O28">
        <v>0</v>
      </c>
      <c r="Q28">
        <f t="shared" si="25"/>
        <v>6.25E-2</v>
      </c>
      <c r="R28">
        <f t="shared" si="26"/>
        <v>0.23815698604072061</v>
      </c>
      <c r="S28">
        <f t="shared" ref="S28:S36" si="27">Q17*100</f>
        <v>20</v>
      </c>
      <c r="T28">
        <f>T27</f>
        <v>60</v>
      </c>
      <c r="Y28" s="26"/>
      <c r="Z28" s="26"/>
      <c r="AB28" s="26" t="str">
        <f t="shared" ca="1" si="1"/>
        <v>AW25</v>
      </c>
      <c r="AC28">
        <f t="shared" ca="1" si="14"/>
        <v>22</v>
      </c>
      <c r="AD28" t="str">
        <f ca="1">IF(AND(AT28&lt;1,MAX(AW28:BH28)&gt;dNULL),DATA!$D36,"")</f>
        <v>AW25</v>
      </c>
      <c r="AE28" s="7">
        <f ca="1">IF(LEN(DATA!D36)&gt;0,SUMPRODUCT(OFFSET(DATA!$R$6,AE$5,0,1,10),DATA!$R36:$AA36),"")</f>
        <v>0.45908183632734528</v>
      </c>
      <c r="AF28" s="7">
        <f ca="1">IF(LEN(DATA!E36)&gt;0,SUMPRODUCT(OFFSET(DATA!$R$6,AF$5,0,1,10),DATA!$R36:$AA36),"")</f>
        <v>0.32082922013820331</v>
      </c>
      <c r="AG28" s="7">
        <f ca="1">IF(LEN(DATA!F36)&gt;0,SUMPRODUCT(OFFSET(DATA!$R$6,AG$5,0,1,10),DATA!$R36:$AA36),"")</f>
        <v>2.7940049208033422</v>
      </c>
      <c r="AH28" s="7">
        <f ca="1">IF(LEN(DATA!G36)&gt;0,SUMPRODUCT(OFFSET(DATA!$R$6,AH$5,0,1,10),DATA!$R36:$AA36),"")</f>
        <v>0.23129213324683379</v>
      </c>
      <c r="AI28" s="7">
        <f ca="1">IF(LEN(DATA!H36)&gt;0,SUMPRODUCT(OFFSET(DATA!$R$6,AI$5,0,1,10),DATA!$R36:$AA36),"")</f>
        <v>0.6870591370537239</v>
      </c>
      <c r="AJ28" s="7">
        <f ca="1">IF(LEN(DATA!I36)&gt;0,SUMPRODUCT(OFFSET(DATA!$R$6,AJ$5,0,1,10),DATA!$R36:$AA36),"")</f>
        <v>2.721311475409836</v>
      </c>
      <c r="AK28" s="7"/>
      <c r="AL28" s="7">
        <f t="shared" ca="1" si="2"/>
        <v>0.12845344973055739</v>
      </c>
      <c r="AM28" s="7">
        <f t="shared" ca="1" si="3"/>
        <v>8.9769659437649696E-2</v>
      </c>
      <c r="AN28" s="7">
        <f t="shared" ca="1" si="4"/>
        <v>6.3547682685553317E-2</v>
      </c>
      <c r="AO28" s="7">
        <f t="shared" ca="1" si="5"/>
        <v>0.18877000015000647</v>
      </c>
      <c r="AP28" s="7">
        <f t="shared" ca="1" si="6"/>
        <v>0.78177689083179291</v>
      </c>
      <c r="AQ28" s="7">
        <f t="shared" ca="1" si="7"/>
        <v>0.74768231716444034</v>
      </c>
      <c r="AS28">
        <f t="shared" si="8"/>
        <v>22</v>
      </c>
      <c r="AT28">
        <f t="shared" si="9"/>
        <v>0</v>
      </c>
      <c r="AU28">
        <f t="shared" ca="1" si="10"/>
        <v>0.82666172055061771</v>
      </c>
      <c r="AV28">
        <f t="shared" ca="1" si="11"/>
        <v>7.7742805562082115E-2</v>
      </c>
      <c r="AW28">
        <f ca="1">IF(AND($AT28&lt;3,OFFSET(DATA!$C$14,$AS28,0)=AW$6),$AV28,dNULL)</f>
        <v>-99</v>
      </c>
      <c r="AX28">
        <f ca="1">IF(AND($AT28&lt;3,OFFSET(DATA!$C$14,$AS28,0)=AX$6),$AV28,dNULL)</f>
        <v>-99</v>
      </c>
      <c r="AY28">
        <f ca="1">IF(AND($AT28&lt;3,OFFSET(DATA!$C$14,$AS28,0)=AY$6),$AV28,dNULL)</f>
        <v>7.7742805562082115E-2</v>
      </c>
      <c r="AZ28">
        <f ca="1">IF(AND($AT28&lt;3,OFFSET(DATA!$C$14,$AS28,0)=AZ$6),$AV28,dNULL)</f>
        <v>-99</v>
      </c>
      <c r="BA28">
        <f ca="1">IF(AND($AT28&lt;3,OFFSET(DATA!$C$14,$AS28,0)=BA$6),$AV28,dNULL)</f>
        <v>-99</v>
      </c>
      <c r="BB28">
        <f ca="1">IF(AND($AT28&lt;3,OFFSET(DATA!$C$14,$AS28,0)=BB$6),$AV28,dNULL)</f>
        <v>-99</v>
      </c>
      <c r="BC28">
        <f ca="1">IF(AND($AT28&lt;3,OFFSET(DATA!$C$14,$AS28,0)=BC$6),$AV28,dNULL)</f>
        <v>-99</v>
      </c>
      <c r="BD28">
        <f ca="1">IF(AND($AT28&lt;3,OFFSET(DATA!$C$14,$AS28,0)=BD$6),$AV28,dNULL)</f>
        <v>-99</v>
      </c>
      <c r="BE28">
        <f ca="1">IF(AND($AT28&lt;3,OFFSET(DATA!$C$14,$AS28,0)=BE$6),$AV28,dNULL)</f>
        <v>-99</v>
      </c>
      <c r="BF28">
        <f ca="1">IF(AND($AT28&lt;3,OFFSET(DATA!$C$14,$AS28,0)=BF$6),$AV28,dNULL)</f>
        <v>-99</v>
      </c>
      <c r="BG28">
        <f ca="1">IF(AND($AT28&lt;3,OFFSET(DATA!$C$14,$AS28,0)=BG$6),$AV28,dNULL)</f>
        <v>-99</v>
      </c>
      <c r="BH28">
        <f ca="1">IF(AND($AT28&lt;3,OFFSET(DATA!$C$14,$AS28,0)=BH$6),$AV28,dNULL)</f>
        <v>-99</v>
      </c>
      <c r="BU28">
        <f t="shared" si="17"/>
        <v>1</v>
      </c>
      <c r="BV28">
        <f t="shared" si="19"/>
        <v>0.3</v>
      </c>
      <c r="BW28">
        <f t="shared" ca="1" si="12"/>
        <v>2.8877147325917569</v>
      </c>
      <c r="BX28">
        <f t="shared" ca="1" si="13"/>
        <v>-2.3471501961105012</v>
      </c>
      <c r="BZ28" t="s">
        <v>133</v>
      </c>
      <c r="CA28">
        <v>1</v>
      </c>
      <c r="CB28" s="40" t="s">
        <v>134</v>
      </c>
    </row>
    <row r="29" spans="3:83" x14ac:dyDescent="0.25">
      <c r="N29">
        <f>N28-N28/2</f>
        <v>-49.199999999999996</v>
      </c>
      <c r="O29">
        <f>O28+N28*ApexCAT</f>
        <v>-85.216899732388754</v>
      </c>
      <c r="Q29">
        <f t="shared" si="25"/>
        <v>0.16250000000000001</v>
      </c>
      <c r="R29">
        <f t="shared" si="26"/>
        <v>0.41136206679760834</v>
      </c>
      <c r="S29">
        <f t="shared" si="27"/>
        <v>40</v>
      </c>
      <c r="T29">
        <f t="shared" ref="T29:T36" si="28">T28</f>
        <v>60</v>
      </c>
      <c r="Y29" s="26"/>
      <c r="Z29" s="26"/>
      <c r="AB29" s="26" t="str">
        <f t="shared" ca="1" si="1"/>
        <v>AW26</v>
      </c>
      <c r="AC29">
        <f t="shared" ca="1" si="14"/>
        <v>23</v>
      </c>
      <c r="AD29" t="str">
        <f ca="1">IF(AND(AT29&lt;1,MAX(AW29:BH29)&gt;dNULL),DATA!$D37,"")</f>
        <v>AW26</v>
      </c>
      <c r="AE29" s="7">
        <f ca="1">IF(LEN(DATA!D37)&gt;0,SUMPRODUCT(OFFSET(DATA!$R$6,AE$5,0,1,10),DATA!$R37:$AA37),"")</f>
        <v>2.7398632734530945</v>
      </c>
      <c r="AF29" s="7">
        <f ca="1">IF(LEN(DATA!E37)&gt;0,SUMPRODUCT(OFFSET(DATA!$R$6,AF$5,0,1,10),DATA!$R37:$AA37),"")</f>
        <v>0.79976966107272141</v>
      </c>
      <c r="AG29" s="7">
        <f ca="1">IF(LEN(DATA!F37)&gt;0,SUMPRODUCT(OFFSET(DATA!$R$6,AG$5,0,1,10),DATA!$R37:$AA37),"")</f>
        <v>4.6799662421359516</v>
      </c>
      <c r="AH29" s="7">
        <f ca="1">IF(LEN(DATA!G37)&gt;0,SUMPRODUCT(OFFSET(DATA!$R$6,AH$5,0,1,10),DATA!$R37:$AA37),"")</f>
        <v>0.93</v>
      </c>
      <c r="AI29" s="7">
        <f ca="1">IF(LEN(DATA!H37)&gt;0,SUMPRODUCT(OFFSET(DATA!$R$6,AI$5,0,1,10),DATA!$R37:$AA37),"")</f>
        <v>2.2999999999999998</v>
      </c>
      <c r="AJ29" s="7">
        <f ca="1">IF(LEN(DATA!I37)&gt;0,SUMPRODUCT(OFFSET(DATA!$R$6,AJ$5,0,1,10),DATA!$R37:$AA37),"")</f>
        <v>4.92</v>
      </c>
      <c r="AK29" s="7"/>
      <c r="AL29" s="7">
        <f t="shared" ca="1" si="2"/>
        <v>0.3333329539027276</v>
      </c>
      <c r="AM29" s="7">
        <f t="shared" ca="1" si="3"/>
        <v>9.730032376074238E-2</v>
      </c>
      <c r="AN29" s="7">
        <f t="shared" ca="1" si="4"/>
        <v>0.11411042944785277</v>
      </c>
      <c r="AO29" s="7">
        <f t="shared" ca="1" si="5"/>
        <v>0.2822085889570552</v>
      </c>
      <c r="AP29" s="7">
        <f t="shared" ca="1" si="6"/>
        <v>0.56936672233653007</v>
      </c>
      <c r="AQ29" s="7">
        <f t="shared" ca="1" si="7"/>
        <v>0.60368098159509198</v>
      </c>
      <c r="AS29">
        <f t="shared" si="8"/>
        <v>23</v>
      </c>
      <c r="AT29">
        <f t="shared" si="9"/>
        <v>0</v>
      </c>
      <c r="AU29">
        <f t="shared" ca="1" si="10"/>
        <v>0.61801688421690115</v>
      </c>
      <c r="AV29">
        <f t="shared" ca="1" si="11"/>
        <v>8.4264552173253529E-2</v>
      </c>
      <c r="AW29">
        <f ca="1">IF(AND($AT29&lt;3,OFFSET(DATA!$C$14,$AS29,0)=AW$6),$AV29,dNULL)</f>
        <v>-99</v>
      </c>
      <c r="AX29">
        <f ca="1">IF(AND($AT29&lt;3,OFFSET(DATA!$C$14,$AS29,0)=AX$6),$AV29,dNULL)</f>
        <v>-99</v>
      </c>
      <c r="AY29">
        <f ca="1">IF(AND($AT29&lt;3,OFFSET(DATA!$C$14,$AS29,0)=AY$6),$AV29,dNULL)</f>
        <v>8.4264552173253529E-2</v>
      </c>
      <c r="AZ29">
        <f ca="1">IF(AND($AT29&lt;3,OFFSET(DATA!$C$14,$AS29,0)=AZ$6),$AV29,dNULL)</f>
        <v>-99</v>
      </c>
      <c r="BA29">
        <f ca="1">IF(AND($AT29&lt;3,OFFSET(DATA!$C$14,$AS29,0)=BA$6),$AV29,dNULL)</f>
        <v>-99</v>
      </c>
      <c r="BB29">
        <f ca="1">IF(AND($AT29&lt;3,OFFSET(DATA!$C$14,$AS29,0)=BB$6),$AV29,dNULL)</f>
        <v>-99</v>
      </c>
      <c r="BC29">
        <f ca="1">IF(AND($AT29&lt;3,OFFSET(DATA!$C$14,$AS29,0)=BC$6),$AV29,dNULL)</f>
        <v>-99</v>
      </c>
      <c r="BD29">
        <f ca="1">IF(AND($AT29&lt;3,OFFSET(DATA!$C$14,$AS29,0)=BD$6),$AV29,dNULL)</f>
        <v>-99</v>
      </c>
      <c r="BE29">
        <f ca="1">IF(AND($AT29&lt;3,OFFSET(DATA!$C$14,$AS29,0)=BE$6),$AV29,dNULL)</f>
        <v>-99</v>
      </c>
      <c r="BF29">
        <f ca="1">IF(AND($AT29&lt;3,OFFSET(DATA!$C$14,$AS29,0)=BF$6),$AV29,dNULL)</f>
        <v>-99</v>
      </c>
      <c r="BG29">
        <f ca="1">IF(AND($AT29&lt;3,OFFSET(DATA!$C$14,$AS29,0)=BG$6),$AV29,dNULL)</f>
        <v>-99</v>
      </c>
      <c r="BH29">
        <f ca="1">IF(AND($AT29&lt;3,OFFSET(DATA!$C$14,$AS29,0)=BH$6),$AV29,dNULL)</f>
        <v>-99</v>
      </c>
      <c r="BU29">
        <f t="shared" si="17"/>
        <v>1</v>
      </c>
      <c r="BV29">
        <f t="shared" si="19"/>
        <v>0.32</v>
      </c>
      <c r="BW29">
        <f t="shared" ca="1" si="12"/>
        <v>0.2</v>
      </c>
      <c r="BX29">
        <f t="shared" ca="1" si="13"/>
        <v>-0.2</v>
      </c>
      <c r="BZ29" t="s">
        <v>150</v>
      </c>
      <c r="CA29">
        <v>1</v>
      </c>
      <c r="CB29" s="40" t="s">
        <v>112</v>
      </c>
    </row>
    <row r="30" spans="3:83" x14ac:dyDescent="0.25">
      <c r="Q30">
        <f t="shared" si="25"/>
        <v>0.26250000000000007</v>
      </c>
      <c r="R30">
        <f t="shared" si="26"/>
        <v>0.58456714755449612</v>
      </c>
      <c r="S30">
        <f t="shared" si="27"/>
        <v>60.000000000000007</v>
      </c>
      <c r="T30">
        <f t="shared" si="28"/>
        <v>60</v>
      </c>
      <c r="Y30" s="26"/>
      <c r="Z30" s="26"/>
      <c r="AB30" s="26" t="str">
        <f t="shared" ca="1" si="1"/>
        <v>AW27</v>
      </c>
      <c r="AC30">
        <f t="shared" ca="1" si="14"/>
        <v>24</v>
      </c>
      <c r="AD30" t="str">
        <f ca="1">IF(AND(AT30&lt;1,MAX(AW30:BH30)&gt;dNULL),DATA!$D38,"")</f>
        <v>AW27</v>
      </c>
      <c r="AE30" s="7">
        <f ca="1">IF(LEN(DATA!D38)&gt;0,SUMPRODUCT(OFFSET(DATA!$R$6,AE$5,0,1,10),DATA!$R38:$AA38),"")</f>
        <v>2.3952095808383236</v>
      </c>
      <c r="AF30" s="7">
        <f ca="1">IF(LEN(DATA!E38)&gt;0,SUMPRODUCT(OFFSET(DATA!$R$6,AF$5,0,1,10),DATA!$R38:$AA38),"")</f>
        <v>1.3984863441921684</v>
      </c>
      <c r="AG30" s="7">
        <f ca="1">IF(LEN(DATA!F38)&gt;0,SUMPRODUCT(OFFSET(DATA!$R$6,AG$5,0,1,10),DATA!$R38:$AA38),"")</f>
        <v>5.1606856828718692</v>
      </c>
      <c r="AH30" s="7">
        <f ca="1">IF(LEN(DATA!G38)&gt;0,SUMPRODUCT(OFFSET(DATA!$R$6,AH$5,0,1,10),DATA!$R38:$AA38),"")</f>
        <v>0.81798437367782695</v>
      </c>
      <c r="AI30" s="7">
        <f ca="1">IF(LEN(DATA!H38)&gt;0,SUMPRODUCT(OFFSET(DATA!$R$6,AI$5,0,1,10),DATA!$R38:$AA38),"")</f>
        <v>3.1646360252171526</v>
      </c>
      <c r="AJ30" s="7">
        <f ca="1">IF(LEN(DATA!I38)&gt;0,SUMPRODUCT(OFFSET(DATA!$R$6,AJ$5,0,1,10),DATA!$R38:$AA38),"")</f>
        <v>4.7704918032786887</v>
      </c>
      <c r="AK30" s="7"/>
      <c r="AL30" s="7">
        <f t="shared" ca="1" si="2"/>
        <v>0.2674902283285</v>
      </c>
      <c r="AM30" s="7">
        <f t="shared" ca="1" si="3"/>
        <v>0.15617899766054036</v>
      </c>
      <c r="AN30" s="7">
        <f t="shared" ca="1" si="4"/>
        <v>9.3450689855740246E-2</v>
      </c>
      <c r="AO30" s="7">
        <f t="shared" ca="1" si="5"/>
        <v>0.36154409450289871</v>
      </c>
      <c r="AP30" s="7">
        <f t="shared" ca="1" si="6"/>
        <v>0.57633077401095967</v>
      </c>
      <c r="AQ30" s="7">
        <f t="shared" ca="1" si="7"/>
        <v>0.54500521564136106</v>
      </c>
      <c r="AS30">
        <f t="shared" si="8"/>
        <v>24</v>
      </c>
      <c r="AT30">
        <f t="shared" si="9"/>
        <v>0</v>
      </c>
      <c r="AU30">
        <f t="shared" ca="1" si="10"/>
        <v>0.65442027284122983</v>
      </c>
      <c r="AV30">
        <f t="shared" ca="1" si="11"/>
        <v>0.13525497951161836</v>
      </c>
      <c r="AW30">
        <f ca="1">IF(AND($AT30&lt;3,OFFSET(DATA!$C$14,$AS30,0)=AW$6),$AV30,dNULL)</f>
        <v>-99</v>
      </c>
      <c r="AX30">
        <f ca="1">IF(AND($AT30&lt;3,OFFSET(DATA!$C$14,$AS30,0)=AX$6),$AV30,dNULL)</f>
        <v>-99</v>
      </c>
      <c r="AY30">
        <f ca="1">IF(AND($AT30&lt;3,OFFSET(DATA!$C$14,$AS30,0)=AY$6),$AV30,dNULL)</f>
        <v>-99</v>
      </c>
      <c r="AZ30">
        <f ca="1">IF(AND($AT30&lt;3,OFFSET(DATA!$C$14,$AS30,0)=AZ$6),$AV30,dNULL)</f>
        <v>-99</v>
      </c>
      <c r="BA30">
        <f ca="1">IF(AND($AT30&lt;3,OFFSET(DATA!$C$14,$AS30,0)=BA$6),$AV30,dNULL)</f>
        <v>0.13525497951161836</v>
      </c>
      <c r="BB30">
        <f ca="1">IF(AND($AT30&lt;3,OFFSET(DATA!$C$14,$AS30,0)=BB$6),$AV30,dNULL)</f>
        <v>-99</v>
      </c>
      <c r="BC30">
        <f ca="1">IF(AND($AT30&lt;3,OFFSET(DATA!$C$14,$AS30,0)=BC$6),$AV30,dNULL)</f>
        <v>-99</v>
      </c>
      <c r="BD30">
        <f ca="1">IF(AND($AT30&lt;3,OFFSET(DATA!$C$14,$AS30,0)=BD$6),$AV30,dNULL)</f>
        <v>-99</v>
      </c>
      <c r="BE30">
        <f ca="1">IF(AND($AT30&lt;3,OFFSET(DATA!$C$14,$AS30,0)=BE$6),$AV30,dNULL)</f>
        <v>-99</v>
      </c>
      <c r="BF30">
        <f ca="1">IF(AND($AT30&lt;3,OFFSET(DATA!$C$14,$AS30,0)=BF$6),$AV30,dNULL)</f>
        <v>-99</v>
      </c>
      <c r="BG30">
        <f ca="1">IF(AND($AT30&lt;3,OFFSET(DATA!$C$14,$AS30,0)=BG$6),$AV30,dNULL)</f>
        <v>-99</v>
      </c>
      <c r="BH30">
        <f ca="1">IF(AND($AT30&lt;3,OFFSET(DATA!$C$14,$AS30,0)=BH$6),$AV30,dNULL)</f>
        <v>-99</v>
      </c>
      <c r="BU30">
        <f t="shared" si="17"/>
        <v>1</v>
      </c>
      <c r="BV30">
        <f t="shared" si="19"/>
        <v>0.32</v>
      </c>
      <c r="BW30">
        <f t="shared" ca="1" si="12"/>
        <v>2.8279969141771626</v>
      </c>
      <c r="BX30">
        <f t="shared" ca="1" si="13"/>
        <v>-2.3113734124428631</v>
      </c>
      <c r="BZ30" t="s">
        <v>150</v>
      </c>
      <c r="CA30">
        <v>1</v>
      </c>
      <c r="CB30" s="40" t="s">
        <v>113</v>
      </c>
    </row>
    <row r="31" spans="3:83" x14ac:dyDescent="0.25">
      <c r="N31">
        <f>IF(N28&lt;1-$N$5,N28+$N$5,dNULL)</f>
        <v>-98.199999999999989</v>
      </c>
      <c r="O31">
        <v>0</v>
      </c>
      <c r="Q31">
        <f t="shared" si="25"/>
        <v>0.36250000000000004</v>
      </c>
      <c r="R31">
        <f t="shared" si="26"/>
        <v>0.7577722283113838</v>
      </c>
      <c r="S31">
        <f t="shared" si="27"/>
        <v>80</v>
      </c>
      <c r="T31">
        <f t="shared" si="28"/>
        <v>60</v>
      </c>
      <c r="Y31" s="26"/>
      <c r="Z31" s="26"/>
      <c r="AB31" s="26" t="str">
        <f t="shared" ca="1" si="1"/>
        <v>AW28</v>
      </c>
      <c r="AC31">
        <f t="shared" ca="1" si="14"/>
        <v>25</v>
      </c>
      <c r="AD31" t="str">
        <f ca="1">IF(AND(AT31&lt;1,MAX(AW31:BH31)&gt;dNULL),DATA!$D39,"")</f>
        <v>AW28</v>
      </c>
      <c r="AE31" s="7">
        <f ca="1">IF(LEN(DATA!D39)&gt;0,SUMPRODUCT(OFFSET(DATA!$R$6,AE$5,0,1,10),DATA!$R39:$AA39),"")</f>
        <v>2.2798862275449099</v>
      </c>
      <c r="AF31" s="7">
        <f ca="1">IF(LEN(DATA!E39)&gt;0,SUMPRODUCT(OFFSET(DATA!$R$6,AF$5,0,1,10),DATA!$R39:$AA39),"")</f>
        <v>1.399596906877262</v>
      </c>
      <c r="AG31" s="7">
        <f ca="1">IF(LEN(DATA!F39)&gt;0,SUMPRODUCT(OFFSET(DATA!$R$6,AG$5,0,1,10),DATA!$R39:$AA39),"")</f>
        <v>5.3299887473786507</v>
      </c>
      <c r="AH31" s="7">
        <f ca="1">IF(LEN(DATA!G39)&gt;0,SUMPRODUCT(OFFSET(DATA!$R$6,AH$5,0,1,10),DATA!$R39:$AA39),"")</f>
        <v>0.68</v>
      </c>
      <c r="AI31" s="7">
        <f ca="1">IF(LEN(DATA!H39)&gt;0,SUMPRODUCT(OFFSET(DATA!$R$6,AI$5,0,1,10),DATA!$R39:$AA39),"")</f>
        <v>3.34</v>
      </c>
      <c r="AJ31" s="7">
        <f ca="1">IF(LEN(DATA!I39)&gt;0,SUMPRODUCT(OFFSET(DATA!$R$6,AJ$5,0,1,10),DATA!$R39:$AA39),"")</f>
        <v>4.7300000000000004</v>
      </c>
      <c r="AK31" s="7"/>
      <c r="AL31" s="7">
        <f t="shared" ca="1" si="2"/>
        <v>0.253054369607423</v>
      </c>
      <c r="AM31" s="7">
        <f t="shared" ca="1" si="3"/>
        <v>0.15534727509438759</v>
      </c>
      <c r="AN31" s="7">
        <f t="shared" ca="1" si="4"/>
        <v>7.7714285714285722E-2</v>
      </c>
      <c r="AO31" s="7">
        <f t="shared" ca="1" si="5"/>
        <v>0.38171428571428567</v>
      </c>
      <c r="AP31" s="7">
        <f t="shared" ca="1" si="6"/>
        <v>0.59159835529818949</v>
      </c>
      <c r="AQ31" s="7">
        <f t="shared" ca="1" si="7"/>
        <v>0.54057142857142859</v>
      </c>
      <c r="AS31">
        <f t="shared" si="8"/>
        <v>25</v>
      </c>
      <c r="AT31">
        <f t="shared" si="9"/>
        <v>0</v>
      </c>
      <c r="AU31">
        <f t="shared" ca="1" si="10"/>
        <v>0.66927199284538319</v>
      </c>
      <c r="AV31">
        <f t="shared" ca="1" si="11"/>
        <v>0.13453468664042928</v>
      </c>
      <c r="AW31">
        <f ca="1">IF(AND($AT31&lt;3,OFFSET(DATA!$C$14,$AS31,0)=AW$6),$AV31,dNULL)</f>
        <v>-99</v>
      </c>
      <c r="AX31">
        <f ca="1">IF(AND($AT31&lt;3,OFFSET(DATA!$C$14,$AS31,0)=AX$6),$AV31,dNULL)</f>
        <v>-99</v>
      </c>
      <c r="AY31">
        <f ca="1">IF(AND($AT31&lt;3,OFFSET(DATA!$C$14,$AS31,0)=AY$6),$AV31,dNULL)</f>
        <v>-99</v>
      </c>
      <c r="AZ31">
        <f ca="1">IF(AND($AT31&lt;3,OFFSET(DATA!$C$14,$AS31,0)=AZ$6),$AV31,dNULL)</f>
        <v>-99</v>
      </c>
      <c r="BA31">
        <f ca="1">IF(AND($AT31&lt;3,OFFSET(DATA!$C$14,$AS31,0)=BA$6),$AV31,dNULL)</f>
        <v>0.13453468664042928</v>
      </c>
      <c r="BB31">
        <f ca="1">IF(AND($AT31&lt;3,OFFSET(DATA!$C$14,$AS31,0)=BB$6),$AV31,dNULL)</f>
        <v>-99</v>
      </c>
      <c r="BC31">
        <f ca="1">IF(AND($AT31&lt;3,OFFSET(DATA!$C$14,$AS31,0)=BC$6),$AV31,dNULL)</f>
        <v>-99</v>
      </c>
      <c r="BD31">
        <f ca="1">IF(AND($AT31&lt;3,OFFSET(DATA!$C$14,$AS31,0)=BD$6),$AV31,dNULL)</f>
        <v>-99</v>
      </c>
      <c r="BE31">
        <f ca="1">IF(AND($AT31&lt;3,OFFSET(DATA!$C$14,$AS31,0)=BE$6),$AV31,dNULL)</f>
        <v>-99</v>
      </c>
      <c r="BF31">
        <f ca="1">IF(AND($AT31&lt;3,OFFSET(DATA!$C$14,$AS31,0)=BF$6),$AV31,dNULL)</f>
        <v>-99</v>
      </c>
      <c r="BG31">
        <f ca="1">IF(AND($AT31&lt;3,OFFSET(DATA!$C$14,$AS31,0)=BG$6),$AV31,dNULL)</f>
        <v>-99</v>
      </c>
      <c r="BH31">
        <f ca="1">IF(AND($AT31&lt;3,OFFSET(DATA!$C$14,$AS31,0)=BH$6),$AV31,dNULL)</f>
        <v>-99</v>
      </c>
      <c r="BU31">
        <f t="shared" si="17"/>
        <v>1</v>
      </c>
      <c r="BV31">
        <f t="shared" si="19"/>
        <v>0.34</v>
      </c>
      <c r="BW31">
        <f t="shared" ca="1" si="12"/>
        <v>0.2</v>
      </c>
      <c r="BX31">
        <f t="shared" ca="1" si="13"/>
        <v>-0.2</v>
      </c>
      <c r="BZ31" t="s">
        <v>150</v>
      </c>
      <c r="CA31">
        <v>1</v>
      </c>
      <c r="CB31" s="40" t="s">
        <v>114</v>
      </c>
    </row>
    <row r="32" spans="3:83" x14ac:dyDescent="0.25">
      <c r="N32">
        <f>N31-N31/2</f>
        <v>-49.099999999999994</v>
      </c>
      <c r="O32">
        <f>O31+N31*ApexCAT</f>
        <v>-85.043694651631867</v>
      </c>
      <c r="Q32">
        <f t="shared" si="25"/>
        <v>0.46250000000000002</v>
      </c>
      <c r="R32">
        <f t="shared" si="26"/>
        <v>0.93097730906827147</v>
      </c>
      <c r="S32">
        <f t="shared" si="27"/>
        <v>100</v>
      </c>
      <c r="T32">
        <f t="shared" si="28"/>
        <v>60</v>
      </c>
      <c r="Y32" s="26"/>
      <c r="Z32" s="26"/>
      <c r="AB32" s="26" t="str">
        <f t="shared" ca="1" si="1"/>
        <v>AW29</v>
      </c>
      <c r="AC32">
        <f t="shared" ca="1" si="14"/>
        <v>26</v>
      </c>
      <c r="AD32" t="str">
        <f ca="1">IF(AND(AT32&lt;1,MAX(AW32:BH32)&gt;dNULL),DATA!$D40,"")</f>
        <v>AW29</v>
      </c>
      <c r="AE32" s="7">
        <f ca="1">IF(LEN(DATA!D40)&gt;0,SUMPRODUCT(OFFSET(DATA!$R$6,AE$5,0,1,10),DATA!$R40:$AA40),"")</f>
        <v>2.0459081836327346</v>
      </c>
      <c r="AF32" s="7">
        <f ca="1">IF(LEN(DATA!E40)&gt;0,SUMPRODUCT(OFFSET(DATA!$R$6,AF$5,0,1,10),DATA!$R40:$AA40),"")</f>
        <v>0.61697926949654491</v>
      </c>
      <c r="AG32" s="7">
        <f ca="1">IF(LEN(DATA!F40)&gt;0,SUMPRODUCT(OFFSET(DATA!$R$6,AG$5,0,1,10),DATA!$R40:$AA40),"")</f>
        <v>3.7304261125631841</v>
      </c>
      <c r="AH32" s="7">
        <f ca="1">IF(LEN(DATA!G40)&gt;0,SUMPRODUCT(OFFSET(DATA!$R$6,AH$5,0,1,10),DATA!$R40:$AA40),"")</f>
        <v>0.64874622739965582</v>
      </c>
      <c r="AI32" s="7">
        <f ca="1">IF(LEN(DATA!H40)&gt;0,SUMPRODUCT(OFFSET(DATA!$R$6,AI$5,0,1,10),DATA!$R40:$AA40),"")</f>
        <v>2.7065966005146698</v>
      </c>
      <c r="AJ32" s="7">
        <f ca="1">IF(LEN(DATA!I40)&gt;0,SUMPRODUCT(OFFSET(DATA!$R$6,AJ$5,0,1,10),DATA!$R40:$AA40),"")</f>
        <v>3.1967213114754101</v>
      </c>
      <c r="AK32" s="7"/>
      <c r="AL32" s="7">
        <f t="shared" ca="1" si="2"/>
        <v>0.32000748322613221</v>
      </c>
      <c r="AM32" s="7">
        <f t="shared" ca="1" si="3"/>
        <v>9.6503833756466081E-2</v>
      </c>
      <c r="AN32" s="7">
        <f t="shared" ca="1" si="4"/>
        <v>9.9014022695461668E-2</v>
      </c>
      <c r="AO32" s="7">
        <f t="shared" ca="1" si="5"/>
        <v>0.41309067538627059</v>
      </c>
      <c r="AP32" s="7">
        <f t="shared" ca="1" si="6"/>
        <v>0.58348868301740175</v>
      </c>
      <c r="AQ32" s="7">
        <f t="shared" ca="1" si="7"/>
        <v>0.48789530191826769</v>
      </c>
      <c r="AS32">
        <f t="shared" si="8"/>
        <v>26</v>
      </c>
      <c r="AT32">
        <f t="shared" si="9"/>
        <v>0</v>
      </c>
      <c r="AU32">
        <f t="shared" ca="1" si="10"/>
        <v>0.6317405998956348</v>
      </c>
      <c r="AV32">
        <f t="shared" ca="1" si="11"/>
        <v>8.3574771595689878E-2</v>
      </c>
      <c r="AW32">
        <f ca="1">IF(AND($AT32&lt;3,OFFSET(DATA!$C$14,$AS32,0)=AW$6),$AV32,dNULL)</f>
        <v>-99</v>
      </c>
      <c r="AX32">
        <f ca="1">IF(AND($AT32&lt;3,OFFSET(DATA!$C$14,$AS32,0)=AX$6),$AV32,dNULL)</f>
        <v>-99</v>
      </c>
      <c r="AY32">
        <f ca="1">IF(AND($AT32&lt;3,OFFSET(DATA!$C$14,$AS32,0)=AY$6),$AV32,dNULL)</f>
        <v>8.3574771595689878E-2</v>
      </c>
      <c r="AZ32">
        <f ca="1">IF(AND($AT32&lt;3,OFFSET(DATA!$C$14,$AS32,0)=AZ$6),$AV32,dNULL)</f>
        <v>-99</v>
      </c>
      <c r="BA32">
        <f ca="1">IF(AND($AT32&lt;3,OFFSET(DATA!$C$14,$AS32,0)=BA$6),$AV32,dNULL)</f>
        <v>-99</v>
      </c>
      <c r="BB32">
        <f ca="1">IF(AND($AT32&lt;3,OFFSET(DATA!$C$14,$AS32,0)=BB$6),$AV32,dNULL)</f>
        <v>-99</v>
      </c>
      <c r="BC32">
        <f ca="1">IF(AND($AT32&lt;3,OFFSET(DATA!$C$14,$AS32,0)=BC$6),$AV32,dNULL)</f>
        <v>-99</v>
      </c>
      <c r="BD32">
        <f ca="1">IF(AND($AT32&lt;3,OFFSET(DATA!$C$14,$AS32,0)=BD$6),$AV32,dNULL)</f>
        <v>-99</v>
      </c>
      <c r="BE32">
        <f ca="1">IF(AND($AT32&lt;3,OFFSET(DATA!$C$14,$AS32,0)=BE$6),$AV32,dNULL)</f>
        <v>-99</v>
      </c>
      <c r="BF32">
        <f ca="1">IF(AND($AT32&lt;3,OFFSET(DATA!$C$14,$AS32,0)=BF$6),$AV32,dNULL)</f>
        <v>-99</v>
      </c>
      <c r="BG32">
        <f ca="1">IF(AND($AT32&lt;3,OFFSET(DATA!$C$14,$AS32,0)=BG$6),$AV32,dNULL)</f>
        <v>-99</v>
      </c>
      <c r="BH32">
        <f ca="1">IF(AND($AT32&lt;3,OFFSET(DATA!$C$14,$AS32,0)=BH$6),$AV32,dNULL)</f>
        <v>-99</v>
      </c>
      <c r="BU32">
        <f t="shared" si="17"/>
        <v>1</v>
      </c>
      <c r="BV32">
        <f t="shared" si="19"/>
        <v>0.34</v>
      </c>
      <c r="BW32">
        <f t="shared" ca="1" si="12"/>
        <v>2.7682790957625683</v>
      </c>
      <c r="BX32">
        <f t="shared" ca="1" si="13"/>
        <v>-2.2755966287752245</v>
      </c>
      <c r="BZ32" t="s">
        <v>150</v>
      </c>
      <c r="CA32">
        <v>1</v>
      </c>
      <c r="CB32" s="40" t="s">
        <v>119</v>
      </c>
    </row>
    <row r="33" spans="13:82" x14ac:dyDescent="0.25">
      <c r="Q33">
        <f t="shared" si="25"/>
        <v>0.5625</v>
      </c>
      <c r="R33">
        <f t="shared" si="26"/>
        <v>-98.935048094716166</v>
      </c>
      <c r="S33">
        <f t="shared" si="27"/>
        <v>120</v>
      </c>
      <c r="T33">
        <f t="shared" si="28"/>
        <v>60</v>
      </c>
      <c r="Y33" s="26"/>
      <c r="Z33" s="26"/>
      <c r="AB33" s="26" t="str">
        <f t="shared" ca="1" si="1"/>
        <v>AW30</v>
      </c>
      <c r="AC33">
        <f t="shared" ca="1" si="14"/>
        <v>27</v>
      </c>
      <c r="AD33" t="str">
        <f ca="1">IF(AND(AT33&lt;1,MAX(AW33:BH33)&gt;dNULL),DATA!$D41,"")</f>
        <v>AW30</v>
      </c>
      <c r="AE33" s="7">
        <f ca="1">IF(LEN(DATA!D41)&gt;0,SUMPRODUCT(OFFSET(DATA!$R$6,AE$5,0,1,10),DATA!$R41:$AA41),"")</f>
        <v>2.5948103792415171</v>
      </c>
      <c r="AF33" s="7">
        <f ca="1">IF(LEN(DATA!E41)&gt;0,SUMPRODUCT(OFFSET(DATA!$R$6,AF$5,0,1,10),DATA!$R41:$AA41),"")</f>
        <v>1.809805857189865</v>
      </c>
      <c r="AG33" s="7">
        <f ca="1">IF(LEN(DATA!F41)&gt;0,SUMPRODUCT(OFFSET(DATA!$R$6,AG$5,0,1,10),DATA!$R41:$AA41),"")</f>
        <v>5.6800338289644632</v>
      </c>
      <c r="AH33" s="7">
        <f ca="1">IF(LEN(DATA!G41)&gt;0,SUMPRODUCT(OFFSET(DATA!$R$6,AH$5,0,1,10),DATA!$R41:$AA41),"")</f>
        <v>0.76157165825176987</v>
      </c>
      <c r="AI33" s="7">
        <f ca="1">IF(LEN(DATA!H41)&gt;0,SUMPRODUCT(OFFSET(DATA!$R$6,AI$5,0,1,10),DATA!$R41:$AA41),"")</f>
        <v>3.4977556068189579</v>
      </c>
      <c r="AJ33" s="7">
        <f ca="1">IF(LEN(DATA!I41)&gt;0,SUMPRODUCT(OFFSET(DATA!$R$6,AJ$5,0,1,10),DATA!$R41:$AA41),"")</f>
        <v>5.1475409836065573</v>
      </c>
      <c r="AK33" s="7"/>
      <c r="AL33" s="7">
        <f t="shared" ca="1" si="2"/>
        <v>0.25730296662898289</v>
      </c>
      <c r="AM33" s="7">
        <f t="shared" ca="1" si="3"/>
        <v>0.17946144342677556</v>
      </c>
      <c r="AN33" s="7">
        <f t="shared" ca="1" si="4"/>
        <v>8.0959107549832612E-2</v>
      </c>
      <c r="AO33" s="7">
        <f t="shared" ca="1" si="5"/>
        <v>0.37182997724144623</v>
      </c>
      <c r="AP33" s="7">
        <f t="shared" ca="1" si="6"/>
        <v>0.56323558994424161</v>
      </c>
      <c r="AQ33" s="7">
        <f t="shared" ca="1" si="7"/>
        <v>0.54721091520872123</v>
      </c>
      <c r="AS33">
        <f t="shared" si="8"/>
        <v>27</v>
      </c>
      <c r="AT33">
        <f t="shared" si="9"/>
        <v>0</v>
      </c>
      <c r="AU33">
        <f t="shared" ca="1" si="10"/>
        <v>0.65296631165762931</v>
      </c>
      <c r="AV33">
        <f t="shared" ca="1" si="11"/>
        <v>0.15541816900741148</v>
      </c>
      <c r="AW33">
        <f ca="1">IF(AND($AT33&lt;3,OFFSET(DATA!$C$14,$AS33,0)=AW$6),$AV33,dNULL)</f>
        <v>-99</v>
      </c>
      <c r="AX33">
        <f ca="1">IF(AND($AT33&lt;3,OFFSET(DATA!$C$14,$AS33,0)=AX$6),$AV33,dNULL)</f>
        <v>-99</v>
      </c>
      <c r="AY33">
        <f ca="1">IF(AND($AT33&lt;3,OFFSET(DATA!$C$14,$AS33,0)=AY$6),$AV33,dNULL)</f>
        <v>0.15541816900741148</v>
      </c>
      <c r="AZ33">
        <f ca="1">IF(AND($AT33&lt;3,OFFSET(DATA!$C$14,$AS33,0)=AZ$6),$AV33,dNULL)</f>
        <v>-99</v>
      </c>
      <c r="BA33">
        <f ca="1">IF(AND($AT33&lt;3,OFFSET(DATA!$C$14,$AS33,0)=BA$6),$AV33,dNULL)</f>
        <v>-99</v>
      </c>
      <c r="BB33">
        <f ca="1">IF(AND($AT33&lt;3,OFFSET(DATA!$C$14,$AS33,0)=BB$6),$AV33,dNULL)</f>
        <v>-99</v>
      </c>
      <c r="BC33">
        <f ca="1">IF(AND($AT33&lt;3,OFFSET(DATA!$C$14,$AS33,0)=BC$6),$AV33,dNULL)</f>
        <v>-99</v>
      </c>
      <c r="BD33">
        <f ca="1">IF(AND($AT33&lt;3,OFFSET(DATA!$C$14,$AS33,0)=BD$6),$AV33,dNULL)</f>
        <v>-99</v>
      </c>
      <c r="BE33">
        <f ca="1">IF(AND($AT33&lt;3,OFFSET(DATA!$C$14,$AS33,0)=BE$6),$AV33,dNULL)</f>
        <v>-99</v>
      </c>
      <c r="BF33">
        <f ca="1">IF(AND($AT33&lt;3,OFFSET(DATA!$C$14,$AS33,0)=BF$6),$AV33,dNULL)</f>
        <v>-99</v>
      </c>
      <c r="BG33">
        <f ca="1">IF(AND($AT33&lt;3,OFFSET(DATA!$C$14,$AS33,0)=BG$6),$AV33,dNULL)</f>
        <v>-99</v>
      </c>
      <c r="BH33">
        <f ca="1">IF(AND($AT33&lt;3,OFFSET(DATA!$C$14,$AS33,0)=BH$6),$AV33,dNULL)</f>
        <v>-99</v>
      </c>
      <c r="BU33">
        <f t="shared" si="17"/>
        <v>1</v>
      </c>
      <c r="BV33">
        <f t="shared" si="19"/>
        <v>0.36000000000000004</v>
      </c>
      <c r="BW33">
        <f t="shared" ca="1" si="12"/>
        <v>0.2</v>
      </c>
      <c r="BX33">
        <f t="shared" ca="1" si="13"/>
        <v>-0.2</v>
      </c>
      <c r="BZ33" t="s">
        <v>150</v>
      </c>
      <c r="CA33">
        <v>1</v>
      </c>
      <c r="CB33" s="40" t="s">
        <v>116</v>
      </c>
    </row>
    <row r="34" spans="13:82" x14ac:dyDescent="0.25">
      <c r="N34">
        <f>IF(N31&lt;1-$N$5,N31+$N$5,dNULL)</f>
        <v>-97.999999999999986</v>
      </c>
      <c r="O34">
        <v>0</v>
      </c>
      <c r="Q34">
        <f t="shared" si="25"/>
        <v>0.66249999999999998</v>
      </c>
      <c r="R34">
        <f t="shared" si="26"/>
        <v>-98.935048094716166</v>
      </c>
      <c r="S34">
        <f t="shared" si="27"/>
        <v>140</v>
      </c>
      <c r="T34">
        <f t="shared" si="28"/>
        <v>60</v>
      </c>
      <c r="Y34" s="26"/>
      <c r="Z34" s="26"/>
      <c r="AB34" s="26" t="str">
        <f t="shared" ca="1" si="1"/>
        <v>AW31</v>
      </c>
      <c r="AC34">
        <f t="shared" ca="1" si="14"/>
        <v>28</v>
      </c>
      <c r="AD34" t="str">
        <f ca="1">IF(AND(AT34&lt;1,MAX(AW34:BH34)&gt;dNULL),DATA!$D42,"")</f>
        <v>AW31</v>
      </c>
      <c r="AE34" s="7">
        <f ca="1">IF(LEN(DATA!D42)&gt;0,SUMPRODUCT(OFFSET(DATA!$R$6,AE$5,0,1,10),DATA!$R42:$AA42),"")</f>
        <v>2.2398882235528945</v>
      </c>
      <c r="AF34" s="7">
        <f ca="1">IF(LEN(DATA!E42)&gt;0,SUMPRODUCT(OFFSET(DATA!$R$6,AF$5,0,1,10),DATA!$R42:$AA42),"")</f>
        <v>1.6395278051990785</v>
      </c>
      <c r="AG34" s="7">
        <f ca="1">IF(LEN(DATA!F42)&gt;0,SUMPRODUCT(OFFSET(DATA!$R$6,AG$5,0,1,10),DATA!$R42:$AA42),"")</f>
        <v>5.2199560124801803</v>
      </c>
      <c r="AH34" s="7">
        <f ca="1">IF(LEN(DATA!G42)&gt;0,SUMPRODUCT(OFFSET(DATA!$R$6,AH$5,0,1,10),DATA!$R42:$AA42),"")</f>
        <v>0.68</v>
      </c>
      <c r="AI34" s="7">
        <f ca="1">IF(LEN(DATA!H42)&gt;0,SUMPRODUCT(OFFSET(DATA!$R$6,AI$5,0,1,10),DATA!$R42:$AA42),"")</f>
        <v>3.24</v>
      </c>
      <c r="AJ34" s="7">
        <f ca="1">IF(LEN(DATA!I42)&gt;0,SUMPRODUCT(OFFSET(DATA!$R$6,AJ$5,0,1,10),DATA!$R42:$AA42),"")</f>
        <v>4.8</v>
      </c>
      <c r="AK34" s="7"/>
      <c r="AL34" s="7">
        <f t="shared" ca="1" si="2"/>
        <v>0.24615854955740321</v>
      </c>
      <c r="AM34" s="7">
        <f t="shared" ca="1" si="3"/>
        <v>0.18018032428719866</v>
      </c>
      <c r="AN34" s="7">
        <f t="shared" ca="1" si="4"/>
        <v>7.7981651376146793E-2</v>
      </c>
      <c r="AO34" s="7">
        <f t="shared" ca="1" si="5"/>
        <v>0.37155963302752293</v>
      </c>
      <c r="AP34" s="7">
        <f t="shared" ca="1" si="6"/>
        <v>0.57366112615539799</v>
      </c>
      <c r="AQ34" s="7">
        <f t="shared" ca="1" si="7"/>
        <v>0.55045871559633019</v>
      </c>
      <c r="AS34">
        <f t="shared" si="8"/>
        <v>28</v>
      </c>
      <c r="AT34">
        <f t="shared" si="9"/>
        <v>0</v>
      </c>
      <c r="AU34">
        <f t="shared" ca="1" si="10"/>
        <v>0.66375128829899743</v>
      </c>
      <c r="AV34">
        <f t="shared" ca="1" si="11"/>
        <v>0.15604073809483229</v>
      </c>
      <c r="AW34">
        <f ca="1">IF(AND($AT34&lt;3,OFFSET(DATA!$C$14,$AS34,0)=AW$6),$AV34,dNULL)</f>
        <v>-99</v>
      </c>
      <c r="AX34">
        <f ca="1">IF(AND($AT34&lt;3,OFFSET(DATA!$C$14,$AS34,0)=AX$6),$AV34,dNULL)</f>
        <v>-99</v>
      </c>
      <c r="AY34">
        <f ca="1">IF(AND($AT34&lt;3,OFFSET(DATA!$C$14,$AS34,0)=AY$6),$AV34,dNULL)</f>
        <v>0.15604073809483229</v>
      </c>
      <c r="AZ34">
        <f ca="1">IF(AND($AT34&lt;3,OFFSET(DATA!$C$14,$AS34,0)=AZ$6),$AV34,dNULL)</f>
        <v>-99</v>
      </c>
      <c r="BA34">
        <f ca="1">IF(AND($AT34&lt;3,OFFSET(DATA!$C$14,$AS34,0)=BA$6),$AV34,dNULL)</f>
        <v>-99</v>
      </c>
      <c r="BB34">
        <f ca="1">IF(AND($AT34&lt;3,OFFSET(DATA!$C$14,$AS34,0)=BB$6),$AV34,dNULL)</f>
        <v>-99</v>
      </c>
      <c r="BC34">
        <f ca="1">IF(AND($AT34&lt;3,OFFSET(DATA!$C$14,$AS34,0)=BC$6),$AV34,dNULL)</f>
        <v>-99</v>
      </c>
      <c r="BD34">
        <f ca="1">IF(AND($AT34&lt;3,OFFSET(DATA!$C$14,$AS34,0)=BD$6),$AV34,dNULL)</f>
        <v>-99</v>
      </c>
      <c r="BE34">
        <f ca="1">IF(AND($AT34&lt;3,OFFSET(DATA!$C$14,$AS34,0)=BE$6),$AV34,dNULL)</f>
        <v>-99</v>
      </c>
      <c r="BF34">
        <f ca="1">IF(AND($AT34&lt;3,OFFSET(DATA!$C$14,$AS34,0)=BF$6),$AV34,dNULL)</f>
        <v>-99</v>
      </c>
      <c r="BG34">
        <f ca="1">IF(AND($AT34&lt;3,OFFSET(DATA!$C$14,$AS34,0)=BG$6),$AV34,dNULL)</f>
        <v>-99</v>
      </c>
      <c r="BH34">
        <f ca="1">IF(AND($AT34&lt;3,OFFSET(DATA!$C$14,$AS34,0)=BH$6),$AV34,dNULL)</f>
        <v>-99</v>
      </c>
      <c r="BU34">
        <f t="shared" si="17"/>
        <v>1</v>
      </c>
      <c r="BV34">
        <f t="shared" si="19"/>
        <v>0.36000000000000004</v>
      </c>
      <c r="BW34">
        <f t="shared" ca="1" si="12"/>
        <v>2.7085612773479739</v>
      </c>
      <c r="BX34">
        <f t="shared" ca="1" si="13"/>
        <v>-2.2398198451075859</v>
      </c>
      <c r="BZ34" t="s">
        <v>150</v>
      </c>
      <c r="CA34">
        <v>1</v>
      </c>
      <c r="CB34" s="40" t="s">
        <v>117</v>
      </c>
    </row>
    <row r="35" spans="13:82" x14ac:dyDescent="0.25">
      <c r="N35">
        <f>N34-N34/2</f>
        <v>-48.999999999999993</v>
      </c>
      <c r="O35">
        <f>O34+N34*ApexCAT</f>
        <v>-84.870489570874966</v>
      </c>
      <c r="Q35">
        <f t="shared" si="25"/>
        <v>0.76249999999999996</v>
      </c>
      <c r="R35">
        <f t="shared" si="26"/>
        <v>-98.935048094716166</v>
      </c>
      <c r="S35">
        <f t="shared" si="27"/>
        <v>160</v>
      </c>
      <c r="T35">
        <f t="shared" si="28"/>
        <v>60</v>
      </c>
      <c r="Y35" s="26"/>
      <c r="Z35" s="26"/>
      <c r="AB35" s="26" t="str">
        <f t="shared" ca="1" si="1"/>
        <v>AW32</v>
      </c>
      <c r="AC35">
        <f t="shared" ca="1" si="14"/>
        <v>29</v>
      </c>
      <c r="AD35" t="str">
        <f ca="1">IF(AND(AT35&lt;1,MAX(AW35:BH35)&gt;dNULL),DATA!$D43,"")</f>
        <v>AW32</v>
      </c>
      <c r="AE35" s="7">
        <f ca="1">IF(LEN(DATA!D43)&gt;0,SUMPRODUCT(OFFSET(DATA!$R$6,AE$5,0,1,10),DATA!$R43:$AA43),"")</f>
        <v>2.1998902195608787</v>
      </c>
      <c r="AF35" s="7">
        <f ca="1">IF(LEN(DATA!E43)&gt;0,SUMPRODUCT(OFFSET(DATA!$R$6,AF$5,0,1,10),DATA!$R43:$AA43),"")</f>
        <v>1.31961994076999</v>
      </c>
      <c r="AG35" s="7">
        <f ca="1">IF(LEN(DATA!F43)&gt;0,SUMPRODUCT(OFFSET(DATA!$R$6,AG$5,0,1,10),DATA!$R43:$AA43),"")</f>
        <v>5.6299580584113338</v>
      </c>
      <c r="AH35" s="7">
        <f ca="1">IF(LEN(DATA!G43)&gt;0,SUMPRODUCT(OFFSET(DATA!$R$6,AH$5,0,1,10),DATA!$R43:$AA43),"")</f>
        <v>0.82</v>
      </c>
      <c r="AI35" s="7">
        <f ca="1">IF(LEN(DATA!H43)&gt;0,SUMPRODUCT(OFFSET(DATA!$R$6,AI$5,0,1,10),DATA!$R43:$AA43),"")</f>
        <v>3.08</v>
      </c>
      <c r="AJ35" s="7">
        <f ca="1">IF(LEN(DATA!I43)&gt;0,SUMPRODUCT(OFFSET(DATA!$R$6,AJ$5,0,1,10),DATA!$R43:$AA43),"")</f>
        <v>4.45</v>
      </c>
      <c r="AK35" s="7"/>
      <c r="AL35" s="7">
        <f t="shared" ca="1" si="2"/>
        <v>0.24043913449029961</v>
      </c>
      <c r="AM35" s="7">
        <f t="shared" ca="1" si="3"/>
        <v>0.14422914088786254</v>
      </c>
      <c r="AN35" s="7">
        <f t="shared" ca="1" si="4"/>
        <v>9.8203592814371257E-2</v>
      </c>
      <c r="AO35" s="7">
        <f t="shared" ca="1" si="5"/>
        <v>0.36886227544910183</v>
      </c>
      <c r="AP35" s="7">
        <f t="shared" ca="1" si="6"/>
        <v>0.61533172462183772</v>
      </c>
      <c r="AQ35" s="7">
        <f t="shared" ca="1" si="7"/>
        <v>0.53293413173652704</v>
      </c>
      <c r="AS35">
        <f t="shared" si="8"/>
        <v>29</v>
      </c>
      <c r="AT35">
        <f t="shared" si="9"/>
        <v>0</v>
      </c>
      <c r="AU35">
        <f t="shared" ca="1" si="10"/>
        <v>0.68744629506576915</v>
      </c>
      <c r="AV35">
        <f t="shared" ca="1" si="11"/>
        <v>0.12490609997489384</v>
      </c>
      <c r="AW35">
        <f ca="1">IF(AND($AT35&lt;3,OFFSET(DATA!$C$14,$AS35,0)=AW$6),$AV35,dNULL)</f>
        <v>-99</v>
      </c>
      <c r="AX35">
        <f ca="1">IF(AND($AT35&lt;3,OFFSET(DATA!$C$14,$AS35,0)=AX$6),$AV35,dNULL)</f>
        <v>-99</v>
      </c>
      <c r="AY35">
        <f ca="1">IF(AND($AT35&lt;3,OFFSET(DATA!$C$14,$AS35,0)=AY$6),$AV35,dNULL)</f>
        <v>0.12490609997489384</v>
      </c>
      <c r="AZ35">
        <f ca="1">IF(AND($AT35&lt;3,OFFSET(DATA!$C$14,$AS35,0)=AZ$6),$AV35,dNULL)</f>
        <v>-99</v>
      </c>
      <c r="BA35">
        <f ca="1">IF(AND($AT35&lt;3,OFFSET(DATA!$C$14,$AS35,0)=BA$6),$AV35,dNULL)</f>
        <v>-99</v>
      </c>
      <c r="BB35">
        <f ca="1">IF(AND($AT35&lt;3,OFFSET(DATA!$C$14,$AS35,0)=BB$6),$AV35,dNULL)</f>
        <v>-99</v>
      </c>
      <c r="BC35">
        <f ca="1">IF(AND($AT35&lt;3,OFFSET(DATA!$C$14,$AS35,0)=BC$6),$AV35,dNULL)</f>
        <v>-99</v>
      </c>
      <c r="BD35">
        <f ca="1">IF(AND($AT35&lt;3,OFFSET(DATA!$C$14,$AS35,0)=BD$6),$AV35,dNULL)</f>
        <v>-99</v>
      </c>
      <c r="BE35">
        <f ca="1">IF(AND($AT35&lt;3,OFFSET(DATA!$C$14,$AS35,0)=BE$6),$AV35,dNULL)</f>
        <v>-99</v>
      </c>
      <c r="BF35">
        <f ca="1">IF(AND($AT35&lt;3,OFFSET(DATA!$C$14,$AS35,0)=BF$6),$AV35,dNULL)</f>
        <v>-99</v>
      </c>
      <c r="BG35">
        <f ca="1">IF(AND($AT35&lt;3,OFFSET(DATA!$C$14,$AS35,0)=BG$6),$AV35,dNULL)</f>
        <v>-99</v>
      </c>
      <c r="BH35">
        <f ca="1">IF(AND($AT35&lt;3,OFFSET(DATA!$C$14,$AS35,0)=BH$6),$AV35,dNULL)</f>
        <v>-99</v>
      </c>
      <c r="BU35">
        <f t="shared" si="17"/>
        <v>1</v>
      </c>
      <c r="BV35">
        <f t="shared" si="19"/>
        <v>0.38000000000000006</v>
      </c>
      <c r="BW35">
        <f t="shared" ca="1" si="12"/>
        <v>0.2</v>
      </c>
      <c r="BX35">
        <f t="shared" ca="1" si="13"/>
        <v>-0.2</v>
      </c>
      <c r="BZ35" t="s">
        <v>124</v>
      </c>
      <c r="CA35">
        <v>1</v>
      </c>
      <c r="CB35" s="40" t="s">
        <v>120</v>
      </c>
    </row>
    <row r="36" spans="13:82" x14ac:dyDescent="0.25">
      <c r="Q36">
        <f t="shared" si="25"/>
        <v>0.86249999999999993</v>
      </c>
      <c r="R36">
        <f t="shared" si="26"/>
        <v>-98.935048094716166</v>
      </c>
      <c r="S36">
        <f t="shared" si="27"/>
        <v>179.99999999999997</v>
      </c>
      <c r="T36">
        <f t="shared" si="28"/>
        <v>60</v>
      </c>
      <c r="Y36" s="26"/>
      <c r="Z36" s="26"/>
      <c r="AB36" s="26" t="str">
        <f t="shared" ca="1" si="1"/>
        <v>AW33</v>
      </c>
      <c r="AC36">
        <f t="shared" ca="1" si="14"/>
        <v>30</v>
      </c>
      <c r="AD36" t="str">
        <f ca="1">IF(AND(AT36&lt;1,MAX(AW36:BH36)&gt;dNULL),DATA!$D44,"")</f>
        <v>AW33</v>
      </c>
      <c r="AE36" s="7">
        <f ca="1">IF(LEN(DATA!D44)&gt;0,SUMPRODUCT(OFFSET(DATA!$R$6,AE$5,0,1,10),DATA!$R44:$AA44),"")</f>
        <v>2.659867265469062</v>
      </c>
      <c r="AF36" s="7">
        <f ca="1">IF(LEN(DATA!E44)&gt;0,SUMPRODUCT(OFFSET(DATA!$R$6,AF$5,0,1,10),DATA!$R44:$AA44),"")</f>
        <v>1.4795738729845342</v>
      </c>
      <c r="AG36" s="7">
        <f ca="1">IF(LEN(DATA!F44)&gt;0,SUMPRODUCT(OFFSET(DATA!$R$6,AG$5,0,1,10),DATA!$R44:$AA44),"")</f>
        <v>5.2599652191703745</v>
      </c>
      <c r="AH36" s="7">
        <f ca="1">IF(LEN(DATA!G44)&gt;0,SUMPRODUCT(OFFSET(DATA!$R$6,AH$5,0,1,10),DATA!$R44:$AA44),"")</f>
        <v>0.88</v>
      </c>
      <c r="AI36" s="7">
        <f ca="1">IF(LEN(DATA!H44)&gt;0,SUMPRODUCT(OFFSET(DATA!$R$6,AI$5,0,1,10),DATA!$R44:$AA44),"")</f>
        <v>3.54</v>
      </c>
      <c r="AJ36" s="7">
        <f ca="1">IF(LEN(DATA!I44)&gt;0,SUMPRODUCT(OFFSET(DATA!$R$6,AJ$5,0,1,10),DATA!$R44:$AA44),"")</f>
        <v>4.96</v>
      </c>
      <c r="AK36" s="7"/>
      <c r="AL36" s="7">
        <f t="shared" ca="1" si="2"/>
        <v>0.28298247402737431</v>
      </c>
      <c r="AM36" s="7">
        <f t="shared" ca="1" si="3"/>
        <v>0.1574114169225628</v>
      </c>
      <c r="AN36" s="7">
        <f t="shared" ca="1" si="4"/>
        <v>9.3816631130063971E-2</v>
      </c>
      <c r="AO36" s="7">
        <f t="shared" ca="1" si="5"/>
        <v>0.37739872068230279</v>
      </c>
      <c r="AP36" s="7">
        <f t="shared" ca="1" si="6"/>
        <v>0.55960610905006292</v>
      </c>
      <c r="AQ36" s="7">
        <f t="shared" ca="1" si="7"/>
        <v>0.52878464818763327</v>
      </c>
      <c r="AS36">
        <f t="shared" si="8"/>
        <v>30</v>
      </c>
      <c r="AT36">
        <f t="shared" si="9"/>
        <v>0</v>
      </c>
      <c r="AU36">
        <f t="shared" ca="1" si="10"/>
        <v>0.63831181751134425</v>
      </c>
      <c r="AV36">
        <f t="shared" ca="1" si="11"/>
        <v>0.13632228590064308</v>
      </c>
      <c r="AW36">
        <f ca="1">IF(AND($AT36&lt;3,OFFSET(DATA!$C$14,$AS36,0)=AW$6),$AV36,dNULL)</f>
        <v>-99</v>
      </c>
      <c r="AX36">
        <f ca="1">IF(AND($AT36&lt;3,OFFSET(DATA!$C$14,$AS36,0)=AX$6),$AV36,dNULL)</f>
        <v>-99</v>
      </c>
      <c r="AY36">
        <f ca="1">IF(AND($AT36&lt;3,OFFSET(DATA!$C$14,$AS36,0)=AY$6),$AV36,dNULL)</f>
        <v>0.13632228590064308</v>
      </c>
      <c r="AZ36">
        <f ca="1">IF(AND($AT36&lt;3,OFFSET(DATA!$C$14,$AS36,0)=AZ$6),$AV36,dNULL)</f>
        <v>-99</v>
      </c>
      <c r="BA36">
        <f ca="1">IF(AND($AT36&lt;3,OFFSET(DATA!$C$14,$AS36,0)=BA$6),$AV36,dNULL)</f>
        <v>-99</v>
      </c>
      <c r="BB36">
        <f ca="1">IF(AND($AT36&lt;3,OFFSET(DATA!$C$14,$AS36,0)=BB$6),$AV36,dNULL)</f>
        <v>-99</v>
      </c>
      <c r="BC36">
        <f ca="1">IF(AND($AT36&lt;3,OFFSET(DATA!$C$14,$AS36,0)=BC$6),$AV36,dNULL)</f>
        <v>-99</v>
      </c>
      <c r="BD36">
        <f ca="1">IF(AND($AT36&lt;3,OFFSET(DATA!$C$14,$AS36,0)=BD$6),$AV36,dNULL)</f>
        <v>-99</v>
      </c>
      <c r="BE36">
        <f ca="1">IF(AND($AT36&lt;3,OFFSET(DATA!$C$14,$AS36,0)=BE$6),$AV36,dNULL)</f>
        <v>-99</v>
      </c>
      <c r="BF36">
        <f ca="1">IF(AND($AT36&lt;3,OFFSET(DATA!$C$14,$AS36,0)=BF$6),$AV36,dNULL)</f>
        <v>-99</v>
      </c>
      <c r="BG36">
        <f ca="1">IF(AND($AT36&lt;3,OFFSET(DATA!$C$14,$AS36,0)=BG$6),$AV36,dNULL)</f>
        <v>-99</v>
      </c>
      <c r="BH36">
        <f ca="1">IF(AND($AT36&lt;3,OFFSET(DATA!$C$14,$AS36,0)=BH$6),$AV36,dNULL)</f>
        <v>-99</v>
      </c>
      <c r="BU36">
        <f t="shared" si="17"/>
        <v>1</v>
      </c>
      <c r="BV36">
        <f t="shared" si="19"/>
        <v>0.38000000000000006</v>
      </c>
      <c r="BW36">
        <f t="shared" ca="1" si="12"/>
        <v>2.6488434589333796</v>
      </c>
      <c r="BX36">
        <f t="shared" ca="1" si="13"/>
        <v>-2.2040430614399478</v>
      </c>
      <c r="BZ36" t="s">
        <v>124</v>
      </c>
      <c r="CA36">
        <v>1</v>
      </c>
      <c r="CB36" s="40" t="s">
        <v>121</v>
      </c>
    </row>
    <row r="37" spans="13:82" x14ac:dyDescent="0.25">
      <c r="M37" t="s">
        <v>69</v>
      </c>
      <c r="N37">
        <f>IF(O37&lt;$L$8-$O$37/2,N7/2,dNULL)</f>
        <v>0.1</v>
      </c>
      <c r="O37">
        <f>$N$5*ApexCAT</f>
        <v>0.17320508075688773</v>
      </c>
      <c r="Y37" s="26"/>
      <c r="Z37" s="26"/>
      <c r="AB37" s="26" t="str">
        <f t="shared" ca="1" si="1"/>
        <v>AW34</v>
      </c>
      <c r="AC37">
        <f t="shared" ca="1" si="14"/>
        <v>31</v>
      </c>
      <c r="AD37" t="str">
        <f ca="1">IF(AND(AT37&lt;1,MAX(AW37:BH37)&gt;dNULL),DATA!$D45,"")</f>
        <v>AW34</v>
      </c>
      <c r="AE37" s="7">
        <f ca="1">IF(LEN(DATA!D45)&gt;0,SUMPRODUCT(OFFSET(DATA!$R$6,AE$5,0,1,10),DATA!$R45:$AA45),"")</f>
        <v>0.59997005988023955</v>
      </c>
      <c r="AF37" s="7">
        <f ca="1">IF(LEN(DATA!E45)&gt;0,SUMPRODUCT(OFFSET(DATA!$R$6,AF$5,0,1,10),DATA!$R45:$AA45),"")</f>
        <v>5.9982724580454089E-2</v>
      </c>
      <c r="AG37" s="7">
        <f ca="1">IF(LEN(DATA!F45)&gt;0,SUMPRODUCT(OFFSET(DATA!$R$6,AG$5,0,1,10),DATA!$R45:$AA45),"")</f>
        <v>4.1499897703442281</v>
      </c>
      <c r="AH37" s="7">
        <f ca="1">IF(LEN(DATA!G45)&gt;0,SUMPRODUCT(OFFSET(DATA!$R$6,AH$5,0,1,10),DATA!$R45:$AA45),"")</f>
        <v>0.48</v>
      </c>
      <c r="AI37" s="7">
        <f ca="1">IF(LEN(DATA!H45)&gt;0,SUMPRODUCT(OFFSET(DATA!$R$6,AI$5,0,1,10),DATA!$R45:$AA45),"")</f>
        <v>1.62</v>
      </c>
      <c r="AJ37" s="7">
        <f ca="1">IF(LEN(DATA!I45)&gt;0,SUMPRODUCT(OFFSET(DATA!$R$6,AJ$5,0,1,10),DATA!$R45:$AA45),"")</f>
        <v>2.5099999999999998</v>
      </c>
      <c r="AK37" s="7"/>
      <c r="AL37" s="7">
        <f t="shared" ca="1" si="2"/>
        <v>0.12473538988129823</v>
      </c>
      <c r="AM37" s="7">
        <f t="shared" ca="1" si="3"/>
        <v>1.2470569845066856E-2</v>
      </c>
      <c r="AN37" s="7">
        <f t="shared" ca="1" si="4"/>
        <v>0.10412147505422994</v>
      </c>
      <c r="AO37" s="7">
        <f t="shared" ca="1" si="5"/>
        <v>0.35140997830802612</v>
      </c>
      <c r="AP37" s="7">
        <f t="shared" ca="1" si="6"/>
        <v>0.86279404027363493</v>
      </c>
      <c r="AQ37" s="7">
        <f t="shared" ca="1" si="7"/>
        <v>0.54446854663774402</v>
      </c>
      <c r="AS37">
        <f t="shared" si="8"/>
        <v>31</v>
      </c>
      <c r="AT37">
        <f t="shared" si="9"/>
        <v>0</v>
      </c>
      <c r="AU37">
        <f t="shared" ca="1" si="10"/>
        <v>0.86902932519616838</v>
      </c>
      <c r="AV37">
        <f t="shared" ca="1" si="11"/>
        <v>1.0799830285496068E-2</v>
      </c>
      <c r="AW37">
        <f ca="1">IF(AND($AT37&lt;3,OFFSET(DATA!$C$14,$AS37,0)=AW$6),$AV37,dNULL)</f>
        <v>-99</v>
      </c>
      <c r="AX37">
        <f ca="1">IF(AND($AT37&lt;3,OFFSET(DATA!$C$14,$AS37,0)=AX$6),$AV37,dNULL)</f>
        <v>-99</v>
      </c>
      <c r="AY37">
        <f ca="1">IF(AND($AT37&lt;3,OFFSET(DATA!$C$14,$AS37,0)=AY$6),$AV37,dNULL)</f>
        <v>1.0799830285496068E-2</v>
      </c>
      <c r="AZ37">
        <f ca="1">IF(AND($AT37&lt;3,OFFSET(DATA!$C$14,$AS37,0)=AZ$6),$AV37,dNULL)</f>
        <v>-99</v>
      </c>
      <c r="BA37">
        <f ca="1">IF(AND($AT37&lt;3,OFFSET(DATA!$C$14,$AS37,0)=BA$6),$AV37,dNULL)</f>
        <v>-99</v>
      </c>
      <c r="BB37">
        <f ca="1">IF(AND($AT37&lt;3,OFFSET(DATA!$C$14,$AS37,0)=BB$6),$AV37,dNULL)</f>
        <v>-99</v>
      </c>
      <c r="BC37">
        <f ca="1">IF(AND($AT37&lt;3,OFFSET(DATA!$C$14,$AS37,0)=BC$6),$AV37,dNULL)</f>
        <v>-99</v>
      </c>
      <c r="BD37">
        <f ca="1">IF(AND($AT37&lt;3,OFFSET(DATA!$C$14,$AS37,0)=BD$6),$AV37,dNULL)</f>
        <v>-99</v>
      </c>
      <c r="BE37">
        <f ca="1">IF(AND($AT37&lt;3,OFFSET(DATA!$C$14,$AS37,0)=BE$6),$AV37,dNULL)</f>
        <v>-99</v>
      </c>
      <c r="BF37">
        <f ca="1">IF(AND($AT37&lt;3,OFFSET(DATA!$C$14,$AS37,0)=BF$6),$AV37,dNULL)</f>
        <v>-99</v>
      </c>
      <c r="BG37">
        <f ca="1">IF(AND($AT37&lt;3,OFFSET(DATA!$C$14,$AS37,0)=BG$6),$AV37,dNULL)</f>
        <v>-99</v>
      </c>
      <c r="BH37">
        <f ca="1">IF(AND($AT37&lt;3,OFFSET(DATA!$C$14,$AS37,0)=BH$6),$AV37,dNULL)</f>
        <v>-99</v>
      </c>
      <c r="BU37">
        <f t="shared" si="17"/>
        <v>1</v>
      </c>
      <c r="BV37">
        <f t="shared" si="19"/>
        <v>0.40000000000000008</v>
      </c>
      <c r="BW37">
        <f t="shared" ca="1" si="12"/>
        <v>0.2</v>
      </c>
      <c r="BX37">
        <f t="shared" ca="1" si="13"/>
        <v>-0.2</v>
      </c>
      <c r="BZ37" t="s">
        <v>124</v>
      </c>
      <c r="CA37">
        <v>1</v>
      </c>
      <c r="CB37" s="40" t="s">
        <v>122</v>
      </c>
    </row>
    <row r="38" spans="13:82" x14ac:dyDescent="0.25">
      <c r="N38">
        <f>IF(O37&lt;$L$8-$O$37/2,1-N7/2,dNULL)</f>
        <v>0.9</v>
      </c>
      <c r="O38">
        <f>O37</f>
        <v>0.17320508075688773</v>
      </c>
      <c r="Q38">
        <f t="shared" ref="Q38:Q47" si="29">1-Q16/2+NumberOFF*COS(T38*PI()/180)</f>
        <v>1.0375000000000001</v>
      </c>
      <c r="R38">
        <f t="shared" ref="R38:R47" si="30">IF(Q16&lt;=1,Q16*ApexCAT,dNULL)-SIN(T38*PI()/180)*NumberOFF</f>
        <v>6.4951905283832892E-2</v>
      </c>
      <c r="S38">
        <f>S16</f>
        <v>100</v>
      </c>
      <c r="T38">
        <v>-60</v>
      </c>
      <c r="Y38" s="26"/>
      <c r="Z38" s="26"/>
      <c r="AB38" s="26" t="str">
        <f t="shared" ca="1" si="1"/>
        <v>AW35</v>
      </c>
      <c r="AC38">
        <f t="shared" ca="1" si="14"/>
        <v>32</v>
      </c>
      <c r="AD38" t="str">
        <f ca="1">IF(AND(AT38&lt;1,MAX(AW38:BH38)&gt;dNULL),DATA!$D46,"")</f>
        <v>AW35</v>
      </c>
      <c r="AE38" s="7">
        <f ca="1">IF(LEN(DATA!D46)&gt;0,SUMPRODUCT(OFFSET(DATA!$R$6,AE$5,0,1,10),DATA!$R46:$AA46),"")</f>
        <v>0.83995808383233539</v>
      </c>
      <c r="AF38" s="7">
        <f ca="1">IF(LEN(DATA!E46)&gt;0,SUMPRODUCT(OFFSET(DATA!$R$6,AF$5,0,1,10),DATA!$R46:$AA46),"")</f>
        <v>3.9988483053636066E-2</v>
      </c>
      <c r="AG38" s="7">
        <f ca="1">IF(LEN(DATA!F46)&gt;0,SUMPRODUCT(OFFSET(DATA!$R$6,AG$5,0,1,10),DATA!$R46:$AA46),"")</f>
        <v>4.1499897703442281</v>
      </c>
      <c r="AH38" s="7">
        <f ca="1">IF(LEN(DATA!G46)&gt;0,SUMPRODUCT(OFFSET(DATA!$R$6,AH$5,0,1,10),DATA!$R46:$AA46),"")</f>
        <v>0.37</v>
      </c>
      <c r="AI38" s="7">
        <f ca="1">IF(LEN(DATA!H46)&gt;0,SUMPRODUCT(OFFSET(DATA!$R$6,AI$5,0,1,10),DATA!$R46:$AA46),"")</f>
        <v>2.08</v>
      </c>
      <c r="AJ38" s="7">
        <f ca="1">IF(LEN(DATA!I46)&gt;0,SUMPRODUCT(OFFSET(DATA!$R$6,AJ$5,0,1,10),DATA!$R46:$AA46),"")</f>
        <v>2.57</v>
      </c>
      <c r="AK38" s="7"/>
      <c r="AL38" s="7">
        <f t="shared" ca="1" si="2"/>
        <v>0.16699179224500271</v>
      </c>
      <c r="AM38" s="7">
        <f t="shared" ca="1" si="3"/>
        <v>7.9500972522559294E-3</v>
      </c>
      <c r="AN38" s="7">
        <f t="shared" ca="1" si="4"/>
        <v>7.370517928286853E-2</v>
      </c>
      <c r="AO38" s="7">
        <f t="shared" ca="1" si="5"/>
        <v>0.41434262948207179</v>
      </c>
      <c r="AP38" s="7">
        <f t="shared" ca="1" si="6"/>
        <v>0.82505811050274136</v>
      </c>
      <c r="AQ38" s="7">
        <f t="shared" ca="1" si="7"/>
        <v>0.51195219123505975</v>
      </c>
      <c r="AS38">
        <f t="shared" si="8"/>
        <v>32</v>
      </c>
      <c r="AT38">
        <f t="shared" si="9"/>
        <v>0</v>
      </c>
      <c r="AU38">
        <f t="shared" ca="1" si="10"/>
        <v>0.82903315912886932</v>
      </c>
      <c r="AV38">
        <f t="shared" ca="1" si="11"/>
        <v>6.8849861830104974E-3</v>
      </c>
      <c r="AW38">
        <f ca="1">IF(AND($AT38&lt;3,OFFSET(DATA!$C$14,$AS38,0)=AW$6),$AV38,dNULL)</f>
        <v>-99</v>
      </c>
      <c r="AX38">
        <f ca="1">IF(AND($AT38&lt;3,OFFSET(DATA!$C$14,$AS38,0)=AX$6),$AV38,dNULL)</f>
        <v>-99</v>
      </c>
      <c r="AY38">
        <f ca="1">IF(AND($AT38&lt;3,OFFSET(DATA!$C$14,$AS38,0)=AY$6),$AV38,dNULL)</f>
        <v>6.8849861830104974E-3</v>
      </c>
      <c r="AZ38">
        <f ca="1">IF(AND($AT38&lt;3,OFFSET(DATA!$C$14,$AS38,0)=AZ$6),$AV38,dNULL)</f>
        <v>-99</v>
      </c>
      <c r="BA38">
        <f ca="1">IF(AND($AT38&lt;3,OFFSET(DATA!$C$14,$AS38,0)=BA$6),$AV38,dNULL)</f>
        <v>-99</v>
      </c>
      <c r="BB38">
        <f ca="1">IF(AND($AT38&lt;3,OFFSET(DATA!$C$14,$AS38,0)=BB$6),$AV38,dNULL)</f>
        <v>-99</v>
      </c>
      <c r="BC38">
        <f ca="1">IF(AND($AT38&lt;3,OFFSET(DATA!$C$14,$AS38,0)=BC$6),$AV38,dNULL)</f>
        <v>-99</v>
      </c>
      <c r="BD38">
        <f ca="1">IF(AND($AT38&lt;3,OFFSET(DATA!$C$14,$AS38,0)=BD$6),$AV38,dNULL)</f>
        <v>-99</v>
      </c>
      <c r="BE38">
        <f ca="1">IF(AND($AT38&lt;3,OFFSET(DATA!$C$14,$AS38,0)=BE$6),$AV38,dNULL)</f>
        <v>-99</v>
      </c>
      <c r="BF38">
        <f ca="1">IF(AND($AT38&lt;3,OFFSET(DATA!$C$14,$AS38,0)=BF$6),$AV38,dNULL)</f>
        <v>-99</v>
      </c>
      <c r="BG38">
        <f ca="1">IF(AND($AT38&lt;3,OFFSET(DATA!$C$14,$AS38,0)=BG$6),$AV38,dNULL)</f>
        <v>-99</v>
      </c>
      <c r="BH38">
        <f ca="1">IF(AND($AT38&lt;3,OFFSET(DATA!$C$14,$AS38,0)=BH$6),$AV38,dNULL)</f>
        <v>-99</v>
      </c>
      <c r="BU38">
        <f t="shared" si="17"/>
        <v>1</v>
      </c>
      <c r="BV38">
        <f t="shared" si="19"/>
        <v>0.40000000000000008</v>
      </c>
      <c r="BW38">
        <f t="shared" ca="1" si="12"/>
        <v>2.5891256405187852</v>
      </c>
      <c r="BX38">
        <f t="shared" ca="1" si="13"/>
        <v>-2.1682662777723092</v>
      </c>
      <c r="BZ38" t="s">
        <v>150</v>
      </c>
      <c r="CA38">
        <v>1</v>
      </c>
      <c r="CB38" s="40" t="s">
        <v>123</v>
      </c>
    </row>
    <row r="39" spans="13:82" x14ac:dyDescent="0.25">
      <c r="Q39">
        <f t="shared" si="29"/>
        <v>0.9375</v>
      </c>
      <c r="R39">
        <f t="shared" si="30"/>
        <v>0.23815698604072061</v>
      </c>
      <c r="S39">
        <f t="shared" ref="S39:S47" si="31">S17</f>
        <v>80</v>
      </c>
      <c r="T39">
        <f t="shared" ref="T39:T47" si="32">T38</f>
        <v>-60</v>
      </c>
      <c r="Y39" s="26"/>
      <c r="Z39" s="26"/>
      <c r="AB39" s="26" t="str">
        <f t="shared" ca="1" si="1"/>
        <v>AW36</v>
      </c>
      <c r="AC39">
        <f t="shared" ca="1" si="14"/>
        <v>33</v>
      </c>
      <c r="AD39" t="str">
        <f ca="1">IF(AND(AT39&lt;1,MAX(AW39:BH39)&gt;dNULL),DATA!$D47,"")</f>
        <v>AW36</v>
      </c>
      <c r="AE39" s="7">
        <f ca="1">IF(LEN(DATA!D47)&gt;0,SUMPRODUCT(OFFSET(DATA!$R$6,AE$5,0,1,10),DATA!$R47:$AA47),"")</f>
        <v>1.9960079840319362</v>
      </c>
      <c r="AF39" s="7">
        <f ca="1">IF(LEN(DATA!E47)&gt;0,SUMPRODUCT(OFFSET(DATA!$R$6,AF$5,0,1,10),DATA!$R47:$AA47),"")</f>
        <v>1.1516946363935505</v>
      </c>
      <c r="AG39" s="7">
        <f ca="1">IF(LEN(DATA!F47)&gt;0,SUMPRODUCT(OFFSET(DATA!$R$6,AG$5,0,1,10),DATA!$R47:$AA47),"")</f>
        <v>4.5772949017263267</v>
      </c>
      <c r="AH39" s="7">
        <f ca="1">IF(LEN(DATA!G47)&gt;0,SUMPRODUCT(OFFSET(DATA!$R$6,AH$5,0,1,10),DATA!$R47:$AA47),"")</f>
        <v>0.942422449180227</v>
      </c>
      <c r="AI39" s="7">
        <f ca="1">IF(LEN(DATA!H47)&gt;0,SUMPRODUCT(OFFSET(DATA!$R$6,AI$5,0,1,10),DATA!$R47:$AA47),"")</f>
        <v>3.331195816018055</v>
      </c>
      <c r="AJ39" s="7">
        <f ca="1">IF(LEN(DATA!I47)&gt;0,SUMPRODUCT(OFFSET(DATA!$R$6,AJ$5,0,1,10),DATA!$R47:$AA47),"")</f>
        <v>3.442622950819672</v>
      </c>
      <c r="AK39" s="7"/>
      <c r="AL39" s="7">
        <f t="shared" ca="1" si="2"/>
        <v>0.25838299343246185</v>
      </c>
      <c r="AM39" s="7">
        <f t="shared" ca="1" si="3"/>
        <v>0.14908673214340962</v>
      </c>
      <c r="AN39" s="7">
        <f t="shared" ca="1" si="4"/>
        <v>0.12213491294490322</v>
      </c>
      <c r="AO39" s="7">
        <f t="shared" ca="1" si="5"/>
        <v>0.43171224470055553</v>
      </c>
      <c r="AP39" s="7">
        <f t="shared" ca="1" si="6"/>
        <v>0.59253027442412853</v>
      </c>
      <c r="AQ39" s="7">
        <f t="shared" ca="1" si="7"/>
        <v>0.44615284235454128</v>
      </c>
      <c r="AS39">
        <f t="shared" si="8"/>
        <v>33</v>
      </c>
      <c r="AT39">
        <f t="shared" si="9"/>
        <v>0</v>
      </c>
      <c r="AU39">
        <f t="shared" ca="1" si="10"/>
        <v>0.66707364049583329</v>
      </c>
      <c r="AV39">
        <f t="shared" ca="1" si="11"/>
        <v>0.12911289740339876</v>
      </c>
      <c r="AW39">
        <f ca="1">IF(AND($AT39&lt;3,OFFSET(DATA!$C$14,$AS39,0)=AW$6),$AV39,dNULL)</f>
        <v>-99</v>
      </c>
      <c r="AX39">
        <f ca="1">IF(AND($AT39&lt;3,OFFSET(DATA!$C$14,$AS39,0)=AX$6),$AV39,dNULL)</f>
        <v>-99</v>
      </c>
      <c r="AY39">
        <f ca="1">IF(AND($AT39&lt;3,OFFSET(DATA!$C$14,$AS39,0)=AY$6),$AV39,dNULL)</f>
        <v>0.12911289740339876</v>
      </c>
      <c r="AZ39">
        <f ca="1">IF(AND($AT39&lt;3,OFFSET(DATA!$C$14,$AS39,0)=AZ$6),$AV39,dNULL)</f>
        <v>-99</v>
      </c>
      <c r="BA39">
        <f ca="1">IF(AND($AT39&lt;3,OFFSET(DATA!$C$14,$AS39,0)=BA$6),$AV39,dNULL)</f>
        <v>-99</v>
      </c>
      <c r="BB39">
        <f ca="1">IF(AND($AT39&lt;3,OFFSET(DATA!$C$14,$AS39,0)=BB$6),$AV39,dNULL)</f>
        <v>-99</v>
      </c>
      <c r="BC39">
        <f ca="1">IF(AND($AT39&lt;3,OFFSET(DATA!$C$14,$AS39,0)=BC$6),$AV39,dNULL)</f>
        <v>-99</v>
      </c>
      <c r="BD39">
        <f ca="1">IF(AND($AT39&lt;3,OFFSET(DATA!$C$14,$AS39,0)=BD$6),$AV39,dNULL)</f>
        <v>-99</v>
      </c>
      <c r="BE39">
        <f ca="1">IF(AND($AT39&lt;3,OFFSET(DATA!$C$14,$AS39,0)=BE$6),$AV39,dNULL)</f>
        <v>-99</v>
      </c>
      <c r="BF39">
        <f ca="1">IF(AND($AT39&lt;3,OFFSET(DATA!$C$14,$AS39,0)=BF$6),$AV39,dNULL)</f>
        <v>-99</v>
      </c>
      <c r="BG39">
        <f ca="1">IF(AND($AT39&lt;3,OFFSET(DATA!$C$14,$AS39,0)=BG$6),$AV39,dNULL)</f>
        <v>-99</v>
      </c>
      <c r="BH39">
        <f ca="1">IF(AND($AT39&lt;3,OFFSET(DATA!$C$14,$AS39,0)=BH$6),$AV39,dNULL)</f>
        <v>-99</v>
      </c>
      <c r="BU39">
        <f t="shared" si="17"/>
        <v>1</v>
      </c>
      <c r="BV39">
        <f t="shared" si="19"/>
        <v>0.4200000000000001</v>
      </c>
      <c r="BW39">
        <f t="shared" ca="1" si="12"/>
        <v>0.2</v>
      </c>
      <c r="BX39">
        <f t="shared" ca="1" si="13"/>
        <v>-0.2</v>
      </c>
      <c r="BZ39" t="s">
        <v>150</v>
      </c>
      <c r="CA39">
        <v>0</v>
      </c>
      <c r="CB39" s="40" t="s">
        <v>137</v>
      </c>
    </row>
    <row r="40" spans="13:82" x14ac:dyDescent="0.25">
      <c r="N40">
        <f>IF(O40&lt;$L$8-$O$37/2,N10/2,dNULL)</f>
        <v>0.2</v>
      </c>
      <c r="O40">
        <f>O37+$O$37</f>
        <v>0.34641016151377546</v>
      </c>
      <c r="Q40">
        <f t="shared" si="29"/>
        <v>0.83750000000000002</v>
      </c>
      <c r="R40">
        <f t="shared" si="30"/>
        <v>0.41136206679760834</v>
      </c>
      <c r="S40">
        <f t="shared" si="31"/>
        <v>60</v>
      </c>
      <c r="T40">
        <f t="shared" si="32"/>
        <v>-60</v>
      </c>
      <c r="Y40" s="26"/>
      <c r="Z40" s="26"/>
      <c r="AB40" s="26" t="str">
        <f t="shared" ca="1" si="1"/>
        <v>AW37</v>
      </c>
      <c r="AC40">
        <f t="shared" ca="1" si="14"/>
        <v>34</v>
      </c>
      <c r="AD40" t="str">
        <f ca="1">IF(AND(AT40&lt;1,MAX(AW40:BH40)&gt;dNULL),DATA!$D48,"")</f>
        <v>AW37</v>
      </c>
      <c r="AE40" s="7">
        <f ca="1">IF(LEN(DATA!D48)&gt;0,SUMPRODUCT(OFFSET(DATA!$R$6,AE$5,0,1,10),DATA!$R48:$AA48),"")</f>
        <v>2.999850299401198</v>
      </c>
      <c r="AF40" s="7">
        <f ca="1">IF(LEN(DATA!E48)&gt;0,SUMPRODUCT(OFFSET(DATA!$R$6,AF$5,0,1,10),DATA!$R48:$AA48),"")</f>
        <v>0.63981572885817706</v>
      </c>
      <c r="AG40" s="7">
        <f ca="1">IF(LEN(DATA!F48)&gt;0,SUMPRODUCT(OFFSET(DATA!$R$6,AG$5,0,1,10),DATA!$R48:$AA48),"")</f>
        <v>6.6499744258605702</v>
      </c>
      <c r="AH40" s="7">
        <f ca="1">IF(LEN(DATA!G48)&gt;0,SUMPRODUCT(OFFSET(DATA!$R$6,AH$5,0,1,10),DATA!$R48:$AA48),"")</f>
        <v>1.85</v>
      </c>
      <c r="AI40" s="7">
        <f ca="1">IF(LEN(DATA!H48)&gt;0,SUMPRODUCT(OFFSET(DATA!$R$6,AI$5,0,1,10),DATA!$R48:$AA48),"")</f>
        <v>4.1399999999999997</v>
      </c>
      <c r="AJ40" s="7">
        <f ca="1">IF(LEN(DATA!I48)&gt;0,SUMPRODUCT(OFFSET(DATA!$R$6,AJ$5,0,1,10),DATA!$R48:$AA48),"")</f>
        <v>4.33</v>
      </c>
      <c r="AK40" s="7"/>
      <c r="AL40" s="7">
        <f t="shared" ca="1" si="2"/>
        <v>0.29154082815401638</v>
      </c>
      <c r="AM40" s="7">
        <f t="shared" ca="1" si="3"/>
        <v>6.2180571975379031E-2</v>
      </c>
      <c r="AN40" s="7">
        <f t="shared" ca="1" si="4"/>
        <v>0.17926356589147288</v>
      </c>
      <c r="AO40" s="7">
        <f t="shared" ca="1" si="5"/>
        <v>0.40116279069767435</v>
      </c>
      <c r="AP40" s="7">
        <f t="shared" ca="1" si="6"/>
        <v>0.64627859987060454</v>
      </c>
      <c r="AQ40" s="7">
        <f t="shared" ca="1" si="7"/>
        <v>0.41957364341085268</v>
      </c>
      <c r="AS40">
        <f t="shared" si="8"/>
        <v>34</v>
      </c>
      <c r="AT40">
        <f t="shared" si="9"/>
        <v>0</v>
      </c>
      <c r="AU40">
        <f t="shared" ca="1" si="10"/>
        <v>0.67736888585829413</v>
      </c>
      <c r="AV40">
        <f t="shared" ca="1" si="11"/>
        <v>5.3849954952524974E-2</v>
      </c>
      <c r="AW40">
        <f ca="1">IF(AND($AT40&lt;3,OFFSET(DATA!$C$14,$AS40,0)=AW$6),$AV40,dNULL)</f>
        <v>-99</v>
      </c>
      <c r="AX40">
        <f ca="1">IF(AND($AT40&lt;3,OFFSET(DATA!$C$14,$AS40,0)=AX$6),$AV40,dNULL)</f>
        <v>-99</v>
      </c>
      <c r="AY40">
        <f ca="1">IF(AND($AT40&lt;3,OFFSET(DATA!$C$14,$AS40,0)=AY$6),$AV40,dNULL)</f>
        <v>5.3849954952524974E-2</v>
      </c>
      <c r="AZ40">
        <f ca="1">IF(AND($AT40&lt;3,OFFSET(DATA!$C$14,$AS40,0)=AZ$6),$AV40,dNULL)</f>
        <v>-99</v>
      </c>
      <c r="BA40">
        <f ca="1">IF(AND($AT40&lt;3,OFFSET(DATA!$C$14,$AS40,0)=BA$6),$AV40,dNULL)</f>
        <v>-99</v>
      </c>
      <c r="BB40">
        <f ca="1">IF(AND($AT40&lt;3,OFFSET(DATA!$C$14,$AS40,0)=BB$6),$AV40,dNULL)</f>
        <v>-99</v>
      </c>
      <c r="BC40">
        <f ca="1">IF(AND($AT40&lt;3,OFFSET(DATA!$C$14,$AS40,0)=BC$6),$AV40,dNULL)</f>
        <v>-99</v>
      </c>
      <c r="BD40">
        <f ca="1">IF(AND($AT40&lt;3,OFFSET(DATA!$C$14,$AS40,0)=BD$6),$AV40,dNULL)</f>
        <v>-99</v>
      </c>
      <c r="BE40">
        <f ca="1">IF(AND($AT40&lt;3,OFFSET(DATA!$C$14,$AS40,0)=BE$6),$AV40,dNULL)</f>
        <v>-99</v>
      </c>
      <c r="BF40">
        <f ca="1">IF(AND($AT40&lt;3,OFFSET(DATA!$C$14,$AS40,0)=BF$6),$AV40,dNULL)</f>
        <v>-99</v>
      </c>
      <c r="BG40">
        <f ca="1">IF(AND($AT40&lt;3,OFFSET(DATA!$C$14,$AS40,0)=BG$6),$AV40,dNULL)</f>
        <v>-99</v>
      </c>
      <c r="BH40">
        <f ca="1">IF(AND($AT40&lt;3,OFFSET(DATA!$C$14,$AS40,0)=BH$6),$AV40,dNULL)</f>
        <v>-99</v>
      </c>
      <c r="BU40">
        <f t="shared" si="17"/>
        <v>1</v>
      </c>
      <c r="BV40">
        <f t="shared" si="19"/>
        <v>0.4200000000000001</v>
      </c>
      <c r="BW40">
        <f t="shared" ca="1" si="12"/>
        <v>2.5294078221041909</v>
      </c>
      <c r="BX40">
        <f t="shared" ca="1" si="13"/>
        <v>-2.1324894941046706</v>
      </c>
      <c r="BZ40" t="s">
        <v>125</v>
      </c>
      <c r="CA40">
        <v>0</v>
      </c>
      <c r="CB40" s="40" t="s">
        <v>126</v>
      </c>
    </row>
    <row r="41" spans="13:82" x14ac:dyDescent="0.25">
      <c r="N41">
        <f>IF(O40&lt;$L$8-$O$37/2,1-N10/2,dNULL)</f>
        <v>0.8</v>
      </c>
      <c r="O41">
        <f>O40</f>
        <v>0.34641016151377546</v>
      </c>
      <c r="Q41">
        <f t="shared" si="29"/>
        <v>0.73749999999999993</v>
      </c>
      <c r="R41">
        <f t="shared" si="30"/>
        <v>0.58456714755449612</v>
      </c>
      <c r="S41">
        <f t="shared" si="31"/>
        <v>39.999999999999993</v>
      </c>
      <c r="T41">
        <f t="shared" si="32"/>
        <v>-60</v>
      </c>
      <c r="Y41" s="26"/>
      <c r="Z41" s="26"/>
      <c r="AB41" s="26" t="str">
        <f t="shared" ca="1" si="1"/>
        <v>AW38</v>
      </c>
      <c r="AC41">
        <f t="shared" ca="1" si="14"/>
        <v>35</v>
      </c>
      <c r="AD41" t="str">
        <f ca="1">IF(AND(AT41&lt;1,MAX(AW41:BH41)&gt;dNULL),DATA!$D49,"")</f>
        <v>AW38</v>
      </c>
      <c r="AE41" s="7">
        <f ca="1">IF(LEN(DATA!D49)&gt;0,SUMPRODUCT(OFFSET(DATA!$R$6,AE$5,0,1,10),DATA!$R49:$AA49),"")</f>
        <v>1.0799461077844312</v>
      </c>
      <c r="AF41" s="7">
        <f ca="1">IF(LEN(DATA!E49)&gt;0,SUMPRODUCT(OFFSET(DATA!$R$6,AF$5,0,1,10),DATA!$R49:$AA49),"")</f>
        <v>7.9976966107272132E-2</v>
      </c>
      <c r="AG41" s="7">
        <f ca="1">IF(LEN(DATA!F49)&gt;0,SUMPRODUCT(OFFSET(DATA!$R$6,AG$5,0,1,10),DATA!$R49:$AA49),"")</f>
        <v>1.8699826095851875</v>
      </c>
      <c r="AH41" s="7">
        <f ca="1">IF(LEN(DATA!G49)&gt;0,SUMPRODUCT(OFFSET(DATA!$R$6,AH$5,0,1,10),DATA!$R49:$AA49),"")</f>
        <v>0.3</v>
      </c>
      <c r="AI41" s="7">
        <f ca="1">IF(LEN(DATA!H49)&gt;0,SUMPRODUCT(OFFSET(DATA!$R$6,AI$5,0,1,10),DATA!$R49:$AA49),"")</f>
        <v>0.57999999999999996</v>
      </c>
      <c r="AJ41" s="7">
        <f ca="1">IF(LEN(DATA!I49)&gt;0,SUMPRODUCT(OFFSET(DATA!$R$6,AJ$5,0,1,10),DATA!$R49:$AA49),"")</f>
        <v>2</v>
      </c>
      <c r="AK41" s="7"/>
      <c r="AL41" s="7">
        <f t="shared" ca="1" si="2"/>
        <v>0.35642895212010911</v>
      </c>
      <c r="AM41" s="7">
        <f t="shared" ca="1" si="3"/>
        <v>2.6395859958088401E-2</v>
      </c>
      <c r="AN41" s="7">
        <f t="shared" ca="1" si="4"/>
        <v>0.10416666666666667</v>
      </c>
      <c r="AO41" s="7">
        <f t="shared" ca="1" si="5"/>
        <v>0.2013888888888889</v>
      </c>
      <c r="AP41" s="7">
        <f t="shared" ca="1" si="6"/>
        <v>0.61717518792180248</v>
      </c>
      <c r="AQ41" s="7">
        <f t="shared" ca="1" si="7"/>
        <v>0.69444444444444442</v>
      </c>
      <c r="AS41">
        <f t="shared" si="8"/>
        <v>35</v>
      </c>
      <c r="AT41">
        <f t="shared" si="9"/>
        <v>0</v>
      </c>
      <c r="AU41">
        <f t="shared" ca="1" si="10"/>
        <v>0.6303731179008466</v>
      </c>
      <c r="AV41">
        <f t="shared" ca="1" si="11"/>
        <v>2.2859485278441002E-2</v>
      </c>
      <c r="AW41">
        <f ca="1">IF(AND($AT41&lt;3,OFFSET(DATA!$C$14,$AS41,0)=AW$6),$AV41,dNULL)</f>
        <v>-99</v>
      </c>
      <c r="AX41">
        <f ca="1">IF(AND($AT41&lt;3,OFFSET(DATA!$C$14,$AS41,0)=AX$6),$AV41,dNULL)</f>
        <v>-99</v>
      </c>
      <c r="AY41">
        <f ca="1">IF(AND($AT41&lt;3,OFFSET(DATA!$C$14,$AS41,0)=AY$6),$AV41,dNULL)</f>
        <v>2.2859485278441002E-2</v>
      </c>
      <c r="AZ41">
        <f ca="1">IF(AND($AT41&lt;3,OFFSET(DATA!$C$14,$AS41,0)=AZ$6),$AV41,dNULL)</f>
        <v>-99</v>
      </c>
      <c r="BA41">
        <f ca="1">IF(AND($AT41&lt;3,OFFSET(DATA!$C$14,$AS41,0)=BA$6),$AV41,dNULL)</f>
        <v>-99</v>
      </c>
      <c r="BB41">
        <f ca="1">IF(AND($AT41&lt;3,OFFSET(DATA!$C$14,$AS41,0)=BB$6),$AV41,dNULL)</f>
        <v>-99</v>
      </c>
      <c r="BC41">
        <f ca="1">IF(AND($AT41&lt;3,OFFSET(DATA!$C$14,$AS41,0)=BC$6),$AV41,dNULL)</f>
        <v>-99</v>
      </c>
      <c r="BD41">
        <f ca="1">IF(AND($AT41&lt;3,OFFSET(DATA!$C$14,$AS41,0)=BD$6),$AV41,dNULL)</f>
        <v>-99</v>
      </c>
      <c r="BE41">
        <f ca="1">IF(AND($AT41&lt;3,OFFSET(DATA!$C$14,$AS41,0)=BE$6),$AV41,dNULL)</f>
        <v>-99</v>
      </c>
      <c r="BF41">
        <f ca="1">IF(AND($AT41&lt;3,OFFSET(DATA!$C$14,$AS41,0)=BF$6),$AV41,dNULL)</f>
        <v>-99</v>
      </c>
      <c r="BG41">
        <f ca="1">IF(AND($AT41&lt;3,OFFSET(DATA!$C$14,$AS41,0)=BG$6),$AV41,dNULL)</f>
        <v>-99</v>
      </c>
      <c r="BH41">
        <f ca="1">IF(AND($AT41&lt;3,OFFSET(DATA!$C$14,$AS41,0)=BH$6),$AV41,dNULL)</f>
        <v>-99</v>
      </c>
      <c r="BU41">
        <f t="shared" si="17"/>
        <v>1</v>
      </c>
      <c r="BV41">
        <f t="shared" si="19"/>
        <v>0.44000000000000011</v>
      </c>
      <c r="BW41">
        <f t="shared" ca="1" si="12"/>
        <v>0.2</v>
      </c>
      <c r="BX41">
        <f t="shared" ca="1" si="13"/>
        <v>-0.2</v>
      </c>
      <c r="BZ41" t="s">
        <v>150</v>
      </c>
      <c r="CA41">
        <v>0</v>
      </c>
      <c r="CB41" s="40" t="s">
        <v>170</v>
      </c>
    </row>
    <row r="42" spans="13:82" x14ac:dyDescent="0.25">
      <c r="Q42">
        <f t="shared" si="29"/>
        <v>0.63749999999999996</v>
      </c>
      <c r="R42">
        <f t="shared" si="30"/>
        <v>0.7577722283113838</v>
      </c>
      <c r="S42">
        <f t="shared" si="31"/>
        <v>20</v>
      </c>
      <c r="T42">
        <f t="shared" si="32"/>
        <v>-60</v>
      </c>
      <c r="Y42" s="26"/>
      <c r="Z42" s="26"/>
      <c r="AB42" s="26" t="str">
        <f t="shared" ca="1" si="1"/>
        <v>AW39</v>
      </c>
      <c r="AC42">
        <f t="shared" ca="1" si="14"/>
        <v>36</v>
      </c>
      <c r="AD42" t="str">
        <f ca="1">IF(AND(AT42&lt;1,MAX(AW42:BH42)&gt;dNULL),DATA!$D50,"")</f>
        <v>AW39</v>
      </c>
      <c r="AE42" s="7">
        <f ca="1">IF(LEN(DATA!D50)&gt;0,SUMPRODUCT(OFFSET(DATA!$R$6,AE$5,0,1,10),DATA!$R50:$AA50),"")</f>
        <v>2.1398932135728548</v>
      </c>
      <c r="AF42" s="7">
        <f ca="1">IF(LEN(DATA!E50)&gt;0,SUMPRODUCT(OFFSET(DATA!$R$6,AF$5,0,1,10),DATA!$R50:$AA50),"")</f>
        <v>0.81976390259953924</v>
      </c>
      <c r="AG42" s="7">
        <f ca="1">IF(LEN(DATA!F50)&gt;0,SUMPRODUCT(OFFSET(DATA!$R$6,AG$5,0,1,10),DATA!$R50:$AA50),"")</f>
        <v>4.6599682880671063</v>
      </c>
      <c r="AH42" s="7">
        <f ca="1">IF(LEN(DATA!G50)&gt;0,SUMPRODUCT(OFFSET(DATA!$R$6,AH$5,0,1,10),DATA!$R50:$AA50),"")</f>
        <v>0.68</v>
      </c>
      <c r="AI42" s="7">
        <f ca="1">IF(LEN(DATA!H50)&gt;0,SUMPRODUCT(OFFSET(DATA!$R$6,AI$5,0,1,10),DATA!$R50:$AA50),"")</f>
        <v>1.86</v>
      </c>
      <c r="AJ42" s="7">
        <f ca="1">IF(LEN(DATA!I50)&gt;0,SUMPRODUCT(OFFSET(DATA!$R$6,AJ$5,0,1,10),DATA!$R50:$AA50),"")</f>
        <v>4.83</v>
      </c>
      <c r="AK42" s="7"/>
      <c r="AL42" s="7">
        <f t="shared" ca="1" si="2"/>
        <v>0.28083968699855444</v>
      </c>
      <c r="AM42" s="7">
        <f t="shared" ca="1" si="3"/>
        <v>0.10758585351760587</v>
      </c>
      <c r="AN42" s="7">
        <f t="shared" ca="1" si="4"/>
        <v>9.2265943012211679E-2</v>
      </c>
      <c r="AO42" s="7">
        <f t="shared" ca="1" si="5"/>
        <v>0.25237449118046135</v>
      </c>
      <c r="AP42" s="7">
        <f t="shared" ca="1" si="6"/>
        <v>0.61157445948383982</v>
      </c>
      <c r="AQ42" s="7">
        <f t="shared" ca="1" si="7"/>
        <v>0.65535956580732702</v>
      </c>
      <c r="AS42">
        <f t="shared" si="8"/>
        <v>36</v>
      </c>
      <c r="AT42">
        <f t="shared" si="9"/>
        <v>0</v>
      </c>
      <c r="AU42">
        <f t="shared" ca="1" si="10"/>
        <v>0.66536738624264258</v>
      </c>
      <c r="AV42">
        <f t="shared" ca="1" si="11"/>
        <v>9.3172082234078094E-2</v>
      </c>
      <c r="AW42">
        <f ca="1">IF(AND($AT42&lt;3,OFFSET(DATA!$C$14,$AS42,0)=AW$6),$AV42,dNULL)</f>
        <v>-99</v>
      </c>
      <c r="AX42">
        <f ca="1">IF(AND($AT42&lt;3,OFFSET(DATA!$C$14,$AS42,0)=AX$6),$AV42,dNULL)</f>
        <v>-99</v>
      </c>
      <c r="AY42">
        <f ca="1">IF(AND($AT42&lt;3,OFFSET(DATA!$C$14,$AS42,0)=AY$6),$AV42,dNULL)</f>
        <v>9.3172082234078094E-2</v>
      </c>
      <c r="AZ42">
        <f ca="1">IF(AND($AT42&lt;3,OFFSET(DATA!$C$14,$AS42,0)=AZ$6),$AV42,dNULL)</f>
        <v>-99</v>
      </c>
      <c r="BA42">
        <f ca="1">IF(AND($AT42&lt;3,OFFSET(DATA!$C$14,$AS42,0)=BA$6),$AV42,dNULL)</f>
        <v>-99</v>
      </c>
      <c r="BB42">
        <f ca="1">IF(AND($AT42&lt;3,OFFSET(DATA!$C$14,$AS42,0)=BB$6),$AV42,dNULL)</f>
        <v>-99</v>
      </c>
      <c r="BC42">
        <f ca="1">IF(AND($AT42&lt;3,OFFSET(DATA!$C$14,$AS42,0)=BC$6),$AV42,dNULL)</f>
        <v>-99</v>
      </c>
      <c r="BD42">
        <f ca="1">IF(AND($AT42&lt;3,OFFSET(DATA!$C$14,$AS42,0)=BD$6),$AV42,dNULL)</f>
        <v>-99</v>
      </c>
      <c r="BE42">
        <f ca="1">IF(AND($AT42&lt;3,OFFSET(DATA!$C$14,$AS42,0)=BE$6),$AV42,dNULL)</f>
        <v>-99</v>
      </c>
      <c r="BF42">
        <f ca="1">IF(AND($AT42&lt;3,OFFSET(DATA!$C$14,$AS42,0)=BF$6),$AV42,dNULL)</f>
        <v>-99</v>
      </c>
      <c r="BG42">
        <f ca="1">IF(AND($AT42&lt;3,OFFSET(DATA!$C$14,$AS42,0)=BG$6),$AV42,dNULL)</f>
        <v>-99</v>
      </c>
      <c r="BH42">
        <f ca="1">IF(AND($AT42&lt;3,OFFSET(DATA!$C$14,$AS42,0)=BH$6),$AV42,dNULL)</f>
        <v>-99</v>
      </c>
      <c r="BU42">
        <f t="shared" si="17"/>
        <v>1</v>
      </c>
      <c r="BV42">
        <f t="shared" si="19"/>
        <v>0.44000000000000011</v>
      </c>
      <c r="BW42">
        <f t="shared" ca="1" si="12"/>
        <v>2.4696900036895966</v>
      </c>
      <c r="BX42">
        <f t="shared" ca="1" si="13"/>
        <v>-2.0967127104370324</v>
      </c>
      <c r="BZ42" t="s">
        <v>150</v>
      </c>
      <c r="CA42">
        <v>2</v>
      </c>
      <c r="CB42" s="40" t="s">
        <v>138</v>
      </c>
    </row>
    <row r="43" spans="13:82" x14ac:dyDescent="0.25">
      <c r="N43">
        <f>IF(O43&lt;$L$8-$O$37/2,N13/2,dNULL)</f>
        <v>0.30000000000000004</v>
      </c>
      <c r="O43">
        <f>O40+$O$37</f>
        <v>0.51961524227066325</v>
      </c>
      <c r="Q43">
        <f t="shared" si="29"/>
        <v>0.53749999999999998</v>
      </c>
      <c r="R43">
        <f t="shared" si="30"/>
        <v>0.93097730906827147</v>
      </c>
      <c r="S43">
        <f t="shared" si="31"/>
        <v>0</v>
      </c>
      <c r="T43">
        <f t="shared" si="32"/>
        <v>-60</v>
      </c>
      <c r="Y43" s="26"/>
      <c r="Z43" s="26"/>
      <c r="AB43" s="26" t="str">
        <f t="shared" ca="1" si="1"/>
        <v>AW40</v>
      </c>
      <c r="AC43">
        <f t="shared" ca="1" si="14"/>
        <v>37</v>
      </c>
      <c r="AD43" t="str">
        <f ca="1">IF(AND(AT43&lt;1,MAX(AW43:BH43)&gt;dNULL),DATA!$D51,"")</f>
        <v>AW40</v>
      </c>
      <c r="AE43" s="7">
        <f ca="1">IF(LEN(DATA!D51)&gt;0,SUMPRODUCT(OFFSET(DATA!$R$6,AE$5,0,1,10),DATA!$R51:$AA51),"")</f>
        <v>1.1999401197604791</v>
      </c>
      <c r="AF43" s="7">
        <f ca="1">IF(LEN(DATA!E51)&gt;0,SUMPRODUCT(OFFSET(DATA!$R$6,AF$5,0,1,10),DATA!$R51:$AA51),"")</f>
        <v>0.97971783481408348</v>
      </c>
      <c r="AG43" s="7">
        <f ca="1">IF(LEN(DATA!F51)&gt;0,SUMPRODUCT(OFFSET(DATA!$R$6,AG$5,0,1,10),DATA!$R51:$AA51),"")</f>
        <v>4.6199498746867169</v>
      </c>
      <c r="AH43" s="7">
        <f ca="1">IF(LEN(DATA!G51)&gt;0,SUMPRODUCT(OFFSET(DATA!$R$6,AH$5,0,1,10),DATA!$R51:$AA51),"")</f>
        <v>0.51</v>
      </c>
      <c r="AI43" s="7">
        <f ca="1">IF(LEN(DATA!H51)&gt;0,SUMPRODUCT(OFFSET(DATA!$R$6,AI$5,0,1,10),DATA!$R51:$AA51),"")</f>
        <v>2.08</v>
      </c>
      <c r="AJ43" s="7">
        <f ca="1">IF(LEN(DATA!I51)&gt;0,SUMPRODUCT(OFFSET(DATA!$R$6,AJ$5,0,1,10),DATA!$R51:$AA51),"")</f>
        <v>4.3099999999999996</v>
      </c>
      <c r="AK43" s="7"/>
      <c r="AL43" s="7">
        <f t="shared" ca="1" si="2"/>
        <v>0.17647195983813707</v>
      </c>
      <c r="AM43" s="7">
        <f t="shared" ca="1" si="3"/>
        <v>0.14408446184175325</v>
      </c>
      <c r="AN43" s="7">
        <f t="shared" ca="1" si="4"/>
        <v>7.3913043478260873E-2</v>
      </c>
      <c r="AO43" s="7">
        <f t="shared" ca="1" si="5"/>
        <v>0.30144927536231886</v>
      </c>
      <c r="AP43" s="7">
        <f t="shared" ca="1" si="6"/>
        <v>0.6794435783201096</v>
      </c>
      <c r="AQ43" s="7">
        <f t="shared" ca="1" si="7"/>
        <v>0.62463768115942031</v>
      </c>
      <c r="AS43">
        <f t="shared" si="8"/>
        <v>37</v>
      </c>
      <c r="AT43">
        <f t="shared" si="9"/>
        <v>0</v>
      </c>
      <c r="AU43">
        <f t="shared" ca="1" si="10"/>
        <v>0.7514858092409864</v>
      </c>
      <c r="AV43">
        <f t="shared" ca="1" si="11"/>
        <v>0.12478080424556789</v>
      </c>
      <c r="AW43">
        <f ca="1">IF(AND($AT43&lt;3,OFFSET(DATA!$C$14,$AS43,0)=AW$6),$AV43,dNULL)</f>
        <v>-99</v>
      </c>
      <c r="AX43">
        <f ca="1">IF(AND($AT43&lt;3,OFFSET(DATA!$C$14,$AS43,0)=AX$6),$AV43,dNULL)</f>
        <v>-99</v>
      </c>
      <c r="AY43">
        <f ca="1">IF(AND($AT43&lt;3,OFFSET(DATA!$C$14,$AS43,0)=AY$6),$AV43,dNULL)</f>
        <v>0.12478080424556789</v>
      </c>
      <c r="AZ43">
        <f ca="1">IF(AND($AT43&lt;3,OFFSET(DATA!$C$14,$AS43,0)=AZ$6),$AV43,dNULL)</f>
        <v>-99</v>
      </c>
      <c r="BA43">
        <f ca="1">IF(AND($AT43&lt;3,OFFSET(DATA!$C$14,$AS43,0)=BA$6),$AV43,dNULL)</f>
        <v>-99</v>
      </c>
      <c r="BB43">
        <f ca="1">IF(AND($AT43&lt;3,OFFSET(DATA!$C$14,$AS43,0)=BB$6),$AV43,dNULL)</f>
        <v>-99</v>
      </c>
      <c r="BC43">
        <f ca="1">IF(AND($AT43&lt;3,OFFSET(DATA!$C$14,$AS43,0)=BC$6),$AV43,dNULL)</f>
        <v>-99</v>
      </c>
      <c r="BD43">
        <f ca="1">IF(AND($AT43&lt;3,OFFSET(DATA!$C$14,$AS43,0)=BD$6),$AV43,dNULL)</f>
        <v>-99</v>
      </c>
      <c r="BE43">
        <f ca="1">IF(AND($AT43&lt;3,OFFSET(DATA!$C$14,$AS43,0)=BE$6),$AV43,dNULL)</f>
        <v>-99</v>
      </c>
      <c r="BF43">
        <f ca="1">IF(AND($AT43&lt;3,OFFSET(DATA!$C$14,$AS43,0)=BF$6),$AV43,dNULL)</f>
        <v>-99</v>
      </c>
      <c r="BG43">
        <f ca="1">IF(AND($AT43&lt;3,OFFSET(DATA!$C$14,$AS43,0)=BG$6),$AV43,dNULL)</f>
        <v>-99</v>
      </c>
      <c r="BH43">
        <f ca="1">IF(AND($AT43&lt;3,OFFSET(DATA!$C$14,$AS43,0)=BH$6),$AV43,dNULL)</f>
        <v>-99</v>
      </c>
      <c r="BU43">
        <f t="shared" si="17"/>
        <v>1</v>
      </c>
      <c r="BV43">
        <f t="shared" si="19"/>
        <v>0.46000000000000013</v>
      </c>
      <c r="BW43">
        <f t="shared" ca="1" si="12"/>
        <v>0.2</v>
      </c>
      <c r="BX43">
        <f t="shared" ca="1" si="13"/>
        <v>-0.2</v>
      </c>
      <c r="BZ43" t="s">
        <v>140</v>
      </c>
      <c r="CA43">
        <v>2</v>
      </c>
      <c r="CB43" s="40" t="s">
        <v>139</v>
      </c>
    </row>
    <row r="44" spans="13:82" x14ac:dyDescent="0.25">
      <c r="N44">
        <f>IF(O43&lt;$L$8-$O$37/2,1-N13/2,dNULL)</f>
        <v>0.7</v>
      </c>
      <c r="O44">
        <f>O43</f>
        <v>0.51961524227066325</v>
      </c>
      <c r="Q44">
        <f t="shared" si="29"/>
        <v>0.4375</v>
      </c>
      <c r="R44">
        <f t="shared" si="30"/>
        <v>-98.935048094716166</v>
      </c>
      <c r="S44">
        <f t="shared" si="31"/>
        <v>-20</v>
      </c>
      <c r="T44">
        <f t="shared" si="32"/>
        <v>-60</v>
      </c>
      <c r="Y44" s="26"/>
      <c r="Z44" s="26"/>
      <c r="AB44" s="26" t="str">
        <f t="shared" ca="1" si="1"/>
        <v>AW41</v>
      </c>
      <c r="AC44">
        <f t="shared" ca="1" si="14"/>
        <v>38</v>
      </c>
      <c r="AD44" t="str">
        <f ca="1">IF(AND(AT44&lt;1,MAX(AW44:BH44)&gt;dNULL),DATA!$D52,"")</f>
        <v>AW41</v>
      </c>
      <c r="AE44" s="7">
        <f ca="1">IF(LEN(DATA!D52)&gt;0,SUMPRODUCT(OFFSET(DATA!$R$6,AE$5,0,1,10),DATA!$R52:$AA52),"")</f>
        <v>1.4471057884231537</v>
      </c>
      <c r="AF44" s="7">
        <f ca="1">IF(LEN(DATA!E52)&gt;0,SUMPRODUCT(OFFSET(DATA!$R$6,AF$5,0,1,10),DATA!$R52:$AA52),"")</f>
        <v>0.98716683119447179</v>
      </c>
      <c r="AG44" s="7">
        <f ca="1">IF(LEN(DATA!F52)&gt;0,SUMPRODUCT(OFFSET(DATA!$R$6,AG$5,0,1,10),DATA!$R52:$AA52),"")</f>
        <v>5.4677684716937351</v>
      </c>
      <c r="AH44" s="7">
        <f ca="1">IF(LEN(DATA!G52)&gt;0,SUMPRODUCT(OFFSET(DATA!$R$6,AH$5,0,1,10),DATA!$R52:$AA52),"")</f>
        <v>0.75888039663887574</v>
      </c>
      <c r="AI44" s="7">
        <f ca="1">IF(LEN(DATA!H52)&gt;0,SUMPRODUCT(OFFSET(DATA!$R$6,AI$5,0,1,10),DATA!$R52:$AA52),"")</f>
        <v>1.5406780649083505</v>
      </c>
      <c r="AJ44" s="7">
        <f ca="1">IF(LEN(DATA!I52)&gt;0,SUMPRODUCT(OFFSET(DATA!$R$6,AJ$5,0,1,10),DATA!$R52:$AA52),"")</f>
        <v>5.7377049180327866</v>
      </c>
      <c r="AK44" s="7"/>
      <c r="AL44" s="7">
        <f t="shared" ca="1" si="2"/>
        <v>0.183130633174549</v>
      </c>
      <c r="AM44" s="7">
        <f t="shared" ca="1" si="3"/>
        <v>0.12492555022017095</v>
      </c>
      <c r="AN44" s="7">
        <f t="shared" ca="1" si="4"/>
        <v>9.4420247390042733E-2</v>
      </c>
      <c r="AO44" s="7">
        <f t="shared" ca="1" si="5"/>
        <v>0.19169187223883891</v>
      </c>
      <c r="AP44" s="7">
        <f t="shared" ca="1" si="6"/>
        <v>0.69194381660528004</v>
      </c>
      <c r="AQ44" s="7">
        <f t="shared" ca="1" si="7"/>
        <v>0.71388788037111839</v>
      </c>
      <c r="AS44">
        <f t="shared" si="8"/>
        <v>38</v>
      </c>
      <c r="AT44">
        <f t="shared" si="9"/>
        <v>0</v>
      </c>
      <c r="AU44">
        <f t="shared" ca="1" si="10"/>
        <v>0.7544065917153655</v>
      </c>
      <c r="AV44">
        <f t="shared" ca="1" si="11"/>
        <v>0.10818870007241671</v>
      </c>
      <c r="AW44">
        <f ca="1">IF(AND($AT44&lt;3,OFFSET(DATA!$C$14,$AS44,0)=AW$6),$AV44,dNULL)</f>
        <v>-99</v>
      </c>
      <c r="AX44">
        <f ca="1">IF(AND($AT44&lt;3,OFFSET(DATA!$C$14,$AS44,0)=AX$6),$AV44,dNULL)</f>
        <v>-99</v>
      </c>
      <c r="AY44">
        <f ca="1">IF(AND($AT44&lt;3,OFFSET(DATA!$C$14,$AS44,0)=AY$6),$AV44,dNULL)</f>
        <v>0.10818870007241671</v>
      </c>
      <c r="AZ44">
        <f ca="1">IF(AND($AT44&lt;3,OFFSET(DATA!$C$14,$AS44,0)=AZ$6),$AV44,dNULL)</f>
        <v>-99</v>
      </c>
      <c r="BA44">
        <f ca="1">IF(AND($AT44&lt;3,OFFSET(DATA!$C$14,$AS44,0)=BA$6),$AV44,dNULL)</f>
        <v>-99</v>
      </c>
      <c r="BB44">
        <f ca="1">IF(AND($AT44&lt;3,OFFSET(DATA!$C$14,$AS44,0)=BB$6),$AV44,dNULL)</f>
        <v>-99</v>
      </c>
      <c r="BC44">
        <f ca="1">IF(AND($AT44&lt;3,OFFSET(DATA!$C$14,$AS44,0)=BC$6),$AV44,dNULL)</f>
        <v>-99</v>
      </c>
      <c r="BD44">
        <f ca="1">IF(AND($AT44&lt;3,OFFSET(DATA!$C$14,$AS44,0)=BD$6),$AV44,dNULL)</f>
        <v>-99</v>
      </c>
      <c r="BE44">
        <f ca="1">IF(AND($AT44&lt;3,OFFSET(DATA!$C$14,$AS44,0)=BE$6),$AV44,dNULL)</f>
        <v>-99</v>
      </c>
      <c r="BF44">
        <f ca="1">IF(AND($AT44&lt;3,OFFSET(DATA!$C$14,$AS44,0)=BF$6),$AV44,dNULL)</f>
        <v>-99</v>
      </c>
      <c r="BG44">
        <f ca="1">IF(AND($AT44&lt;3,OFFSET(DATA!$C$14,$AS44,0)=BG$6),$AV44,dNULL)</f>
        <v>-99</v>
      </c>
      <c r="BH44">
        <f ca="1">IF(AND($AT44&lt;3,OFFSET(DATA!$C$14,$AS44,0)=BH$6),$AV44,dNULL)</f>
        <v>-99</v>
      </c>
      <c r="BU44">
        <f t="shared" si="17"/>
        <v>1</v>
      </c>
      <c r="BV44">
        <f t="shared" si="19"/>
        <v>0.46000000000000013</v>
      </c>
      <c r="BW44">
        <f t="shared" ca="1" si="12"/>
        <v>2.4099721852750022</v>
      </c>
      <c r="BX44">
        <f t="shared" ca="1" si="13"/>
        <v>-2.0609359267693939</v>
      </c>
      <c r="BZ44" t="s">
        <v>150</v>
      </c>
      <c r="CA44">
        <v>2</v>
      </c>
      <c r="CB44" s="40" t="s">
        <v>141</v>
      </c>
      <c r="CD44" t="s">
        <v>169</v>
      </c>
    </row>
    <row r="45" spans="13:82" x14ac:dyDescent="0.25">
      <c r="Q45">
        <f t="shared" si="29"/>
        <v>0.33750000000000002</v>
      </c>
      <c r="R45">
        <f t="shared" si="30"/>
        <v>-98.935048094716166</v>
      </c>
      <c r="S45">
        <f t="shared" si="31"/>
        <v>-40</v>
      </c>
      <c r="T45">
        <f t="shared" si="32"/>
        <v>-60</v>
      </c>
      <c r="Y45" s="26"/>
      <c r="Z45" s="26"/>
      <c r="AB45" s="26" t="str">
        <f t="shared" ca="1" si="1"/>
        <v>AW42</v>
      </c>
      <c r="AC45">
        <f t="shared" ca="1" si="14"/>
        <v>39</v>
      </c>
      <c r="AD45" t="str">
        <f ca="1">IF(AND(AT45&lt;1,MAX(AW45:BH45)&gt;dNULL),DATA!$D53,"")</f>
        <v>AW42</v>
      </c>
      <c r="AE45" s="7">
        <f ca="1">IF(LEN(DATA!D53)&gt;0,SUMPRODUCT(OFFSET(DATA!$R$6,AE$5,0,1,10),DATA!$R53:$AA53),"")</f>
        <v>1.6999151696606787</v>
      </c>
      <c r="AF45" s="7">
        <f ca="1">IF(LEN(DATA!E53)&gt;0,SUMPRODUCT(OFFSET(DATA!$R$6,AF$5,0,1,10),DATA!$R53:$AA53),"")</f>
        <v>0.69979845343863101</v>
      </c>
      <c r="AG45" s="7">
        <f ca="1">IF(LEN(DATA!F53)&gt;0,SUMPRODUCT(OFFSET(DATA!$R$6,AG$5,0,1,10),DATA!$R53:$AA53),"")</f>
        <v>4.6099693110326836</v>
      </c>
      <c r="AH45" s="7">
        <f ca="1">IF(LEN(DATA!G53)&gt;0,SUMPRODUCT(OFFSET(DATA!$R$6,AH$5,0,1,10),DATA!$R53:$AA53),"")</f>
        <v>0.87</v>
      </c>
      <c r="AI45" s="7">
        <f ca="1">IF(LEN(DATA!H53)&gt;0,SUMPRODUCT(OFFSET(DATA!$R$6,AI$5,0,1,10),DATA!$R53:$AA53),"")</f>
        <v>1.88</v>
      </c>
      <c r="AJ45" s="7">
        <f ca="1">IF(LEN(DATA!I53)&gt;0,SUMPRODUCT(OFFSET(DATA!$R$6,AJ$5,0,1,10),DATA!$R53:$AA53),"")</f>
        <v>3.68</v>
      </c>
      <c r="AK45" s="7"/>
      <c r="AL45" s="7">
        <f t="shared" ca="1" si="2"/>
        <v>0.24250956650026834</v>
      </c>
      <c r="AM45" s="7">
        <f t="shared" ca="1" si="3"/>
        <v>9.9833110857429505E-2</v>
      </c>
      <c r="AN45" s="7">
        <f t="shared" ca="1" si="4"/>
        <v>0.13530326594090203</v>
      </c>
      <c r="AO45" s="7">
        <f t="shared" ca="1" si="5"/>
        <v>0.29237947122861585</v>
      </c>
      <c r="AP45" s="7">
        <f t="shared" ca="1" si="6"/>
        <v>0.65765732264230226</v>
      </c>
      <c r="AQ45" s="7">
        <f t="shared" ca="1" si="7"/>
        <v>0.57231726283048212</v>
      </c>
      <c r="AS45">
        <f t="shared" si="8"/>
        <v>39</v>
      </c>
      <c r="AT45">
        <f t="shared" si="9"/>
        <v>0</v>
      </c>
      <c r="AU45">
        <f t="shared" ca="1" si="10"/>
        <v>0.7075738780710169</v>
      </c>
      <c r="AV45">
        <f t="shared" ca="1" si="11"/>
        <v>8.6458010141362007E-2</v>
      </c>
      <c r="AW45">
        <f ca="1">IF(AND($AT45&lt;3,OFFSET(DATA!$C$14,$AS45,0)=AW$6),$AV45,dNULL)</f>
        <v>-99</v>
      </c>
      <c r="AX45">
        <f ca="1">IF(AND($AT45&lt;3,OFFSET(DATA!$C$14,$AS45,0)=AX$6),$AV45,dNULL)</f>
        <v>-99</v>
      </c>
      <c r="AY45">
        <f ca="1">IF(AND($AT45&lt;3,OFFSET(DATA!$C$14,$AS45,0)=AY$6),$AV45,dNULL)</f>
        <v>8.6458010141362007E-2</v>
      </c>
      <c r="AZ45">
        <f ca="1">IF(AND($AT45&lt;3,OFFSET(DATA!$C$14,$AS45,0)=AZ$6),$AV45,dNULL)</f>
        <v>-99</v>
      </c>
      <c r="BA45">
        <f ca="1">IF(AND($AT45&lt;3,OFFSET(DATA!$C$14,$AS45,0)=BA$6),$AV45,dNULL)</f>
        <v>-99</v>
      </c>
      <c r="BB45">
        <f ca="1">IF(AND($AT45&lt;3,OFFSET(DATA!$C$14,$AS45,0)=BB$6),$AV45,dNULL)</f>
        <v>-99</v>
      </c>
      <c r="BC45">
        <f ca="1">IF(AND($AT45&lt;3,OFFSET(DATA!$C$14,$AS45,0)=BC$6),$AV45,dNULL)</f>
        <v>-99</v>
      </c>
      <c r="BD45">
        <f ca="1">IF(AND($AT45&lt;3,OFFSET(DATA!$C$14,$AS45,0)=BD$6),$AV45,dNULL)</f>
        <v>-99</v>
      </c>
      <c r="BE45">
        <f ca="1">IF(AND($AT45&lt;3,OFFSET(DATA!$C$14,$AS45,0)=BE$6),$AV45,dNULL)</f>
        <v>-99</v>
      </c>
      <c r="BF45">
        <f ca="1">IF(AND($AT45&lt;3,OFFSET(DATA!$C$14,$AS45,0)=BF$6),$AV45,dNULL)</f>
        <v>-99</v>
      </c>
      <c r="BG45">
        <f ca="1">IF(AND($AT45&lt;3,OFFSET(DATA!$C$14,$AS45,0)=BG$6),$AV45,dNULL)</f>
        <v>-99</v>
      </c>
      <c r="BH45">
        <f ca="1">IF(AND($AT45&lt;3,OFFSET(DATA!$C$14,$AS45,0)=BH$6),$AV45,dNULL)</f>
        <v>-99</v>
      </c>
      <c r="BU45">
        <f t="shared" si="17"/>
        <v>1</v>
      </c>
      <c r="BV45">
        <f t="shared" si="19"/>
        <v>0.48000000000000015</v>
      </c>
      <c r="BW45">
        <f t="shared" ca="1" si="12"/>
        <v>0.2</v>
      </c>
      <c r="BX45">
        <f t="shared" ca="1" si="13"/>
        <v>-0.2</v>
      </c>
      <c r="BZ45" t="s">
        <v>150</v>
      </c>
      <c r="CA45">
        <v>2</v>
      </c>
      <c r="CB45" s="40" t="s">
        <v>157</v>
      </c>
    </row>
    <row r="46" spans="13:82" x14ac:dyDescent="0.25">
      <c r="N46">
        <f>IF(O46&lt;$L$8-$O$37/2,N16/2,dNULL)</f>
        <v>0.4</v>
      </c>
      <c r="O46">
        <f>O43+$O$37</f>
        <v>0.69282032302755092</v>
      </c>
      <c r="Q46">
        <f t="shared" si="29"/>
        <v>0.23750000000000007</v>
      </c>
      <c r="R46">
        <f t="shared" si="30"/>
        <v>-98.935048094716166</v>
      </c>
      <c r="S46">
        <f t="shared" si="31"/>
        <v>-60</v>
      </c>
      <c r="T46">
        <f t="shared" si="32"/>
        <v>-60</v>
      </c>
      <c r="Y46" s="26"/>
      <c r="Z46" s="26"/>
      <c r="AB46" s="26" t="str">
        <f t="shared" ca="1" si="1"/>
        <v>AW45</v>
      </c>
      <c r="AC46">
        <f t="shared" ca="1" si="14"/>
        <v>40</v>
      </c>
      <c r="AD46" t="str">
        <f ca="1">IF(AND(AT46&lt;1,MAX(AW46:BH46)&gt;dNULL),DATA!$D54,"")</f>
        <v>AW45</v>
      </c>
      <c r="AE46" s="7">
        <f ca="1">IF(LEN(DATA!D54)&gt;0,SUMPRODUCT(OFFSET(DATA!$R$6,AE$5,0,1,10),DATA!$R54:$AA54),"")</f>
        <v>2.9198542914171659</v>
      </c>
      <c r="AF46" s="7">
        <f ca="1">IF(LEN(DATA!E54)&gt;0,SUMPRODUCT(OFFSET(DATA!$R$6,AF$5,0,1,10),DATA!$R54:$AA54),"")</f>
        <v>0.51985027969726882</v>
      </c>
      <c r="AG46" s="7">
        <f ca="1">IF(LEN(DATA!F54)&gt;0,SUMPRODUCT(OFFSET(DATA!$R$6,AG$5,0,1,10),DATA!$R54:$AA54),"")</f>
        <v>8.1799662421359525</v>
      </c>
      <c r="AH46" s="7">
        <f ca="1">IF(LEN(DATA!G54)&gt;0,SUMPRODUCT(OFFSET(DATA!$R$6,AH$5,0,1,10),DATA!$R54:$AA54),"")</f>
        <v>2.25</v>
      </c>
      <c r="AI46" s="7">
        <f ca="1">IF(LEN(DATA!H54)&gt;0,SUMPRODUCT(OFFSET(DATA!$R$6,AI$5,0,1,10),DATA!$R54:$AA54),"")</f>
        <v>4.22</v>
      </c>
      <c r="AJ46" s="7">
        <f ca="1">IF(LEN(DATA!I54)&gt;0,SUMPRODUCT(OFFSET(DATA!$R$6,AJ$5,0,1,10),DATA!$R54:$AA54),"")</f>
        <v>4.8499999999999996</v>
      </c>
      <c r="AK46" s="7"/>
      <c r="AL46" s="7">
        <f t="shared" ca="1" si="2"/>
        <v>0.25128545707917443</v>
      </c>
      <c r="AM46" s="7">
        <f t="shared" ca="1" si="3"/>
        <v>4.4738813005310116E-2</v>
      </c>
      <c r="AN46" s="7">
        <f t="shared" ca="1" si="4"/>
        <v>0.19876325088339222</v>
      </c>
      <c r="AO46" s="7">
        <f t="shared" ca="1" si="5"/>
        <v>0.37279151943462896</v>
      </c>
      <c r="AP46" s="7">
        <f t="shared" ca="1" si="6"/>
        <v>0.70397572991551549</v>
      </c>
      <c r="AQ46" s="7">
        <f t="shared" ca="1" si="7"/>
        <v>0.42844522968197873</v>
      </c>
      <c r="AS46">
        <f t="shared" si="8"/>
        <v>40</v>
      </c>
      <c r="AT46">
        <f t="shared" si="9"/>
        <v>0</v>
      </c>
      <c r="AU46">
        <f t="shared" ca="1" si="10"/>
        <v>0.72634513641817045</v>
      </c>
      <c r="AV46">
        <f t="shared" ca="1" si="11"/>
        <v>3.8744948597760183E-2</v>
      </c>
      <c r="AW46">
        <f ca="1">IF(AND($AT46&lt;3,OFFSET(DATA!$C$14,$AS46,0)=AW$6),$AV46,dNULL)</f>
        <v>-99</v>
      </c>
      <c r="AX46">
        <f ca="1">IF(AND($AT46&lt;3,OFFSET(DATA!$C$14,$AS46,0)=AX$6),$AV46,dNULL)</f>
        <v>-99</v>
      </c>
      <c r="AY46">
        <f ca="1">IF(AND($AT46&lt;3,OFFSET(DATA!$C$14,$AS46,0)=AY$6),$AV46,dNULL)</f>
        <v>-99</v>
      </c>
      <c r="AZ46">
        <f ca="1">IF(AND($AT46&lt;3,OFFSET(DATA!$C$14,$AS46,0)=AZ$6),$AV46,dNULL)</f>
        <v>-99</v>
      </c>
      <c r="BA46">
        <f ca="1">IF(AND($AT46&lt;3,OFFSET(DATA!$C$14,$AS46,0)=BA$6),$AV46,dNULL)</f>
        <v>-99</v>
      </c>
      <c r="BB46">
        <f ca="1">IF(AND($AT46&lt;3,OFFSET(DATA!$C$14,$AS46,0)=BB$6),$AV46,dNULL)</f>
        <v>3.8744948597760183E-2</v>
      </c>
      <c r="BC46">
        <f ca="1">IF(AND($AT46&lt;3,OFFSET(DATA!$C$14,$AS46,0)=BC$6),$AV46,dNULL)</f>
        <v>-99</v>
      </c>
      <c r="BD46">
        <f ca="1">IF(AND($AT46&lt;3,OFFSET(DATA!$C$14,$AS46,0)=BD$6),$AV46,dNULL)</f>
        <v>-99</v>
      </c>
      <c r="BE46">
        <f ca="1">IF(AND($AT46&lt;3,OFFSET(DATA!$C$14,$AS46,0)=BE$6),$AV46,dNULL)</f>
        <v>-99</v>
      </c>
      <c r="BF46">
        <f ca="1">IF(AND($AT46&lt;3,OFFSET(DATA!$C$14,$AS46,0)=BF$6),$AV46,dNULL)</f>
        <v>-99</v>
      </c>
      <c r="BG46">
        <f ca="1">IF(AND($AT46&lt;3,OFFSET(DATA!$C$14,$AS46,0)=BG$6),$AV46,dNULL)</f>
        <v>-99</v>
      </c>
      <c r="BH46">
        <f ca="1">IF(AND($AT46&lt;3,OFFSET(DATA!$C$14,$AS46,0)=BH$6),$AV46,dNULL)</f>
        <v>-99</v>
      </c>
      <c r="BU46">
        <f t="shared" si="17"/>
        <v>1</v>
      </c>
      <c r="BV46">
        <f t="shared" si="19"/>
        <v>0.48000000000000015</v>
      </c>
      <c r="BW46">
        <f t="shared" ca="1" si="12"/>
        <v>2.3502543668604075</v>
      </c>
      <c r="BX46">
        <f t="shared" ca="1" si="13"/>
        <v>-2.0251591431017557</v>
      </c>
      <c r="BZ46" t="s">
        <v>150</v>
      </c>
      <c r="CA46">
        <v>2</v>
      </c>
      <c r="CB46" s="40" t="s">
        <v>158</v>
      </c>
    </row>
    <row r="47" spans="13:82" x14ac:dyDescent="0.25">
      <c r="N47">
        <f>IF(O46&lt;$L$8-$O$37/2,1-N16/2,dNULL)</f>
        <v>0.6</v>
      </c>
      <c r="O47">
        <f>O46</f>
        <v>0.69282032302755092</v>
      </c>
      <c r="Q47">
        <f t="shared" si="29"/>
        <v>0.13750000000000009</v>
      </c>
      <c r="R47">
        <f t="shared" si="30"/>
        <v>-98.935048094716166</v>
      </c>
      <c r="S47">
        <f t="shared" si="31"/>
        <v>-79.999999999999972</v>
      </c>
      <c r="T47">
        <f t="shared" si="32"/>
        <v>-60</v>
      </c>
      <c r="Y47" s="26"/>
      <c r="Z47" s="26"/>
      <c r="AB47" s="26" t="str">
        <f t="shared" ca="1" si="1"/>
        <v>AW46</v>
      </c>
      <c r="AC47">
        <f t="shared" ca="1" si="14"/>
        <v>41</v>
      </c>
      <c r="AD47" t="str">
        <f ca="1">IF(AND(AT47&lt;1,MAX(AW47:BH47)&gt;dNULL),DATA!$D55,"")</f>
        <v>AW46</v>
      </c>
      <c r="AE47" s="7">
        <f ca="1">IF(LEN(DATA!D55)&gt;0,SUMPRODUCT(OFFSET(DATA!$R$6,AE$5,0,1,10),DATA!$R55:$AA55),"")</f>
        <v>2.6398682634730544</v>
      </c>
      <c r="AF47" s="7">
        <f ca="1">IF(LEN(DATA!E55)&gt;0,SUMPRODUCT(OFFSET(DATA!$R$6,AF$5,0,1,10),DATA!$R55:$AA55),"")</f>
        <v>0.77977541954590335</v>
      </c>
      <c r="AG47" s="7">
        <f ca="1">IF(LEN(DATA!F55)&gt;0,SUMPRODUCT(OFFSET(DATA!$R$6,AG$5,0,1,10),DATA!$R55:$AA55),"")</f>
        <v>6.3499734028949923</v>
      </c>
      <c r="AH47" s="7">
        <f ca="1">IF(LEN(DATA!G55)&gt;0,SUMPRODUCT(OFFSET(DATA!$R$6,AH$5,0,1,10),DATA!$R55:$AA55),"")</f>
        <v>1.78</v>
      </c>
      <c r="AI47" s="7">
        <f ca="1">IF(LEN(DATA!H55)&gt;0,SUMPRODUCT(OFFSET(DATA!$R$6,AI$5,0,1,10),DATA!$R55:$AA55),"")</f>
        <v>3.74</v>
      </c>
      <c r="AJ47" s="7">
        <f ca="1">IF(LEN(DATA!I55)&gt;0,SUMPRODUCT(OFFSET(DATA!$R$6,AJ$5,0,1,10),DATA!$R55:$AA55),"")</f>
        <v>4.1100000000000003</v>
      </c>
      <c r="AK47" s="7"/>
      <c r="AL47" s="7">
        <f t="shared" ca="1" si="2"/>
        <v>0.27021205030433332</v>
      </c>
      <c r="AM47" s="7">
        <f t="shared" ca="1" si="3"/>
        <v>7.9816374857741429E-2</v>
      </c>
      <c r="AN47" s="7">
        <f t="shared" ca="1" si="4"/>
        <v>0.18483904465212875</v>
      </c>
      <c r="AO47" s="7">
        <f t="shared" ca="1" si="5"/>
        <v>0.38836967808930423</v>
      </c>
      <c r="AP47" s="7">
        <f t="shared" ca="1" si="6"/>
        <v>0.64997157483792523</v>
      </c>
      <c r="AQ47" s="7">
        <f t="shared" ca="1" si="7"/>
        <v>0.42679127725856697</v>
      </c>
      <c r="AS47">
        <f t="shared" si="8"/>
        <v>41</v>
      </c>
      <c r="AT47">
        <f t="shared" si="9"/>
        <v>0</v>
      </c>
      <c r="AU47">
        <f t="shared" ca="1" si="10"/>
        <v>0.68987976226679604</v>
      </c>
      <c r="AV47">
        <f t="shared" ca="1" si="11"/>
        <v>6.9123008264785638E-2</v>
      </c>
      <c r="AW47">
        <f ca="1">IF(AND($AT47&lt;3,OFFSET(DATA!$C$14,$AS47,0)=AW$6),$AV47,dNULL)</f>
        <v>-99</v>
      </c>
      <c r="AX47">
        <f ca="1">IF(AND($AT47&lt;3,OFFSET(DATA!$C$14,$AS47,0)=AX$6),$AV47,dNULL)</f>
        <v>-99</v>
      </c>
      <c r="AY47">
        <f ca="1">IF(AND($AT47&lt;3,OFFSET(DATA!$C$14,$AS47,0)=AY$6),$AV47,dNULL)</f>
        <v>-99</v>
      </c>
      <c r="AZ47">
        <f ca="1">IF(AND($AT47&lt;3,OFFSET(DATA!$C$14,$AS47,0)=AZ$6),$AV47,dNULL)</f>
        <v>-99</v>
      </c>
      <c r="BA47">
        <f ca="1">IF(AND($AT47&lt;3,OFFSET(DATA!$C$14,$AS47,0)=BA$6),$AV47,dNULL)</f>
        <v>-99</v>
      </c>
      <c r="BB47">
        <f ca="1">IF(AND($AT47&lt;3,OFFSET(DATA!$C$14,$AS47,0)=BB$6),$AV47,dNULL)</f>
        <v>6.9123008264785638E-2</v>
      </c>
      <c r="BC47">
        <f ca="1">IF(AND($AT47&lt;3,OFFSET(DATA!$C$14,$AS47,0)=BC$6),$AV47,dNULL)</f>
        <v>-99</v>
      </c>
      <c r="BD47">
        <f ca="1">IF(AND($AT47&lt;3,OFFSET(DATA!$C$14,$AS47,0)=BD$6),$AV47,dNULL)</f>
        <v>-99</v>
      </c>
      <c r="BE47">
        <f ca="1">IF(AND($AT47&lt;3,OFFSET(DATA!$C$14,$AS47,0)=BE$6),$AV47,dNULL)</f>
        <v>-99</v>
      </c>
      <c r="BF47">
        <f ca="1">IF(AND($AT47&lt;3,OFFSET(DATA!$C$14,$AS47,0)=BF$6),$AV47,dNULL)</f>
        <v>-99</v>
      </c>
      <c r="BG47">
        <f ca="1">IF(AND($AT47&lt;3,OFFSET(DATA!$C$14,$AS47,0)=BG$6),$AV47,dNULL)</f>
        <v>-99</v>
      </c>
      <c r="BH47">
        <f ca="1">IF(AND($AT47&lt;3,OFFSET(DATA!$C$14,$AS47,0)=BH$6),$AV47,dNULL)</f>
        <v>-99</v>
      </c>
      <c r="BU47">
        <f t="shared" si="17"/>
        <v>1</v>
      </c>
      <c r="BV47">
        <f t="shared" si="19"/>
        <v>0.50000000000000011</v>
      </c>
      <c r="BW47">
        <f t="shared" ca="1" si="12"/>
        <v>0.2</v>
      </c>
      <c r="BX47">
        <f t="shared" ca="1" si="13"/>
        <v>-0.2</v>
      </c>
      <c r="BZ47" t="s">
        <v>150</v>
      </c>
      <c r="CA47">
        <v>2</v>
      </c>
      <c r="CB47" s="40" t="s">
        <v>159</v>
      </c>
    </row>
    <row r="48" spans="13:82" x14ac:dyDescent="0.25">
      <c r="Y48" s="26"/>
      <c r="Z48" s="26"/>
      <c r="AB48" s="26" t="str">
        <f t="shared" ca="1" si="1"/>
        <v>AW48</v>
      </c>
      <c r="AC48">
        <f t="shared" ca="1" si="14"/>
        <v>42</v>
      </c>
      <c r="AD48" t="str">
        <f ca="1">IF(AND(AT48&lt;1,MAX(AW48:BH48)&gt;dNULL),DATA!$D56,"")</f>
        <v>AW48</v>
      </c>
      <c r="AE48" s="7">
        <f ca="1">IF(LEN(DATA!D56)&gt;0,SUMPRODUCT(OFFSET(DATA!$R$6,AE$5,0,1,10),DATA!$R56:$AA56),"")</f>
        <v>2.7398632734530945</v>
      </c>
      <c r="AF48" s="7">
        <f ca="1">IF(LEN(DATA!E56)&gt;0,SUMPRODUCT(OFFSET(DATA!$R$6,AF$5,0,1,10),DATA!$R56:$AA56),"")</f>
        <v>0.89974086870681147</v>
      </c>
      <c r="AG48" s="7">
        <f ca="1">IF(LEN(DATA!F56)&gt;0,SUMPRODUCT(OFFSET(DATA!$R$6,AG$5,0,1,10),DATA!$R56:$AA56),"")</f>
        <v>6.8299693110326842</v>
      </c>
      <c r="AH48" s="7">
        <f ca="1">IF(LEN(DATA!G56)&gt;0,SUMPRODUCT(OFFSET(DATA!$R$6,AH$5,0,1,10),DATA!$R56:$AA56),"")</f>
        <v>1.72</v>
      </c>
      <c r="AI48" s="7">
        <f ca="1">IF(LEN(DATA!H56)&gt;0,SUMPRODUCT(OFFSET(DATA!$R$6,AI$5,0,1,10),DATA!$R56:$AA56),"")</f>
        <v>3.96</v>
      </c>
      <c r="AJ48" s="7">
        <f ca="1">IF(LEN(DATA!I56)&gt;0,SUMPRODUCT(OFFSET(DATA!$R$6,AJ$5,0,1,10),DATA!$R56:$AA56),"")</f>
        <v>4.45</v>
      </c>
      <c r="AK48" s="7"/>
      <c r="AL48" s="7">
        <f t="shared" ca="1" si="2"/>
        <v>0.26169769816339566</v>
      </c>
      <c r="AM48" s="7">
        <f t="shared" ca="1" si="3"/>
        <v>8.5938636633992441E-2</v>
      </c>
      <c r="AN48" s="7">
        <f t="shared" ca="1" si="4"/>
        <v>0.16979269496544919</v>
      </c>
      <c r="AO48" s="7">
        <f t="shared" ca="1" si="5"/>
        <v>0.39091806515301092</v>
      </c>
      <c r="AP48" s="7">
        <f t="shared" ca="1" si="6"/>
        <v>0.65236366520261191</v>
      </c>
      <c r="AQ48" s="7">
        <f t="shared" ca="1" si="7"/>
        <v>0.43928923988154006</v>
      </c>
      <c r="AS48">
        <f t="shared" si="8"/>
        <v>42</v>
      </c>
      <c r="AT48">
        <f t="shared" si="9"/>
        <v>0</v>
      </c>
      <c r="AU48">
        <f t="shared" ca="1" si="10"/>
        <v>0.69533298351960815</v>
      </c>
      <c r="AV48">
        <f t="shared" ca="1" si="11"/>
        <v>7.442504249163745E-2</v>
      </c>
      <c r="AW48">
        <f ca="1">IF(AND($AT48&lt;3,OFFSET(DATA!$C$14,$AS48,0)=AW$6),$AV48,dNULL)</f>
        <v>-99</v>
      </c>
      <c r="AX48">
        <f ca="1">IF(AND($AT48&lt;3,OFFSET(DATA!$C$14,$AS48,0)=AX$6),$AV48,dNULL)</f>
        <v>-99</v>
      </c>
      <c r="AY48">
        <f ca="1">IF(AND($AT48&lt;3,OFFSET(DATA!$C$14,$AS48,0)=AY$6),$AV48,dNULL)</f>
        <v>-99</v>
      </c>
      <c r="AZ48">
        <f ca="1">IF(AND($AT48&lt;3,OFFSET(DATA!$C$14,$AS48,0)=AZ$6),$AV48,dNULL)</f>
        <v>-99</v>
      </c>
      <c r="BA48">
        <f ca="1">IF(AND($AT48&lt;3,OFFSET(DATA!$C$14,$AS48,0)=BA$6),$AV48,dNULL)</f>
        <v>-99</v>
      </c>
      <c r="BB48">
        <f ca="1">IF(AND($AT48&lt;3,OFFSET(DATA!$C$14,$AS48,0)=BB$6),$AV48,dNULL)</f>
        <v>7.442504249163745E-2</v>
      </c>
      <c r="BC48">
        <f ca="1">IF(AND($AT48&lt;3,OFFSET(DATA!$C$14,$AS48,0)=BC$6),$AV48,dNULL)</f>
        <v>-99</v>
      </c>
      <c r="BD48">
        <f ca="1">IF(AND($AT48&lt;3,OFFSET(DATA!$C$14,$AS48,0)=BD$6),$AV48,dNULL)</f>
        <v>-99</v>
      </c>
      <c r="BE48">
        <f ca="1">IF(AND($AT48&lt;3,OFFSET(DATA!$C$14,$AS48,0)=BE$6),$AV48,dNULL)</f>
        <v>-99</v>
      </c>
      <c r="BF48">
        <f ca="1">IF(AND($AT48&lt;3,OFFSET(DATA!$C$14,$AS48,0)=BF$6),$AV48,dNULL)</f>
        <v>-99</v>
      </c>
      <c r="BG48">
        <f ca="1">IF(AND($AT48&lt;3,OFFSET(DATA!$C$14,$AS48,0)=BG$6),$AV48,dNULL)</f>
        <v>-99</v>
      </c>
      <c r="BH48">
        <f ca="1">IF(AND($AT48&lt;3,OFFSET(DATA!$C$14,$AS48,0)=BH$6),$AV48,dNULL)</f>
        <v>-99</v>
      </c>
      <c r="BU48">
        <f t="shared" si="17"/>
        <v>1</v>
      </c>
      <c r="BV48">
        <f t="shared" si="19"/>
        <v>0.50000000000000011</v>
      </c>
      <c r="BW48">
        <f t="shared" ca="1" si="12"/>
        <v>2.2905365484458136</v>
      </c>
      <c r="BX48">
        <f t="shared" ca="1" si="13"/>
        <v>-1.9893823594341171</v>
      </c>
      <c r="BZ48" t="s">
        <v>155</v>
      </c>
      <c r="CA48">
        <v>2</v>
      </c>
      <c r="CB48" s="40" t="s">
        <v>155</v>
      </c>
    </row>
    <row r="49" spans="14:80" x14ac:dyDescent="0.25">
      <c r="N49">
        <f>IF(O49&lt;$L$8-$O$37/2,N19/2,dNULL)</f>
        <v>-99</v>
      </c>
      <c r="O49">
        <f>O46+$O$37</f>
        <v>0.8660254037844386</v>
      </c>
      <c r="Q49">
        <f t="shared" ref="Q49:Q58" si="33">Q16+1+dAnionOFF</f>
        <v>1.3</v>
      </c>
      <c r="R49">
        <f t="shared" ref="R49:R58" si="34">R16</f>
        <v>-7.4999999999999997E-2</v>
      </c>
      <c r="S49">
        <f>S27</f>
        <v>0</v>
      </c>
      <c r="T49">
        <f t="shared" ref="T49:T58" si="35">T16</f>
        <v>0</v>
      </c>
      <c r="Y49" s="26"/>
      <c r="Z49" s="26"/>
      <c r="AB49" s="26" t="str">
        <f t="shared" ca="1" si="1"/>
        <v>AW49</v>
      </c>
      <c r="AC49">
        <f t="shared" ca="1" si="14"/>
        <v>43</v>
      </c>
      <c r="AD49" t="str">
        <f ca="1">IF(AND(AT49&lt;1,MAX(AW49:BH49)&gt;dNULL),DATA!$D57,"")</f>
        <v>AW49</v>
      </c>
      <c r="AE49" s="7">
        <f ca="1">IF(LEN(DATA!D57)&gt;0,SUMPRODUCT(OFFSET(DATA!$R$6,AE$5,0,1,10),DATA!$R57:$AA57),"")</f>
        <v>3.2998353293413172</v>
      </c>
      <c r="AF49" s="7">
        <f ca="1">IF(LEN(DATA!E57)&gt;0,SUMPRODUCT(OFFSET(DATA!$R$6,AF$5,0,1,10),DATA!$R57:$AA57),"")</f>
        <v>0.89974086870681147</v>
      </c>
      <c r="AG49" s="7">
        <f ca="1">IF(LEN(DATA!F57)&gt;0,SUMPRODUCT(OFFSET(DATA!$R$6,AG$5,0,1,10),DATA!$R57:$AA57),"")</f>
        <v>7.6999682880671063</v>
      </c>
      <c r="AH49" s="7">
        <f ca="1">IF(LEN(DATA!G57)&gt;0,SUMPRODUCT(OFFSET(DATA!$R$6,AH$5,0,1,10),DATA!$R57:$AA57),"")</f>
        <v>2.34</v>
      </c>
      <c r="AI49" s="7">
        <f ca="1">IF(LEN(DATA!H57)&gt;0,SUMPRODUCT(OFFSET(DATA!$R$6,AI$5,0,1,10),DATA!$R57:$AA57),"")</f>
        <v>4.9000000000000004</v>
      </c>
      <c r="AJ49" s="7">
        <f ca="1">IF(LEN(DATA!I57)&gt;0,SUMPRODUCT(OFFSET(DATA!$R$6,AJ$5,0,1,10),DATA!$R57:$AA57),"")</f>
        <v>3.92</v>
      </c>
      <c r="AK49" s="7"/>
      <c r="AL49" s="7">
        <f t="shared" ca="1" si="2"/>
        <v>0.27730770141593819</v>
      </c>
      <c r="AM49" s="7">
        <f t="shared" ca="1" si="3"/>
        <v>7.5611370650083082E-2</v>
      </c>
      <c r="AN49" s="7">
        <f t="shared" ca="1" si="4"/>
        <v>0.20967741935483869</v>
      </c>
      <c r="AO49" s="7">
        <f t="shared" ca="1" si="5"/>
        <v>0.43906810035842297</v>
      </c>
      <c r="AP49" s="7">
        <f t="shared" ca="1" si="6"/>
        <v>0.64708092793397864</v>
      </c>
      <c r="AQ49" s="7">
        <f t="shared" ca="1" si="7"/>
        <v>0.35125448028673834</v>
      </c>
      <c r="AS49">
        <f t="shared" si="8"/>
        <v>43</v>
      </c>
      <c r="AT49">
        <f t="shared" si="9"/>
        <v>0</v>
      </c>
      <c r="AU49">
        <f t="shared" ca="1" si="10"/>
        <v>0.68488661325902023</v>
      </c>
      <c r="AV49">
        <f t="shared" ca="1" si="11"/>
        <v>6.5481367797933052E-2</v>
      </c>
      <c r="AW49">
        <f ca="1">IF(AND($AT49&lt;3,OFFSET(DATA!$C$14,$AS49,0)=AW$6),$AV49,dNULL)</f>
        <v>-99</v>
      </c>
      <c r="AX49">
        <f ca="1">IF(AND($AT49&lt;3,OFFSET(DATA!$C$14,$AS49,0)=AX$6),$AV49,dNULL)</f>
        <v>-99</v>
      </c>
      <c r="AY49">
        <f ca="1">IF(AND($AT49&lt;3,OFFSET(DATA!$C$14,$AS49,0)=AY$6),$AV49,dNULL)</f>
        <v>-99</v>
      </c>
      <c r="AZ49">
        <f ca="1">IF(AND($AT49&lt;3,OFFSET(DATA!$C$14,$AS49,0)=AZ$6),$AV49,dNULL)</f>
        <v>-99</v>
      </c>
      <c r="BA49">
        <f ca="1">IF(AND($AT49&lt;3,OFFSET(DATA!$C$14,$AS49,0)=BA$6),$AV49,dNULL)</f>
        <v>-99</v>
      </c>
      <c r="BB49">
        <f ca="1">IF(AND($AT49&lt;3,OFFSET(DATA!$C$14,$AS49,0)=BB$6),$AV49,dNULL)</f>
        <v>6.5481367797933052E-2</v>
      </c>
      <c r="BC49">
        <f ca="1">IF(AND($AT49&lt;3,OFFSET(DATA!$C$14,$AS49,0)=BC$6),$AV49,dNULL)</f>
        <v>-99</v>
      </c>
      <c r="BD49">
        <f ca="1">IF(AND($AT49&lt;3,OFFSET(DATA!$C$14,$AS49,0)=BD$6),$AV49,dNULL)</f>
        <v>-99</v>
      </c>
      <c r="BE49">
        <f ca="1">IF(AND($AT49&lt;3,OFFSET(DATA!$C$14,$AS49,0)=BE$6),$AV49,dNULL)</f>
        <v>-99</v>
      </c>
      <c r="BF49">
        <f ca="1">IF(AND($AT49&lt;3,OFFSET(DATA!$C$14,$AS49,0)=BF$6),$AV49,dNULL)</f>
        <v>-99</v>
      </c>
      <c r="BG49">
        <f ca="1">IF(AND($AT49&lt;3,OFFSET(DATA!$C$14,$AS49,0)=BG$6),$AV49,dNULL)</f>
        <v>-99</v>
      </c>
      <c r="BH49">
        <f ca="1">IF(AND($AT49&lt;3,OFFSET(DATA!$C$14,$AS49,0)=BH$6),$AV49,dNULL)</f>
        <v>-99</v>
      </c>
      <c r="BU49">
        <f t="shared" si="17"/>
        <v>1</v>
      </c>
      <c r="BV49">
        <f t="shared" si="19"/>
        <v>0.52000000000000013</v>
      </c>
      <c r="BW49">
        <f t="shared" ca="1" si="12"/>
        <v>0.2</v>
      </c>
      <c r="BX49">
        <f t="shared" ca="1" si="13"/>
        <v>-0.2</v>
      </c>
      <c r="BZ49" t="s">
        <v>150</v>
      </c>
      <c r="CA49">
        <v>2</v>
      </c>
      <c r="CB49" s="40" t="s">
        <v>160</v>
      </c>
    </row>
    <row r="50" spans="14:80" x14ac:dyDescent="0.25">
      <c r="N50">
        <f>IF(O49&lt;$L$8-$O$37/2,1-N19/2,dNULL)</f>
        <v>-99</v>
      </c>
      <c r="O50">
        <f>O49</f>
        <v>0.8660254037844386</v>
      </c>
      <c r="Q50">
        <f t="shared" si="33"/>
        <v>1.5</v>
      </c>
      <c r="R50">
        <f t="shared" si="34"/>
        <v>-7.4999999999999997E-2</v>
      </c>
      <c r="S50">
        <f t="shared" ref="S50:S58" si="36">S28</f>
        <v>20</v>
      </c>
      <c r="T50">
        <f t="shared" si="35"/>
        <v>0</v>
      </c>
      <c r="Y50" s="26"/>
      <c r="Z50" s="26"/>
      <c r="AB50" s="26" t="str">
        <f t="shared" ca="1" si="1"/>
        <v>AW52</v>
      </c>
      <c r="AC50">
        <f t="shared" ca="1" si="14"/>
        <v>44</v>
      </c>
      <c r="AD50" t="str">
        <f ca="1">IF(AND(AT50&lt;1,MAX(AW50:BH50)&gt;dNULL),DATA!$D58,"")</f>
        <v>AW52</v>
      </c>
      <c r="AE50" s="7">
        <f ca="1">IF(LEN(DATA!D58)&gt;0,SUMPRODUCT(OFFSET(DATA!$R$6,AE$5,0,1,10),DATA!$R58:$AA58),"")</f>
        <v>2.999850299401198</v>
      </c>
      <c r="AF50" s="7">
        <f ca="1">IF(LEN(DATA!E58)&gt;0,SUMPRODUCT(OFFSET(DATA!$R$6,AF$5,0,1,10),DATA!$R58:$AA58),"")</f>
        <v>0.63981572885817706</v>
      </c>
      <c r="AG50" s="7">
        <f ca="1">IF(LEN(DATA!F58)&gt;0,SUMPRODUCT(OFFSET(DATA!$R$6,AG$5,0,1,10),DATA!$R58:$AA58),"")</f>
        <v>7.1399682880671067</v>
      </c>
      <c r="AH50" s="7">
        <f ca="1">IF(LEN(DATA!G58)&gt;0,SUMPRODUCT(OFFSET(DATA!$R$6,AH$5,0,1,10),DATA!$R58:$AA58),"")</f>
        <v>1.95</v>
      </c>
      <c r="AI50" s="7">
        <f ca="1">IF(LEN(DATA!H58)&gt;0,SUMPRODUCT(OFFSET(DATA!$R$6,AI$5,0,1,10),DATA!$R58:$AA58),"")</f>
        <v>3.72</v>
      </c>
      <c r="AJ50" s="7">
        <f ca="1">IF(LEN(DATA!I58)&gt;0,SUMPRODUCT(OFFSET(DATA!$R$6,AJ$5,0,1,10),DATA!$R58:$AA58),"")</f>
        <v>4.95</v>
      </c>
      <c r="AK50" s="7"/>
      <c r="AL50" s="7">
        <f t="shared" ca="1" si="2"/>
        <v>0.27828868877840529</v>
      </c>
      <c r="AM50" s="7">
        <f t="shared" ca="1" si="3"/>
        <v>5.9354121863775387E-2</v>
      </c>
      <c r="AN50" s="7">
        <f t="shared" ca="1" si="4"/>
        <v>0.18361581920903952</v>
      </c>
      <c r="AO50" s="7">
        <f t="shared" ca="1" si="5"/>
        <v>0.35028248587570621</v>
      </c>
      <c r="AP50" s="7">
        <f t="shared" ca="1" si="6"/>
        <v>0.6623571893578194</v>
      </c>
      <c r="AQ50" s="7">
        <f t="shared" ca="1" si="7"/>
        <v>0.46610169491525422</v>
      </c>
      <c r="AS50">
        <f t="shared" si="8"/>
        <v>44</v>
      </c>
      <c r="AT50">
        <f t="shared" si="9"/>
        <v>0</v>
      </c>
      <c r="AU50">
        <f t="shared" ca="1" si="10"/>
        <v>0.692034250289707</v>
      </c>
      <c r="AV50">
        <f t="shared" ca="1" si="11"/>
        <v>5.1402177353346852E-2</v>
      </c>
      <c r="AW50">
        <f ca="1">IF(AND($AT50&lt;3,OFFSET(DATA!$C$14,$AS50,0)=AW$6),$AV50,dNULL)</f>
        <v>-99</v>
      </c>
      <c r="AX50">
        <f ca="1">IF(AND($AT50&lt;3,OFFSET(DATA!$C$14,$AS50,0)=AX$6),$AV50,dNULL)</f>
        <v>-99</v>
      </c>
      <c r="AY50">
        <f ca="1">IF(AND($AT50&lt;3,OFFSET(DATA!$C$14,$AS50,0)=AY$6),$AV50,dNULL)</f>
        <v>-99</v>
      </c>
      <c r="AZ50">
        <f ca="1">IF(AND($AT50&lt;3,OFFSET(DATA!$C$14,$AS50,0)=AZ$6),$AV50,dNULL)</f>
        <v>-99</v>
      </c>
      <c r="BA50">
        <f ca="1">IF(AND($AT50&lt;3,OFFSET(DATA!$C$14,$AS50,0)=BA$6),$AV50,dNULL)</f>
        <v>-99</v>
      </c>
      <c r="BB50">
        <f ca="1">IF(AND($AT50&lt;3,OFFSET(DATA!$C$14,$AS50,0)=BB$6),$AV50,dNULL)</f>
        <v>5.1402177353346852E-2</v>
      </c>
      <c r="BC50">
        <f ca="1">IF(AND($AT50&lt;3,OFFSET(DATA!$C$14,$AS50,0)=BC$6),$AV50,dNULL)</f>
        <v>-99</v>
      </c>
      <c r="BD50">
        <f ca="1">IF(AND($AT50&lt;3,OFFSET(DATA!$C$14,$AS50,0)=BD$6),$AV50,dNULL)</f>
        <v>-99</v>
      </c>
      <c r="BE50">
        <f ca="1">IF(AND($AT50&lt;3,OFFSET(DATA!$C$14,$AS50,0)=BE$6),$AV50,dNULL)</f>
        <v>-99</v>
      </c>
      <c r="BF50">
        <f ca="1">IF(AND($AT50&lt;3,OFFSET(DATA!$C$14,$AS50,0)=BF$6),$AV50,dNULL)</f>
        <v>-99</v>
      </c>
      <c r="BG50">
        <f ca="1">IF(AND($AT50&lt;3,OFFSET(DATA!$C$14,$AS50,0)=BG$6),$AV50,dNULL)</f>
        <v>-99</v>
      </c>
      <c r="BH50">
        <f ca="1">IF(AND($AT50&lt;3,OFFSET(DATA!$C$14,$AS50,0)=BH$6),$AV50,dNULL)</f>
        <v>-99</v>
      </c>
      <c r="BU50">
        <f t="shared" si="17"/>
        <v>1</v>
      </c>
      <c r="BV50">
        <f t="shared" si="19"/>
        <v>0.52000000000000013</v>
      </c>
      <c r="BW50">
        <f t="shared" ca="1" si="12"/>
        <v>2.2308187300312188</v>
      </c>
      <c r="BX50">
        <f t="shared" ca="1" si="13"/>
        <v>-1.9536055757664785</v>
      </c>
      <c r="BZ50" t="s">
        <v>150</v>
      </c>
      <c r="CA50">
        <v>2</v>
      </c>
      <c r="CB50" s="40" t="s">
        <v>142</v>
      </c>
    </row>
    <row r="51" spans="14:80" x14ac:dyDescent="0.25">
      <c r="Q51">
        <f t="shared" si="33"/>
        <v>1.7</v>
      </c>
      <c r="R51">
        <f t="shared" si="34"/>
        <v>-7.4999999999999997E-2</v>
      </c>
      <c r="S51">
        <f t="shared" si="36"/>
        <v>40</v>
      </c>
      <c r="T51">
        <f t="shared" si="35"/>
        <v>0</v>
      </c>
      <c r="Y51" s="26"/>
      <c r="Z51" s="26"/>
      <c r="AB51" s="26" t="str">
        <f t="shared" ca="1" si="1"/>
        <v>AW53</v>
      </c>
      <c r="AC51">
        <f t="shared" ca="1" si="14"/>
        <v>45</v>
      </c>
      <c r="AD51" t="str">
        <f ca="1">IF(AND(AT51&lt;1,MAX(AW51:BH51)&gt;dNULL),DATA!$D59,"")</f>
        <v>AW53</v>
      </c>
      <c r="AE51" s="7">
        <f ca="1">IF(LEN(DATA!D59)&gt;0,SUMPRODUCT(OFFSET(DATA!$R$6,AE$5,0,1,10),DATA!$R59:$AA59),"")</f>
        <v>1.0999451097804394</v>
      </c>
      <c r="AF51" s="7">
        <f ca="1">IF(LEN(DATA!E59)&gt;0,SUMPRODUCT(OFFSET(DATA!$R$6,AF$5,0,1,10),DATA!$R59:$AA59),"")</f>
        <v>0.17994817374136227</v>
      </c>
      <c r="AG51" s="7">
        <f ca="1">IF(LEN(DATA!F59)&gt;0,SUMPRODUCT(OFFSET(DATA!$R$6,AG$5,0,1,10),DATA!$R59:$AA59),"")</f>
        <v>3.1699826095851873</v>
      </c>
      <c r="AH51" s="7">
        <f ca="1">IF(LEN(DATA!G59)&gt;0,SUMPRODUCT(OFFSET(DATA!$R$6,AH$5,0,1,10),DATA!$R59:$AA59),"")</f>
        <v>0.75</v>
      </c>
      <c r="AI51" s="7">
        <f ca="1">IF(LEN(DATA!H59)&gt;0,SUMPRODUCT(OFFSET(DATA!$R$6,AI$5,0,1,10),DATA!$R59:$AA59),"")</f>
        <v>1.4</v>
      </c>
      <c r="AJ51" s="7">
        <f ca="1">IF(LEN(DATA!I59)&gt;0,SUMPRODUCT(OFFSET(DATA!$R$6,AJ$5,0,1,10),DATA!$R59:$AA59),"")</f>
        <v>2.2000000000000002</v>
      </c>
      <c r="AK51" s="7"/>
      <c r="AL51" s="7">
        <f t="shared" ca="1" si="2"/>
        <v>0.24718557016034812</v>
      </c>
      <c r="AM51" s="7">
        <f t="shared" ca="1" si="3"/>
        <v>4.0438919660682714E-2</v>
      </c>
      <c r="AN51" s="7">
        <f t="shared" ca="1" si="4"/>
        <v>0.17241379310344829</v>
      </c>
      <c r="AO51" s="7">
        <f t="shared" ca="1" si="5"/>
        <v>0.32183908045977011</v>
      </c>
      <c r="AP51" s="7">
        <f t="shared" ca="1" si="6"/>
        <v>0.71237551017896916</v>
      </c>
      <c r="AQ51" s="7">
        <f t="shared" ca="1" si="7"/>
        <v>0.50574712643678166</v>
      </c>
      <c r="AS51">
        <f t="shared" si="8"/>
        <v>45</v>
      </c>
      <c r="AT51">
        <f t="shared" si="9"/>
        <v>0</v>
      </c>
      <c r="AU51">
        <f t="shared" ca="1" si="10"/>
        <v>0.73259497000931051</v>
      </c>
      <c r="AV51">
        <f t="shared" ca="1" si="11"/>
        <v>3.5021131727749219E-2</v>
      </c>
      <c r="AW51">
        <f ca="1">IF(AND($AT51&lt;3,OFFSET(DATA!$C$14,$AS51,0)=AW$6),$AV51,dNULL)</f>
        <v>-99</v>
      </c>
      <c r="AX51">
        <f ca="1">IF(AND($AT51&lt;3,OFFSET(DATA!$C$14,$AS51,0)=AX$6),$AV51,dNULL)</f>
        <v>-99</v>
      </c>
      <c r="AY51">
        <f ca="1">IF(AND($AT51&lt;3,OFFSET(DATA!$C$14,$AS51,0)=AY$6),$AV51,dNULL)</f>
        <v>3.5021131727749219E-2</v>
      </c>
      <c r="AZ51">
        <f ca="1">IF(AND($AT51&lt;3,OFFSET(DATA!$C$14,$AS51,0)=AZ$6),$AV51,dNULL)</f>
        <v>-99</v>
      </c>
      <c r="BA51">
        <f ca="1">IF(AND($AT51&lt;3,OFFSET(DATA!$C$14,$AS51,0)=BA$6),$AV51,dNULL)</f>
        <v>-99</v>
      </c>
      <c r="BB51">
        <f ca="1">IF(AND($AT51&lt;3,OFFSET(DATA!$C$14,$AS51,0)=BB$6),$AV51,dNULL)</f>
        <v>-99</v>
      </c>
      <c r="BC51">
        <f ca="1">IF(AND($AT51&lt;3,OFFSET(DATA!$C$14,$AS51,0)=BC$6),$AV51,dNULL)</f>
        <v>-99</v>
      </c>
      <c r="BD51">
        <f ca="1">IF(AND($AT51&lt;3,OFFSET(DATA!$C$14,$AS51,0)=BD$6),$AV51,dNULL)</f>
        <v>-99</v>
      </c>
      <c r="BE51">
        <f ca="1">IF(AND($AT51&lt;3,OFFSET(DATA!$C$14,$AS51,0)=BE$6),$AV51,dNULL)</f>
        <v>-99</v>
      </c>
      <c r="BF51">
        <f ca="1">IF(AND($AT51&lt;3,OFFSET(DATA!$C$14,$AS51,0)=BF$6),$AV51,dNULL)</f>
        <v>-99</v>
      </c>
      <c r="BG51">
        <f ca="1">IF(AND($AT51&lt;3,OFFSET(DATA!$C$14,$AS51,0)=BG$6),$AV51,dNULL)</f>
        <v>-99</v>
      </c>
      <c r="BH51">
        <f ca="1">IF(AND($AT51&lt;3,OFFSET(DATA!$C$14,$AS51,0)=BH$6),$AV51,dNULL)</f>
        <v>-99</v>
      </c>
      <c r="BU51">
        <f t="shared" si="17"/>
        <v>1</v>
      </c>
      <c r="BV51">
        <f t="shared" si="19"/>
        <v>0.54000000000000015</v>
      </c>
      <c r="BW51">
        <f t="shared" ca="1" si="12"/>
        <v>0.2</v>
      </c>
      <c r="BX51">
        <f t="shared" ca="1" si="13"/>
        <v>-0.2</v>
      </c>
      <c r="BZ51" t="s">
        <v>124</v>
      </c>
      <c r="CA51">
        <v>2</v>
      </c>
      <c r="CB51" s="40" t="s">
        <v>145</v>
      </c>
    </row>
    <row r="52" spans="14:80" x14ac:dyDescent="0.25">
      <c r="N52">
        <f>IF(O52&lt;$L$8-$O$37/2,N22/2,dNULL)</f>
        <v>-99</v>
      </c>
      <c r="O52">
        <f>O49+$O$37</f>
        <v>1.0392304845413263</v>
      </c>
      <c r="Q52">
        <f t="shared" si="33"/>
        <v>1.9000000000000001</v>
      </c>
      <c r="R52">
        <f t="shared" si="34"/>
        <v>-7.4999999999999997E-2</v>
      </c>
      <c r="S52">
        <f t="shared" si="36"/>
        <v>60.000000000000007</v>
      </c>
      <c r="T52">
        <f t="shared" si="35"/>
        <v>0</v>
      </c>
      <c r="Y52" s="26"/>
      <c r="Z52" s="26"/>
      <c r="AB52" s="26" t="str">
        <f t="shared" ca="1" si="1"/>
        <v>AW54</v>
      </c>
      <c r="AC52">
        <f t="shared" ca="1" si="14"/>
        <v>46</v>
      </c>
      <c r="AD52" t="str">
        <f ca="1">IF(AND(AT52&lt;1,MAX(AW52:BH52)&gt;dNULL),DATA!$D60,"")</f>
        <v>AW54</v>
      </c>
      <c r="AE52" s="7">
        <f ca="1">IF(LEN(DATA!D60)&gt;0,SUMPRODUCT(OFFSET(DATA!$R$6,AE$5,0,1,10),DATA!$R60:$AA60),"")</f>
        <v>2.8998552894211578</v>
      </c>
      <c r="AF52" s="7">
        <f ca="1">IF(LEN(DATA!E60)&gt;0,SUMPRODUCT(OFFSET(DATA!$R$6,AF$5,0,1,10),DATA!$R60:$AA60),"")</f>
        <v>1.5595508390918067</v>
      </c>
      <c r="AG52" s="7">
        <f ca="1">IF(LEN(DATA!F60)&gt;0,SUMPRODUCT(OFFSET(DATA!$R$6,AG$5,0,1,10),DATA!$R60:$AA60),"")</f>
        <v>6.3199498746867171</v>
      </c>
      <c r="AH52" s="7">
        <f ca="1">IF(LEN(DATA!G60)&gt;0,SUMPRODUCT(OFFSET(DATA!$R$6,AH$5,0,1,10),DATA!$R60:$AA60),"")</f>
        <v>0.9</v>
      </c>
      <c r="AI52" s="7">
        <f ca="1">IF(LEN(DATA!H60)&gt;0,SUMPRODUCT(OFFSET(DATA!$R$6,AI$5,0,1,10),DATA!$R60:$AA60),"")</f>
        <v>2.2200000000000002</v>
      </c>
      <c r="AJ52" s="7">
        <f ca="1">IF(LEN(DATA!I60)&gt;0,SUMPRODUCT(OFFSET(DATA!$R$6,AJ$5,0,1,10),DATA!$R60:$AA60),"")</f>
        <v>7.18</v>
      </c>
      <c r="AK52" s="7"/>
      <c r="AL52" s="7">
        <f t="shared" ca="1" si="2"/>
        <v>0.26901934480690515</v>
      </c>
      <c r="AM52" s="7">
        <f t="shared" ca="1" si="3"/>
        <v>0.1446794074366668</v>
      </c>
      <c r="AN52" s="7">
        <f t="shared" ca="1" si="4"/>
        <v>8.7378640776699032E-2</v>
      </c>
      <c r="AO52" s="7">
        <f t="shared" ca="1" si="5"/>
        <v>0.21553398058252426</v>
      </c>
      <c r="AP52" s="7">
        <f t="shared" ca="1" si="6"/>
        <v>0.58630124775642811</v>
      </c>
      <c r="AQ52" s="7">
        <f t="shared" ca="1" si="7"/>
        <v>0.69708737864077663</v>
      </c>
      <c r="AS52">
        <f t="shared" si="8"/>
        <v>46</v>
      </c>
      <c r="AT52">
        <f t="shared" si="9"/>
        <v>0</v>
      </c>
      <c r="AU52">
        <f t="shared" ca="1" si="10"/>
        <v>0.65864095147476143</v>
      </c>
      <c r="AV52">
        <f t="shared" ca="1" si="11"/>
        <v>0.12529604224463267</v>
      </c>
      <c r="AW52">
        <f ca="1">IF(AND($AT52&lt;3,OFFSET(DATA!$C$14,$AS52,0)=AW$6),$AV52,dNULL)</f>
        <v>-99</v>
      </c>
      <c r="AX52">
        <f ca="1">IF(AND($AT52&lt;3,OFFSET(DATA!$C$14,$AS52,0)=AX$6),$AV52,dNULL)</f>
        <v>-99</v>
      </c>
      <c r="AY52">
        <f ca="1">IF(AND($AT52&lt;3,OFFSET(DATA!$C$14,$AS52,0)=AY$6),$AV52,dNULL)</f>
        <v>-99</v>
      </c>
      <c r="AZ52">
        <f ca="1">IF(AND($AT52&lt;3,OFFSET(DATA!$C$14,$AS52,0)=AZ$6),$AV52,dNULL)</f>
        <v>-99</v>
      </c>
      <c r="BA52">
        <f ca="1">IF(AND($AT52&lt;3,OFFSET(DATA!$C$14,$AS52,0)=BA$6),$AV52,dNULL)</f>
        <v>-99</v>
      </c>
      <c r="BB52">
        <f ca="1">IF(AND($AT52&lt;3,OFFSET(DATA!$C$14,$AS52,0)=BB$6),$AV52,dNULL)</f>
        <v>0.12529604224463267</v>
      </c>
      <c r="BC52">
        <f ca="1">IF(AND($AT52&lt;3,OFFSET(DATA!$C$14,$AS52,0)=BC$6),$AV52,dNULL)</f>
        <v>-99</v>
      </c>
      <c r="BD52">
        <f ca="1">IF(AND($AT52&lt;3,OFFSET(DATA!$C$14,$AS52,0)=BD$6),$AV52,dNULL)</f>
        <v>-99</v>
      </c>
      <c r="BE52">
        <f ca="1">IF(AND($AT52&lt;3,OFFSET(DATA!$C$14,$AS52,0)=BE$6),$AV52,dNULL)</f>
        <v>-99</v>
      </c>
      <c r="BF52">
        <f ca="1">IF(AND($AT52&lt;3,OFFSET(DATA!$C$14,$AS52,0)=BF$6),$AV52,dNULL)</f>
        <v>-99</v>
      </c>
      <c r="BG52">
        <f ca="1">IF(AND($AT52&lt;3,OFFSET(DATA!$C$14,$AS52,0)=BG$6),$AV52,dNULL)</f>
        <v>-99</v>
      </c>
      <c r="BH52">
        <f ca="1">IF(AND($AT52&lt;3,OFFSET(DATA!$C$14,$AS52,0)=BH$6),$AV52,dNULL)</f>
        <v>-99</v>
      </c>
      <c r="BU52">
        <f t="shared" si="17"/>
        <v>1</v>
      </c>
      <c r="BV52">
        <f t="shared" si="19"/>
        <v>0.54000000000000015</v>
      </c>
      <c r="BW52">
        <f t="shared" ca="1" si="12"/>
        <v>2.1711009116166249</v>
      </c>
      <c r="BX52">
        <f t="shared" ca="1" si="13"/>
        <v>-1.9178287920988402</v>
      </c>
      <c r="BZ52" t="s">
        <v>154</v>
      </c>
      <c r="CA52">
        <v>2</v>
      </c>
      <c r="CB52" s="40" t="s">
        <v>143</v>
      </c>
    </row>
    <row r="53" spans="14:80" x14ac:dyDescent="0.25">
      <c r="N53">
        <f>IF(O52&lt;$L$8-$O$37/2,1-N22/2,dNULL)</f>
        <v>-99</v>
      </c>
      <c r="O53">
        <f>O52</f>
        <v>1.0392304845413263</v>
      </c>
      <c r="Q53">
        <f t="shared" si="33"/>
        <v>2.1</v>
      </c>
      <c r="R53">
        <f t="shared" si="34"/>
        <v>-7.4999999999999997E-2</v>
      </c>
      <c r="S53">
        <f t="shared" si="36"/>
        <v>80</v>
      </c>
      <c r="T53">
        <f t="shared" si="35"/>
        <v>0</v>
      </c>
      <c r="Y53" s="26"/>
      <c r="Z53" s="26"/>
      <c r="AB53" s="26" t="str">
        <f t="shared" ca="1" si="1"/>
        <v>AW58</v>
      </c>
      <c r="AC53">
        <f t="shared" ca="1" si="14"/>
        <v>47</v>
      </c>
      <c r="AD53" t="str">
        <f ca="1">IF(AND(AT53&lt;1,MAX(AW53:BH53)&gt;dNULL),DATA!$D61,"")</f>
        <v>AW58</v>
      </c>
      <c r="AE53" s="7">
        <f ca="1">IF(LEN(DATA!D61)&gt;0,SUMPRODUCT(OFFSET(DATA!$R$6,AE$5,0,1,10),DATA!$R61:$AA61),"")</f>
        <v>0.37998103792415178</v>
      </c>
      <c r="AF53" s="7">
        <f ca="1">IF(LEN(DATA!E61)&gt;0,SUMPRODUCT(OFFSET(DATA!$R$6,AF$5,0,1,10),DATA!$R61:$AA61),"")</f>
        <v>0.49985603817045077</v>
      </c>
      <c r="AG53" s="7">
        <f ca="1">IF(LEN(DATA!F61)&gt;0,SUMPRODUCT(OFFSET(DATA!$R$6,AG$5,0,1,10),DATA!$R61:$AA61),"")</f>
        <v>11.659928392409597</v>
      </c>
      <c r="AH53" s="7">
        <f ca="1">IF(LEN(DATA!G61)&gt;0,SUMPRODUCT(OFFSET(DATA!$R$6,AH$5,0,1,10),DATA!$R61:$AA61),"")</f>
        <v>1.97</v>
      </c>
      <c r="AI53" s="7">
        <f ca="1">IF(LEN(DATA!H61)&gt;0,SUMPRODUCT(OFFSET(DATA!$R$6,AI$5,0,1,10),DATA!$R61:$AA61),"")</f>
        <v>3.66</v>
      </c>
      <c r="AJ53" s="7">
        <f ca="1">IF(LEN(DATA!I61)&gt;0,SUMPRODUCT(OFFSET(DATA!$R$6,AJ$5,0,1,10),DATA!$R61:$AA61),"")</f>
        <v>6.81</v>
      </c>
      <c r="AK53" s="7"/>
      <c r="AL53" s="7">
        <f t="shared" ca="1" si="2"/>
        <v>3.0302084905697812E-2</v>
      </c>
      <c r="AM53" s="7">
        <f t="shared" ca="1" si="3"/>
        <v>3.9861673603539559E-2</v>
      </c>
      <c r="AN53" s="7">
        <f t="shared" ca="1" si="4"/>
        <v>0.15836012861736334</v>
      </c>
      <c r="AO53" s="7">
        <f t="shared" ca="1" si="5"/>
        <v>0.29421221864951769</v>
      </c>
      <c r="AP53" s="7">
        <f t="shared" ca="1" si="6"/>
        <v>0.92983624149076261</v>
      </c>
      <c r="AQ53" s="7">
        <f t="shared" ca="1" si="7"/>
        <v>0.547427652733119</v>
      </c>
      <c r="AS53">
        <f t="shared" si="8"/>
        <v>47</v>
      </c>
      <c r="AT53">
        <f t="shared" si="9"/>
        <v>0</v>
      </c>
      <c r="AU53">
        <f t="shared" ca="1" si="10"/>
        <v>0.94976707829253237</v>
      </c>
      <c r="AV53">
        <f t="shared" ca="1" si="11"/>
        <v>3.4521221978028843E-2</v>
      </c>
      <c r="AW53">
        <f ca="1">IF(AND($AT53&lt;3,OFFSET(DATA!$C$14,$AS53,0)=AW$6),$AV53,dNULL)</f>
        <v>-99</v>
      </c>
      <c r="AX53">
        <f ca="1">IF(AND($AT53&lt;3,OFFSET(DATA!$C$14,$AS53,0)=AX$6),$AV53,dNULL)</f>
        <v>-99</v>
      </c>
      <c r="AY53">
        <f ca="1">IF(AND($AT53&lt;3,OFFSET(DATA!$C$14,$AS53,0)=AY$6),$AV53,dNULL)</f>
        <v>3.4521221978028843E-2</v>
      </c>
      <c r="AZ53">
        <f ca="1">IF(AND($AT53&lt;3,OFFSET(DATA!$C$14,$AS53,0)=AZ$6),$AV53,dNULL)</f>
        <v>-99</v>
      </c>
      <c r="BA53">
        <f ca="1">IF(AND($AT53&lt;3,OFFSET(DATA!$C$14,$AS53,0)=BA$6),$AV53,dNULL)</f>
        <v>-99</v>
      </c>
      <c r="BB53">
        <f ca="1">IF(AND($AT53&lt;3,OFFSET(DATA!$C$14,$AS53,0)=BB$6),$AV53,dNULL)</f>
        <v>-99</v>
      </c>
      <c r="BC53">
        <f ca="1">IF(AND($AT53&lt;3,OFFSET(DATA!$C$14,$AS53,0)=BC$6),$AV53,dNULL)</f>
        <v>-99</v>
      </c>
      <c r="BD53">
        <f ca="1">IF(AND($AT53&lt;3,OFFSET(DATA!$C$14,$AS53,0)=BD$6),$AV53,dNULL)</f>
        <v>-99</v>
      </c>
      <c r="BE53">
        <f ca="1">IF(AND($AT53&lt;3,OFFSET(DATA!$C$14,$AS53,0)=BE$6),$AV53,dNULL)</f>
        <v>-99</v>
      </c>
      <c r="BF53">
        <f ca="1">IF(AND($AT53&lt;3,OFFSET(DATA!$C$14,$AS53,0)=BF$6),$AV53,dNULL)</f>
        <v>-99</v>
      </c>
      <c r="BG53">
        <f ca="1">IF(AND($AT53&lt;3,OFFSET(DATA!$C$14,$AS53,0)=BG$6),$AV53,dNULL)</f>
        <v>-99</v>
      </c>
      <c r="BH53">
        <f ca="1">IF(AND($AT53&lt;3,OFFSET(DATA!$C$14,$AS53,0)=BH$6),$AV53,dNULL)</f>
        <v>-99</v>
      </c>
      <c r="BU53">
        <f t="shared" si="17"/>
        <v>1</v>
      </c>
      <c r="BV53">
        <f t="shared" si="19"/>
        <v>0.56000000000000016</v>
      </c>
      <c r="BW53">
        <f t="shared" ca="1" si="12"/>
        <v>0.2</v>
      </c>
      <c r="BX53">
        <f t="shared" ca="1" si="13"/>
        <v>-0.2</v>
      </c>
      <c r="BZ53" t="s">
        <v>150</v>
      </c>
      <c r="CA53">
        <v>2</v>
      </c>
      <c r="CB53" s="40" t="s">
        <v>144</v>
      </c>
    </row>
    <row r="54" spans="14:80" x14ac:dyDescent="0.25">
      <c r="Q54">
        <f t="shared" si="33"/>
        <v>2.2999999999999998</v>
      </c>
      <c r="R54">
        <f t="shared" si="34"/>
        <v>-7.4999999999999997E-2</v>
      </c>
      <c r="S54">
        <f t="shared" si="36"/>
        <v>100</v>
      </c>
      <c r="T54">
        <f t="shared" si="35"/>
        <v>0</v>
      </c>
      <c r="Y54" s="26"/>
      <c r="Z54" s="26"/>
      <c r="AB54" s="26" t="str">
        <f t="shared" ca="1" si="1"/>
        <v>AW61</v>
      </c>
      <c r="AC54">
        <f t="shared" ca="1" si="14"/>
        <v>48</v>
      </c>
      <c r="AD54" t="str">
        <f ca="1">IF(AND(AT54&lt;1,MAX(AW54:BH54)&gt;dNULL),DATA!$D62,"")</f>
        <v>AW61</v>
      </c>
      <c r="AE54" s="7">
        <f ca="1">IF(LEN(DATA!D62)&gt;0,SUMPRODUCT(OFFSET(DATA!$R$6,AE$5,0,1,10),DATA!$R62:$AA62),"")</f>
        <v>1.097804391217565</v>
      </c>
      <c r="AF54" s="7">
        <f ca="1">IF(LEN(DATA!E62)&gt;0,SUMPRODUCT(OFFSET(DATA!$R$6,AF$5,0,1,10),DATA!$R62:$AA62),"")</f>
        <v>0.10694307337940112</v>
      </c>
      <c r="AG54" s="7">
        <f ca="1">IF(LEN(DATA!F62)&gt;0,SUMPRODUCT(OFFSET(DATA!$R$6,AG$5,0,1,10),DATA!$R62:$AA62),"")</f>
        <v>2.1953125705906462</v>
      </c>
      <c r="AH54" s="7">
        <f ca="1">IF(LEN(DATA!G62)&gt;0,SUMPRODUCT(OFFSET(DATA!$R$6,AH$5,0,1,10),DATA!$R62:$AA62),"")</f>
        <v>0.25609945738464751</v>
      </c>
      <c r="AI54" s="7">
        <f ca="1">IF(LEN(DATA!H62)&gt;0,SUMPRODUCT(OFFSET(DATA!$R$6,AI$5,0,1,10),DATA!$R62:$AA62),"")</f>
        <v>0.79115900630428815</v>
      </c>
      <c r="AJ54" s="7">
        <f ca="1">IF(LEN(DATA!I62)&gt;0,SUMPRODUCT(OFFSET(DATA!$R$6,AJ$5,0,1,10),DATA!$R62:$AA62),"")</f>
        <v>2.459016393442623</v>
      </c>
      <c r="AK54" s="7"/>
      <c r="AL54" s="7">
        <f t="shared" ca="1" si="2"/>
        <v>0.3228779432881364</v>
      </c>
      <c r="AM54" s="7">
        <f t="shared" ca="1" si="3"/>
        <v>3.1453289728015081E-2</v>
      </c>
      <c r="AN54" s="7">
        <f t="shared" ca="1" si="4"/>
        <v>7.3040325650385374E-2</v>
      </c>
      <c r="AO54" s="7">
        <f t="shared" ca="1" si="5"/>
        <v>0.22564089768807394</v>
      </c>
      <c r="AP54" s="7">
        <f t="shared" ca="1" si="6"/>
        <v>0.64566876698384856</v>
      </c>
      <c r="AQ54" s="7">
        <f t="shared" ca="1" si="7"/>
        <v>0.70131877666154063</v>
      </c>
      <c r="AS54">
        <f t="shared" si="8"/>
        <v>48</v>
      </c>
      <c r="AT54">
        <f t="shared" si="9"/>
        <v>0</v>
      </c>
      <c r="AU54">
        <f t="shared" ca="1" si="10"/>
        <v>0.66139541184785611</v>
      </c>
      <c r="AV54">
        <f t="shared" ca="1" si="11"/>
        <v>2.7239347937053196E-2</v>
      </c>
      <c r="AW54">
        <f ca="1">IF(AND($AT54&lt;3,OFFSET(DATA!$C$14,$AS54,0)=AW$6),$AV54,dNULL)</f>
        <v>-99</v>
      </c>
      <c r="AX54">
        <f ca="1">IF(AND($AT54&lt;3,OFFSET(DATA!$C$14,$AS54,0)=AX$6),$AV54,dNULL)</f>
        <v>-99</v>
      </c>
      <c r="AY54">
        <f ca="1">IF(AND($AT54&lt;3,OFFSET(DATA!$C$14,$AS54,0)=AY$6),$AV54,dNULL)</f>
        <v>2.7239347937053196E-2</v>
      </c>
      <c r="AZ54">
        <f ca="1">IF(AND($AT54&lt;3,OFFSET(DATA!$C$14,$AS54,0)=AZ$6),$AV54,dNULL)</f>
        <v>-99</v>
      </c>
      <c r="BA54">
        <f ca="1">IF(AND($AT54&lt;3,OFFSET(DATA!$C$14,$AS54,0)=BA$6),$AV54,dNULL)</f>
        <v>-99</v>
      </c>
      <c r="BB54">
        <f ca="1">IF(AND($AT54&lt;3,OFFSET(DATA!$C$14,$AS54,0)=BB$6),$AV54,dNULL)</f>
        <v>-99</v>
      </c>
      <c r="BC54">
        <f ca="1">IF(AND($AT54&lt;3,OFFSET(DATA!$C$14,$AS54,0)=BC$6),$AV54,dNULL)</f>
        <v>-99</v>
      </c>
      <c r="BD54">
        <f ca="1">IF(AND($AT54&lt;3,OFFSET(DATA!$C$14,$AS54,0)=BD$6),$AV54,dNULL)</f>
        <v>-99</v>
      </c>
      <c r="BE54">
        <f ca="1">IF(AND($AT54&lt;3,OFFSET(DATA!$C$14,$AS54,0)=BE$6),$AV54,dNULL)</f>
        <v>-99</v>
      </c>
      <c r="BF54">
        <f ca="1">IF(AND($AT54&lt;3,OFFSET(DATA!$C$14,$AS54,0)=BF$6),$AV54,dNULL)</f>
        <v>-99</v>
      </c>
      <c r="BG54">
        <f ca="1">IF(AND($AT54&lt;3,OFFSET(DATA!$C$14,$AS54,0)=BG$6),$AV54,dNULL)</f>
        <v>-99</v>
      </c>
      <c r="BH54">
        <f ca="1">IF(AND($AT54&lt;3,OFFSET(DATA!$C$14,$AS54,0)=BH$6),$AV54,dNULL)</f>
        <v>-99</v>
      </c>
      <c r="BU54">
        <f t="shared" si="17"/>
        <v>1</v>
      </c>
      <c r="BV54">
        <f t="shared" si="19"/>
        <v>0.56000000000000016</v>
      </c>
      <c r="BW54">
        <f t="shared" ca="1" si="12"/>
        <v>2.1113830932020301</v>
      </c>
      <c r="BX54">
        <f t="shared" ca="1" si="13"/>
        <v>-1.8820520084312018</v>
      </c>
      <c r="BZ54" t="s">
        <v>150</v>
      </c>
      <c r="CA54">
        <v>0</v>
      </c>
      <c r="CB54" s="40" t="s">
        <v>146</v>
      </c>
    </row>
    <row r="55" spans="14:80" x14ac:dyDescent="0.25">
      <c r="N55">
        <f>IF(O55&lt;$L$8-$O$37/2,N25/2,dNULL)</f>
        <v>-99</v>
      </c>
      <c r="O55">
        <f>O52+$O$37</f>
        <v>1.2124355652982139</v>
      </c>
      <c r="Q55">
        <f t="shared" si="33"/>
        <v>2.5</v>
      </c>
      <c r="R55">
        <f t="shared" si="34"/>
        <v>-99</v>
      </c>
      <c r="S55">
        <f t="shared" si="36"/>
        <v>120</v>
      </c>
      <c r="T55">
        <f t="shared" si="35"/>
        <v>0</v>
      </c>
      <c r="Y55" s="26"/>
      <c r="Z55" s="26"/>
      <c r="AB55" s="26" t="str">
        <f t="shared" ca="1" si="1"/>
        <v>AW62</v>
      </c>
      <c r="AC55">
        <f t="shared" ca="1" si="14"/>
        <v>49</v>
      </c>
      <c r="AD55" t="str">
        <f ca="1">IF(AND(AT55&lt;1,MAX(AW55:BH55)&gt;dNULL),DATA!$D63,"")</f>
        <v>AW62</v>
      </c>
      <c r="AE55" s="7">
        <f ca="1">IF(LEN(DATA!D63)&gt;0,SUMPRODUCT(OFFSET(DATA!$R$6,AE$5,0,1,10),DATA!$R63:$AA63),"")</f>
        <v>3.6926147704590822</v>
      </c>
      <c r="AF55" s="7">
        <f ca="1">IF(LEN(DATA!E63)&gt;0,SUMPRODUCT(OFFSET(DATA!$R$6,AF$5,0,1,10),DATA!$R63:$AA63),"")</f>
        <v>1.9743336623889436</v>
      </c>
      <c r="AG55" s="7">
        <f ca="1">IF(LEN(DATA!F63)&gt;0,SUMPRODUCT(OFFSET(DATA!$R$6,AG$5,0,1,10),DATA!$R63:$AA63),"")</f>
        <v>7.3687853231776188</v>
      </c>
      <c r="AH55" s="7">
        <f ca="1">IF(LEN(DATA!G63)&gt;0,SUMPRODUCT(OFFSET(DATA!$R$6,AH$5,0,1,10),DATA!$R63:$AA63),"")</f>
        <v>2.5580207795006773</v>
      </c>
      <c r="AI55" s="7">
        <f ca="1">IF(LEN(DATA!H63)&gt;0,SUMPRODUCT(OFFSET(DATA!$R$6,AI$5,0,1,10),DATA!$R63:$AA63),"")</f>
        <v>3.747595293020312</v>
      </c>
      <c r="AJ55" s="7">
        <f ca="1">IF(LEN(DATA!I63)&gt;0,SUMPRODUCT(OFFSET(DATA!$R$6,AJ$5,0,1,10),DATA!$R63:$AA63),"")</f>
        <v>6.557377049180328</v>
      </c>
      <c r="AK55" s="7"/>
      <c r="AL55" s="7">
        <f t="shared" ca="1" si="2"/>
        <v>0.28326865518806765</v>
      </c>
      <c r="AM55" s="7">
        <f t="shared" ca="1" si="3"/>
        <v>0.15145550678927655</v>
      </c>
      <c r="AN55" s="7">
        <f t="shared" ca="1" si="4"/>
        <v>0.19886668330600352</v>
      </c>
      <c r="AO55" s="7">
        <f t="shared" ca="1" si="5"/>
        <v>0.29134706499202717</v>
      </c>
      <c r="AP55" s="7">
        <f t="shared" ca="1" si="6"/>
        <v>0.5652758380226558</v>
      </c>
      <c r="AQ55" s="7">
        <f t="shared" ca="1" si="7"/>
        <v>0.50978625170196934</v>
      </c>
      <c r="AS55">
        <f t="shared" si="8"/>
        <v>49</v>
      </c>
      <c r="AT55">
        <f t="shared" si="9"/>
        <v>0</v>
      </c>
      <c r="AU55">
        <f t="shared" ca="1" si="10"/>
        <v>0.64100359141729402</v>
      </c>
      <c r="AV55">
        <f t="shared" ca="1" si="11"/>
        <v>0.13116431642256002</v>
      </c>
      <c r="AW55">
        <f ca="1">IF(AND($AT55&lt;3,OFFSET(DATA!$C$14,$AS55,0)=AW$6),$AV55,dNULL)</f>
        <v>-99</v>
      </c>
      <c r="AX55">
        <f ca="1">IF(AND($AT55&lt;3,OFFSET(DATA!$C$14,$AS55,0)=AX$6),$AV55,dNULL)</f>
        <v>-99</v>
      </c>
      <c r="AY55">
        <f ca="1">IF(AND($AT55&lt;3,OFFSET(DATA!$C$14,$AS55,0)=AY$6),$AV55,dNULL)</f>
        <v>-99</v>
      </c>
      <c r="AZ55">
        <f ca="1">IF(AND($AT55&lt;3,OFFSET(DATA!$C$14,$AS55,0)=AZ$6),$AV55,dNULL)</f>
        <v>-99</v>
      </c>
      <c r="BA55">
        <f ca="1">IF(AND($AT55&lt;3,OFFSET(DATA!$C$14,$AS55,0)=BA$6),$AV55,dNULL)</f>
        <v>-99</v>
      </c>
      <c r="BB55">
        <f ca="1">IF(AND($AT55&lt;3,OFFSET(DATA!$C$14,$AS55,0)=BB$6),$AV55,dNULL)</f>
        <v>0.13116431642256002</v>
      </c>
      <c r="BC55">
        <f ca="1">IF(AND($AT55&lt;3,OFFSET(DATA!$C$14,$AS55,0)=BC$6),$AV55,dNULL)</f>
        <v>-99</v>
      </c>
      <c r="BD55">
        <f ca="1">IF(AND($AT55&lt;3,OFFSET(DATA!$C$14,$AS55,0)=BD$6),$AV55,dNULL)</f>
        <v>-99</v>
      </c>
      <c r="BE55">
        <f ca="1">IF(AND($AT55&lt;3,OFFSET(DATA!$C$14,$AS55,0)=BE$6),$AV55,dNULL)</f>
        <v>-99</v>
      </c>
      <c r="BF55">
        <f ca="1">IF(AND($AT55&lt;3,OFFSET(DATA!$C$14,$AS55,0)=BF$6),$AV55,dNULL)</f>
        <v>-99</v>
      </c>
      <c r="BG55">
        <f ca="1">IF(AND($AT55&lt;3,OFFSET(DATA!$C$14,$AS55,0)=BG$6),$AV55,dNULL)</f>
        <v>-99</v>
      </c>
      <c r="BH55">
        <f ca="1">IF(AND($AT55&lt;3,OFFSET(DATA!$C$14,$AS55,0)=BH$6),$AV55,dNULL)</f>
        <v>-99</v>
      </c>
      <c r="BU55">
        <f t="shared" si="17"/>
        <v>1</v>
      </c>
      <c r="BV55">
        <f t="shared" si="19"/>
        <v>0.58000000000000018</v>
      </c>
      <c r="BW55">
        <f t="shared" ca="1" si="12"/>
        <v>0.2</v>
      </c>
      <c r="BX55">
        <f t="shared" ca="1" si="13"/>
        <v>-0.2</v>
      </c>
      <c r="BZ55" t="s">
        <v>150</v>
      </c>
      <c r="CA55">
        <v>0</v>
      </c>
      <c r="CB55" s="40" t="s">
        <v>147</v>
      </c>
    </row>
    <row r="56" spans="14:80" x14ac:dyDescent="0.25">
      <c r="N56">
        <f>IF(O55&lt;$L$8-$O$37/2,1-N25/2,dNULL)</f>
        <v>-99</v>
      </c>
      <c r="O56">
        <f>O55</f>
        <v>1.2124355652982139</v>
      </c>
      <c r="Q56">
        <f t="shared" si="33"/>
        <v>2.6999999999999997</v>
      </c>
      <c r="R56">
        <f t="shared" si="34"/>
        <v>-99</v>
      </c>
      <c r="S56">
        <f t="shared" si="36"/>
        <v>140</v>
      </c>
      <c r="T56">
        <f t="shared" si="35"/>
        <v>0</v>
      </c>
      <c r="Y56" s="26"/>
      <c r="Z56" s="26"/>
      <c r="AB56" s="26" t="str">
        <f t="shared" ca="1" si="1"/>
        <v>BGMW-12</v>
      </c>
      <c r="AC56">
        <f t="shared" ca="1" si="14"/>
        <v>50</v>
      </c>
      <c r="AD56" t="str">
        <f ca="1">IF(AND(AT56&lt;1,MAX(AW56:BH56)&gt;dNULL),DATA!$D64,"")</f>
        <v>BGMW-12</v>
      </c>
      <c r="AE56" s="7">
        <f ca="1">IF(LEN(DATA!D64)&gt;0,SUMPRODUCT(OFFSET(DATA!$R$6,AE$5,0,1,10),DATA!$R64:$AA64),"")</f>
        <v>2.345309381237525</v>
      </c>
      <c r="AF56" s="7">
        <f ca="1">IF(LEN(DATA!E64)&gt;0,SUMPRODUCT(OFFSET(DATA!$R$6,AF$5,0,1,10),DATA!$R64:$AA64),"")</f>
        <v>1.4807502467917077</v>
      </c>
      <c r="AG56" s="7">
        <f ca="1">IF(LEN(DATA!F64)&gt;0,SUMPRODUCT(OFFSET(DATA!$R$6,AG$5,0,1,10),DATA!$R64:$AA64),"")</f>
        <v>7.2409146260265773</v>
      </c>
      <c r="AH56" s="7">
        <f ca="1">IF(LEN(DATA!G64)&gt;0,SUMPRODUCT(OFFSET(DATA!$R$6,AH$5,0,1,10),DATA!$R64:$AA64),"")</f>
        <v>2.4072646982714794</v>
      </c>
      <c r="AI56" s="7">
        <f ca="1">IF(LEN(DATA!H64)&gt;0,SUMPRODUCT(OFFSET(DATA!$R$6,AI$5,0,1,10),DATA!$R64:$AA64),"")</f>
        <v>3.9557950315214403</v>
      </c>
      <c r="AJ56" s="7">
        <f ca="1">IF(LEN(DATA!I64)&gt;0,SUMPRODUCT(OFFSET(DATA!$R$6,AJ$5,0,1,10),DATA!$R64:$AA64),"")</f>
        <v>5.2459016393442619</v>
      </c>
      <c r="AK56" s="7"/>
      <c r="AL56" s="7">
        <f t="shared" ca="1" si="2"/>
        <v>0.21191965639370841</v>
      </c>
      <c r="AM56" s="7">
        <f t="shared" ca="1" si="3"/>
        <v>0.13379901432851388</v>
      </c>
      <c r="AN56" s="7">
        <f t="shared" ca="1" si="4"/>
        <v>0.20736262459028201</v>
      </c>
      <c r="AO56" s="7">
        <f t="shared" ca="1" si="5"/>
        <v>0.34075357008578361</v>
      </c>
      <c r="AP56" s="7">
        <f t="shared" ca="1" si="6"/>
        <v>0.6542813292777776</v>
      </c>
      <c r="AQ56" s="7">
        <f t="shared" ca="1" si="7"/>
        <v>0.45188380532393452</v>
      </c>
      <c r="AS56">
        <f t="shared" si="8"/>
        <v>50</v>
      </c>
      <c r="AT56">
        <f t="shared" si="9"/>
        <v>0</v>
      </c>
      <c r="AU56">
        <f t="shared" ca="1" si="10"/>
        <v>0.72118083644203457</v>
      </c>
      <c r="AV56">
        <f t="shared" ca="1" si="11"/>
        <v>0.11587334540981112</v>
      </c>
      <c r="AW56">
        <f ca="1">IF(AND($AT56&lt;3,OFFSET(DATA!$C$14,$AS56,0)=AW$6),$AV56,dNULL)</f>
        <v>-99</v>
      </c>
      <c r="AX56">
        <f ca="1">IF(AND($AT56&lt;3,OFFSET(DATA!$C$14,$AS56,0)=AX$6),$AV56,dNULL)</f>
        <v>-99</v>
      </c>
      <c r="AY56">
        <f ca="1">IF(AND($AT56&lt;3,OFFSET(DATA!$C$14,$AS56,0)=AY$6),$AV56,dNULL)</f>
        <v>-99</v>
      </c>
      <c r="AZ56">
        <f ca="1">IF(AND($AT56&lt;3,OFFSET(DATA!$C$14,$AS56,0)=AZ$6),$AV56,dNULL)</f>
        <v>-99</v>
      </c>
      <c r="BA56">
        <f ca="1">IF(AND($AT56&lt;3,OFFSET(DATA!$C$14,$AS56,0)=BA$6),$AV56,dNULL)</f>
        <v>-99</v>
      </c>
      <c r="BB56">
        <f ca="1">IF(AND($AT56&lt;3,OFFSET(DATA!$C$14,$AS56,0)=BB$6),$AV56,dNULL)</f>
        <v>0.11587334540981112</v>
      </c>
      <c r="BC56">
        <f ca="1">IF(AND($AT56&lt;3,OFFSET(DATA!$C$14,$AS56,0)=BC$6),$AV56,dNULL)</f>
        <v>-99</v>
      </c>
      <c r="BD56">
        <f ca="1">IF(AND($AT56&lt;3,OFFSET(DATA!$C$14,$AS56,0)=BD$6),$AV56,dNULL)</f>
        <v>-99</v>
      </c>
      <c r="BE56">
        <f ca="1">IF(AND($AT56&lt;3,OFFSET(DATA!$C$14,$AS56,0)=BE$6),$AV56,dNULL)</f>
        <v>-99</v>
      </c>
      <c r="BF56">
        <f ca="1">IF(AND($AT56&lt;3,OFFSET(DATA!$C$14,$AS56,0)=BF$6),$AV56,dNULL)</f>
        <v>-99</v>
      </c>
      <c r="BG56">
        <f ca="1">IF(AND($AT56&lt;3,OFFSET(DATA!$C$14,$AS56,0)=BG$6),$AV56,dNULL)</f>
        <v>-99</v>
      </c>
      <c r="BH56">
        <f ca="1">IF(AND($AT56&lt;3,OFFSET(DATA!$C$14,$AS56,0)=BH$6),$AV56,dNULL)</f>
        <v>-99</v>
      </c>
      <c r="BU56">
        <f t="shared" si="17"/>
        <v>1</v>
      </c>
      <c r="BV56">
        <f t="shared" si="19"/>
        <v>0.58000000000000018</v>
      </c>
      <c r="BW56">
        <f t="shared" ca="1" si="12"/>
        <v>2.0516652747874358</v>
      </c>
      <c r="BX56">
        <f t="shared" ca="1" si="13"/>
        <v>-1.8462752247635632</v>
      </c>
      <c r="BZ56" t="s">
        <v>150</v>
      </c>
      <c r="CA56">
        <v>0</v>
      </c>
      <c r="CB56" s="40" t="s">
        <v>148</v>
      </c>
    </row>
    <row r="57" spans="14:80" x14ac:dyDescent="0.25">
      <c r="Q57">
        <f t="shared" si="33"/>
        <v>2.8999999999999995</v>
      </c>
      <c r="R57">
        <f t="shared" si="34"/>
        <v>-99</v>
      </c>
      <c r="S57">
        <f t="shared" si="36"/>
        <v>160</v>
      </c>
      <c r="T57">
        <f t="shared" si="35"/>
        <v>0</v>
      </c>
      <c r="Y57" s="26"/>
      <c r="Z57" s="26"/>
      <c r="AB57" s="26" t="str">
        <f t="shared" ca="1" si="1"/>
        <v>Big Spring</v>
      </c>
      <c r="AC57">
        <f t="shared" ca="1" si="14"/>
        <v>51</v>
      </c>
      <c r="AD57" t="str">
        <f ca="1">IF(AND(AT57&lt;1,MAX(AW57:BH57)&gt;dNULL),DATA!$D65,"")</f>
        <v>Big Spring</v>
      </c>
      <c r="AE57" s="7">
        <f ca="1">IF(LEN(DATA!D65)&gt;0,SUMPRODUCT(OFFSET(DATA!$R$6,AE$5,0,1,10),DATA!$R65:$AA65),"")</f>
        <v>2.1457085828343314</v>
      </c>
      <c r="AF57" s="7">
        <f ca="1">IF(LEN(DATA!E65)&gt;0,SUMPRODUCT(OFFSET(DATA!$R$6,AF$5,0,1,10),DATA!$R65:$AA65),"")</f>
        <v>1.5630141493912471</v>
      </c>
      <c r="AG57" s="7">
        <f ca="1">IF(LEN(DATA!F65)&gt;0,SUMPRODUCT(OFFSET(DATA!$R$6,AG$5,0,1,10),DATA!$R65:$AA65),"")</f>
        <v>4.4596538603473697</v>
      </c>
      <c r="AH57" s="7">
        <f ca="1">IF(LEN(DATA!G65)&gt;0,SUMPRODUCT(OFFSET(DATA!$R$6,AH$5,0,1,10),DATA!$R65:$AA65),"")</f>
        <v>0.82999847314144481</v>
      </c>
      <c r="AI57" s="7">
        <f ca="1">IF(LEN(DATA!H65)&gt;0,SUMPRODUCT(OFFSET(DATA!$R$6,AI$5,0,1,10),DATA!$R65:$AA65),"")</f>
        <v>2.3110170973625257</v>
      </c>
      <c r="AJ57" s="7">
        <f ca="1">IF(LEN(DATA!I65)&gt;0,SUMPRODUCT(OFFSET(DATA!$R$6,AJ$5,0,1,10),DATA!$R65:$AA65),"")</f>
        <v>5.2131147540983607</v>
      </c>
      <c r="AK57" s="7"/>
      <c r="AL57" s="7">
        <f t="shared" ca="1" si="2"/>
        <v>0.26268482586678304</v>
      </c>
      <c r="AM57" s="7">
        <f t="shared" ca="1" si="3"/>
        <v>0.19134942319045492</v>
      </c>
      <c r="AN57" s="7">
        <f t="shared" ca="1" si="4"/>
        <v>9.9351870379273025E-2</v>
      </c>
      <c r="AO57" s="7">
        <f t="shared" ca="1" si="5"/>
        <v>0.2766316788902301</v>
      </c>
      <c r="AP57" s="7">
        <f t="shared" ca="1" si="6"/>
        <v>0.54596575094276212</v>
      </c>
      <c r="AQ57" s="7">
        <f t="shared" ca="1" si="7"/>
        <v>0.62401645073049694</v>
      </c>
      <c r="AS57">
        <f t="shared" si="8"/>
        <v>51</v>
      </c>
      <c r="AT57">
        <f t="shared" si="9"/>
        <v>0</v>
      </c>
      <c r="AU57">
        <f t="shared" ca="1" si="10"/>
        <v>0.64164046253798945</v>
      </c>
      <c r="AV57">
        <f t="shared" ca="1" si="11"/>
        <v>0.16571346148243313</v>
      </c>
      <c r="AW57">
        <f ca="1">IF(AND($AT57&lt;3,OFFSET(DATA!$C$14,$AS57,0)=AW$6),$AV57,dNULL)</f>
        <v>0.16571346148243313</v>
      </c>
      <c r="AX57">
        <f ca="1">IF(AND($AT57&lt;3,OFFSET(DATA!$C$14,$AS57,0)=AX$6),$AV57,dNULL)</f>
        <v>-99</v>
      </c>
      <c r="AY57">
        <f ca="1">IF(AND($AT57&lt;3,OFFSET(DATA!$C$14,$AS57,0)=AY$6),$AV57,dNULL)</f>
        <v>-99</v>
      </c>
      <c r="AZ57">
        <f ca="1">IF(AND($AT57&lt;3,OFFSET(DATA!$C$14,$AS57,0)=AZ$6),$AV57,dNULL)</f>
        <v>-99</v>
      </c>
      <c r="BA57">
        <f ca="1">IF(AND($AT57&lt;3,OFFSET(DATA!$C$14,$AS57,0)=BA$6),$AV57,dNULL)</f>
        <v>-99</v>
      </c>
      <c r="BB57">
        <f ca="1">IF(AND($AT57&lt;3,OFFSET(DATA!$C$14,$AS57,0)=BB$6),$AV57,dNULL)</f>
        <v>-99</v>
      </c>
      <c r="BC57">
        <f ca="1">IF(AND($AT57&lt;3,OFFSET(DATA!$C$14,$AS57,0)=BC$6),$AV57,dNULL)</f>
        <v>-99</v>
      </c>
      <c r="BD57">
        <f ca="1">IF(AND($AT57&lt;3,OFFSET(DATA!$C$14,$AS57,0)=BD$6),$AV57,dNULL)</f>
        <v>-99</v>
      </c>
      <c r="BE57">
        <f ca="1">IF(AND($AT57&lt;3,OFFSET(DATA!$C$14,$AS57,0)=BE$6),$AV57,dNULL)</f>
        <v>-99</v>
      </c>
      <c r="BF57">
        <f ca="1">IF(AND($AT57&lt;3,OFFSET(DATA!$C$14,$AS57,0)=BF$6),$AV57,dNULL)</f>
        <v>-99</v>
      </c>
      <c r="BG57">
        <f ca="1">IF(AND($AT57&lt;3,OFFSET(DATA!$C$14,$AS57,0)=BG$6),$AV57,dNULL)</f>
        <v>-99</v>
      </c>
      <c r="BH57">
        <f ca="1">IF(AND($AT57&lt;3,OFFSET(DATA!$C$14,$AS57,0)=BH$6),$AV57,dNULL)</f>
        <v>-99</v>
      </c>
      <c r="BU57">
        <f t="shared" si="17"/>
        <v>1</v>
      </c>
      <c r="BV57">
        <f t="shared" si="19"/>
        <v>0.6000000000000002</v>
      </c>
      <c r="BW57">
        <f t="shared" ca="1" si="12"/>
        <v>0.2</v>
      </c>
      <c r="BX57">
        <f t="shared" ca="1" si="13"/>
        <v>-0.2</v>
      </c>
    </row>
    <row r="58" spans="14:80" x14ac:dyDescent="0.25">
      <c r="N58">
        <f>IF(O58&lt;$L$8-$O$37/2,N28/2,dNULL)</f>
        <v>-99</v>
      </c>
      <c r="O58">
        <f>O55+$O$37</f>
        <v>1.3856406460551016</v>
      </c>
      <c r="Q58">
        <f t="shared" si="33"/>
        <v>3.0999999999999996</v>
      </c>
      <c r="R58">
        <f t="shared" si="34"/>
        <v>-99</v>
      </c>
      <c r="S58">
        <f t="shared" si="36"/>
        <v>179.99999999999997</v>
      </c>
      <c r="T58">
        <f t="shared" si="35"/>
        <v>0</v>
      </c>
      <c r="Y58" s="26"/>
      <c r="Z58" s="26"/>
      <c r="AB58" s="26" t="str">
        <f t="shared" ca="1" si="1"/>
        <v>Burrel Hot Spring</v>
      </c>
      <c r="AC58">
        <f t="shared" ca="1" si="14"/>
        <v>52</v>
      </c>
      <c r="AD58" t="str">
        <f ca="1">IF(AND(AT58&lt;1,MAX(AW58:BH58)&gt;dNULL),DATA!$D66,"")</f>
        <v>Burrel Hot Spring</v>
      </c>
      <c r="AE58" s="7">
        <f ca="1">IF(LEN(DATA!D66)&gt;0,SUMPRODUCT(OFFSET(DATA!$R$6,AE$5,0,1,10),DATA!$R66:$AA66),"")</f>
        <v>1.372255489021956</v>
      </c>
      <c r="AF58" s="7">
        <f ca="1">IF(LEN(DATA!E66)&gt;0,SUMPRODUCT(OFFSET(DATA!$R$6,AF$5,0,1,10),DATA!$R66:$AA66),"")</f>
        <v>3.2905561039815727E-2</v>
      </c>
      <c r="AG58" s="7">
        <f ca="1">IF(LEN(DATA!F66)&gt;0,SUMPRODUCT(OFFSET(DATA!$R$6,AG$5,0,1,10),DATA!$R66:$AA66),"")</f>
        <v>6.7215664799339834</v>
      </c>
      <c r="AH58" s="7">
        <f ca="1">IF(LEN(DATA!G66)&gt;0,SUMPRODUCT(OFFSET(DATA!$R$6,AH$5,0,1,10),DATA!$R66:$AA66),"")</f>
        <v>1.5547903676366874</v>
      </c>
      <c r="AI58" s="7">
        <f ca="1">IF(LEN(DATA!H66)&gt;0,SUMPRODUCT(OFFSET(DATA!$R$6,AI$5,0,1,10),DATA!$R66:$AA66),"")</f>
        <v>2.5192168358636544</v>
      </c>
      <c r="AJ58" s="7">
        <f ca="1">IF(LEN(DATA!I66)&gt;0,SUMPRODUCT(OFFSET(DATA!$R$6,AJ$5,0,1,10),DATA!$R66:$AA66),"")</f>
        <v>4.0327868852459012</v>
      </c>
      <c r="AK58" s="7"/>
      <c r="AL58" s="7">
        <f t="shared" ca="1" si="2"/>
        <v>0.16885708102762895</v>
      </c>
      <c r="AM58" s="7">
        <f t="shared" ca="1" si="3"/>
        <v>4.0490542987151089E-3</v>
      </c>
      <c r="AN58" s="7">
        <f t="shared" ca="1" si="4"/>
        <v>0.19178856038727188</v>
      </c>
      <c r="AO58" s="7">
        <f t="shared" ca="1" si="5"/>
        <v>0.31075377125475556</v>
      </c>
      <c r="AP58" s="7">
        <f t="shared" ca="1" si="6"/>
        <v>0.82709386467365598</v>
      </c>
      <c r="AQ58" s="7">
        <f t="shared" ca="1" si="7"/>
        <v>0.49745766835797262</v>
      </c>
      <c r="AS58">
        <f t="shared" si="8"/>
        <v>52</v>
      </c>
      <c r="AT58">
        <f t="shared" si="9"/>
        <v>0</v>
      </c>
      <c r="AU58">
        <f t="shared" ca="1" si="10"/>
        <v>0.8291183918230135</v>
      </c>
      <c r="AV58">
        <f t="shared" ca="1" si="11"/>
        <v>3.5065838839898689E-3</v>
      </c>
      <c r="AW58">
        <f ca="1">IF(AND($AT58&lt;3,OFFSET(DATA!$C$14,$AS58,0)=AW$6),$AV58,dNULL)</f>
        <v>-99</v>
      </c>
      <c r="AX58">
        <f ca="1">IF(AND($AT58&lt;3,OFFSET(DATA!$C$14,$AS58,0)=AX$6),$AV58,dNULL)</f>
        <v>-99</v>
      </c>
      <c r="AY58">
        <f ca="1">IF(AND($AT58&lt;3,OFFSET(DATA!$C$14,$AS58,0)=AY$6),$AV58,dNULL)</f>
        <v>-99</v>
      </c>
      <c r="AZ58">
        <f ca="1">IF(AND($AT58&lt;3,OFFSET(DATA!$C$14,$AS58,0)=AZ$6),$AV58,dNULL)</f>
        <v>-99</v>
      </c>
      <c r="BA58">
        <f ca="1">IF(AND($AT58&lt;3,OFFSET(DATA!$C$14,$AS58,0)=BA$6),$AV58,dNULL)</f>
        <v>-99</v>
      </c>
      <c r="BB58">
        <f ca="1">IF(AND($AT58&lt;3,OFFSET(DATA!$C$14,$AS58,0)=BB$6),$AV58,dNULL)</f>
        <v>3.5065838839898689E-3</v>
      </c>
      <c r="BC58">
        <f ca="1">IF(AND($AT58&lt;3,OFFSET(DATA!$C$14,$AS58,0)=BC$6),$AV58,dNULL)</f>
        <v>-99</v>
      </c>
      <c r="BD58">
        <f ca="1">IF(AND($AT58&lt;3,OFFSET(DATA!$C$14,$AS58,0)=BD$6),$AV58,dNULL)</f>
        <v>-99</v>
      </c>
      <c r="BE58">
        <f ca="1">IF(AND($AT58&lt;3,OFFSET(DATA!$C$14,$AS58,0)=BE$6),$AV58,dNULL)</f>
        <v>-99</v>
      </c>
      <c r="BF58">
        <f ca="1">IF(AND($AT58&lt;3,OFFSET(DATA!$C$14,$AS58,0)=BF$6),$AV58,dNULL)</f>
        <v>-99</v>
      </c>
      <c r="BG58">
        <f ca="1">IF(AND($AT58&lt;3,OFFSET(DATA!$C$14,$AS58,0)=BG$6),$AV58,dNULL)</f>
        <v>-99</v>
      </c>
      <c r="BH58">
        <f ca="1">IF(AND($AT58&lt;3,OFFSET(DATA!$C$14,$AS58,0)=BH$6),$AV58,dNULL)</f>
        <v>-99</v>
      </c>
      <c r="BU58">
        <f t="shared" si="17"/>
        <v>1</v>
      </c>
      <c r="BV58">
        <f t="shared" si="19"/>
        <v>0.6000000000000002</v>
      </c>
      <c r="BW58">
        <f t="shared" ca="1" si="12"/>
        <v>1.9919474563728414</v>
      </c>
      <c r="BX58">
        <f t="shared" ca="1" si="13"/>
        <v>-1.8104984410959248</v>
      </c>
    </row>
    <row r="59" spans="14:80" x14ac:dyDescent="0.25">
      <c r="N59">
        <f>IF(O58&lt;$L$8-$O$37/2,1-N28/2,dNULL)</f>
        <v>-99</v>
      </c>
      <c r="O59">
        <f>O58</f>
        <v>1.3856406460551016</v>
      </c>
      <c r="Y59" s="26"/>
      <c r="Z59" s="26"/>
      <c r="AB59" s="26" t="str">
        <f t="shared" ca="1" si="1"/>
        <v>Cold Creek Spring</v>
      </c>
      <c r="AC59">
        <f t="shared" ca="1" si="14"/>
        <v>53</v>
      </c>
      <c r="AD59" t="str">
        <f ca="1">IF(AND(AT59&lt;1,MAX(AW59:BH59)&gt;dNULL),DATA!$D67,"")</f>
        <v>Cold Creek Spring</v>
      </c>
      <c r="AE59" s="7">
        <f ca="1">IF(LEN(DATA!D67)&gt;0,SUMPRODUCT(OFFSET(DATA!$R$6,AE$5,0,1,10),DATA!$R67:$AA67),"")</f>
        <v>3.44311377245509</v>
      </c>
      <c r="AF59" s="7">
        <f ca="1">IF(LEN(DATA!E67)&gt;0,SUMPRODUCT(OFFSET(DATA!$R$6,AF$5,0,1,10),DATA!$R67:$AA67),"")</f>
        <v>1.3162224415926291</v>
      </c>
      <c r="AG59" s="7">
        <f ca="1">IF(LEN(DATA!F67)&gt;0,SUMPRODUCT(OFFSET(DATA!$R$6,AG$5,0,1,10),DATA!$R67:$AA67),"")</f>
        <v>7.9825646695026162E-2</v>
      </c>
      <c r="AH59" s="7">
        <f ca="1">IF(LEN(DATA!G67)&gt;0,SUMPRODUCT(OFFSET(DATA!$R$6,AH$5,0,1,10),DATA!$R67:$AA67),"")</f>
        <v>4.1554195775050588E-2</v>
      </c>
      <c r="AI59" s="7">
        <f ca="1">IF(LEN(DATA!H67)&gt;0,SUMPRODUCT(OFFSET(DATA!$R$6,AI$5,0,1,10),DATA!$R67:$AA67),"")</f>
        <v>0.18737976465101561</v>
      </c>
      <c r="AJ59" s="7">
        <f ca="1">IF(LEN(DATA!I67)&gt;0,SUMPRODUCT(OFFSET(DATA!$R$6,AJ$5,0,1,10),DATA!$R67:$AA67),"")</f>
        <v>4.7868852459016393</v>
      </c>
      <c r="AK59" s="7"/>
      <c r="AL59" s="7">
        <f t="shared" ca="1" si="2"/>
        <v>0.71151035479656777</v>
      </c>
      <c r="AM59" s="7">
        <f t="shared" ca="1" si="3"/>
        <v>0.27199388643524458</v>
      </c>
      <c r="AN59" s="7">
        <f t="shared" ca="1" si="4"/>
        <v>8.2846279073671356E-3</v>
      </c>
      <c r="AO59" s="7">
        <f t="shared" ca="1" si="5"/>
        <v>3.7357758910972448E-2</v>
      </c>
      <c r="AP59" s="7">
        <f t="shared" ca="1" si="6"/>
        <v>1.64957587681876E-2</v>
      </c>
      <c r="AQ59" s="7">
        <f t="shared" ca="1" si="7"/>
        <v>0.95435761318166035</v>
      </c>
      <c r="AS59">
        <f t="shared" si="8"/>
        <v>53</v>
      </c>
      <c r="AT59">
        <f t="shared" si="9"/>
        <v>0</v>
      </c>
      <c r="AU59">
        <f t="shared" ca="1" si="10"/>
        <v>0.15249270198580994</v>
      </c>
      <c r="AV59">
        <f t="shared" ca="1" si="11"/>
        <v>0.23555361532698144</v>
      </c>
      <c r="AW59">
        <f ca="1">IF(AND($AT59&lt;3,OFFSET(DATA!$C$14,$AS59,0)=AW$6),$AV59,dNULL)</f>
        <v>-99</v>
      </c>
      <c r="AX59">
        <f ca="1">IF(AND($AT59&lt;3,OFFSET(DATA!$C$14,$AS59,0)=AX$6),$AV59,dNULL)</f>
        <v>0.23555361532698144</v>
      </c>
      <c r="AY59">
        <f ca="1">IF(AND($AT59&lt;3,OFFSET(DATA!$C$14,$AS59,0)=AY$6),$AV59,dNULL)</f>
        <v>-99</v>
      </c>
      <c r="AZ59">
        <f ca="1">IF(AND($AT59&lt;3,OFFSET(DATA!$C$14,$AS59,0)=AZ$6),$AV59,dNULL)</f>
        <v>-99</v>
      </c>
      <c r="BA59">
        <f ca="1">IF(AND($AT59&lt;3,OFFSET(DATA!$C$14,$AS59,0)=BA$6),$AV59,dNULL)</f>
        <v>-99</v>
      </c>
      <c r="BB59">
        <f ca="1">IF(AND($AT59&lt;3,OFFSET(DATA!$C$14,$AS59,0)=BB$6),$AV59,dNULL)</f>
        <v>-99</v>
      </c>
      <c r="BC59">
        <f ca="1">IF(AND($AT59&lt;3,OFFSET(DATA!$C$14,$AS59,0)=BC$6),$AV59,dNULL)</f>
        <v>-99</v>
      </c>
      <c r="BD59">
        <f ca="1">IF(AND($AT59&lt;3,OFFSET(DATA!$C$14,$AS59,0)=BD$6),$AV59,dNULL)</f>
        <v>-99</v>
      </c>
      <c r="BE59">
        <f ca="1">IF(AND($AT59&lt;3,OFFSET(DATA!$C$14,$AS59,0)=BE$6),$AV59,dNULL)</f>
        <v>-99</v>
      </c>
      <c r="BF59">
        <f ca="1">IF(AND($AT59&lt;3,OFFSET(DATA!$C$14,$AS59,0)=BF$6),$AV59,dNULL)</f>
        <v>-99</v>
      </c>
      <c r="BG59">
        <f ca="1">IF(AND($AT59&lt;3,OFFSET(DATA!$C$14,$AS59,0)=BG$6),$AV59,dNULL)</f>
        <v>-99</v>
      </c>
      <c r="BH59">
        <f ca="1">IF(AND($AT59&lt;3,OFFSET(DATA!$C$14,$AS59,0)=BH$6),$AV59,dNULL)</f>
        <v>-99</v>
      </c>
      <c r="BU59">
        <f t="shared" si="17"/>
        <v>1</v>
      </c>
      <c r="BV59">
        <f t="shared" si="19"/>
        <v>0.62000000000000022</v>
      </c>
      <c r="BW59">
        <f t="shared" ca="1" si="12"/>
        <v>0.2</v>
      </c>
      <c r="BX59">
        <f t="shared" ca="1" si="13"/>
        <v>-0.2</v>
      </c>
    </row>
    <row r="60" spans="14:80" x14ac:dyDescent="0.25">
      <c r="Q60">
        <f t="shared" ref="Q60:Q69" si="37">Q27+1+dAnionOFF</f>
        <v>1.2625</v>
      </c>
      <c r="R60">
        <f t="shared" ref="R60:R69" si="38">R27</f>
        <v>6.4951905283832892E-2</v>
      </c>
      <c r="S60">
        <f>S38</f>
        <v>100</v>
      </c>
      <c r="T60">
        <f>T27</f>
        <v>60</v>
      </c>
      <c r="Y60" s="26"/>
      <c r="Z60" s="26"/>
      <c r="AB60" s="26" t="str">
        <f t="shared" ca="1" si="1"/>
        <v>Crystal Pool</v>
      </c>
      <c r="AC60">
        <f t="shared" ca="1" si="14"/>
        <v>54</v>
      </c>
      <c r="AD60" t="str">
        <f ca="1">IF(AND(AT60&lt;1,MAX(AW60:BH60)&gt;dNULL),DATA!$D68,"")</f>
        <v>Crystal Pool</v>
      </c>
      <c r="AE60" s="7">
        <f ca="1">IF(LEN(DATA!D68)&gt;0,SUMPRODUCT(OFFSET(DATA!$R$6,AE$5,0,1,10),DATA!$R68:$AA68),"")</f>
        <v>2.3116167664670657</v>
      </c>
      <c r="AF60" s="7">
        <f ca="1">IF(LEN(DATA!E68)&gt;0,SUMPRODUCT(OFFSET(DATA!$R$6,AF$5,0,1,10),DATA!$R68:$AA68),"")</f>
        <v>1.6596084238236259</v>
      </c>
      <c r="AG60" s="7">
        <f ca="1">IF(LEN(DATA!F68)&gt;0,SUMPRODUCT(OFFSET(DATA!$R$6,AG$5,0,1,10),DATA!$R68:$AA68),"")</f>
        <v>3.391037190112852</v>
      </c>
      <c r="AH60" s="7">
        <f ca="1">IF(LEN(DATA!G68)&gt;0,SUMPRODUCT(OFFSET(DATA!$R$6,AH$5,0,1,10),DATA!$R68:$AA68),"")</f>
        <v>0.72677733993152105</v>
      </c>
      <c r="AI60" s="7">
        <f ca="1">IF(LEN(DATA!H68)&gt;0,SUMPRODUCT(OFFSET(DATA!$R$6,AI$5,0,1,10),DATA!$R68:$AA68),"")</f>
        <v>1.7810238430340535</v>
      </c>
      <c r="AJ60" s="7">
        <f ca="1">IF(LEN(DATA!I68)&gt;0,SUMPRODUCT(OFFSET(DATA!$R$6,AJ$5,0,1,10),DATA!$R68:$AA68),"")</f>
        <v>4.9508196721311473</v>
      </c>
      <c r="AK60" s="7"/>
      <c r="AL60" s="7">
        <f t="shared" ca="1" si="2"/>
        <v>0.31398185055452482</v>
      </c>
      <c r="AM60" s="7">
        <f t="shared" ca="1" si="3"/>
        <v>0.22542098312620296</v>
      </c>
      <c r="AN60" s="7">
        <f t="shared" ca="1" si="4"/>
        <v>9.7441250071705968E-2</v>
      </c>
      <c r="AO60" s="7">
        <f t="shared" ca="1" si="5"/>
        <v>0.23878728757435377</v>
      </c>
      <c r="AP60" s="7">
        <f t="shared" ca="1" si="6"/>
        <v>0.46059716631927222</v>
      </c>
      <c r="AQ60" s="7">
        <f t="shared" ca="1" si="7"/>
        <v>0.66377146235394024</v>
      </c>
      <c r="AS60">
        <f t="shared" si="8"/>
        <v>54</v>
      </c>
      <c r="AT60">
        <f t="shared" si="9"/>
        <v>0</v>
      </c>
      <c r="AU60">
        <f t="shared" ca="1" si="10"/>
        <v>0.5733076578823737</v>
      </c>
      <c r="AV60">
        <f t="shared" ca="1" si="11"/>
        <v>0.19522029793335505</v>
      </c>
      <c r="AW60">
        <f ca="1">IF(AND($AT60&lt;3,OFFSET(DATA!$C$14,$AS60,0)=AW$6),$AV60,dNULL)</f>
        <v>0.19522029793335505</v>
      </c>
      <c r="AX60">
        <f ca="1">IF(AND($AT60&lt;3,OFFSET(DATA!$C$14,$AS60,0)=AX$6),$AV60,dNULL)</f>
        <v>-99</v>
      </c>
      <c r="AY60">
        <f ca="1">IF(AND($AT60&lt;3,OFFSET(DATA!$C$14,$AS60,0)=AY$6),$AV60,dNULL)</f>
        <v>-99</v>
      </c>
      <c r="AZ60">
        <f ca="1">IF(AND($AT60&lt;3,OFFSET(DATA!$C$14,$AS60,0)=AZ$6),$AV60,dNULL)</f>
        <v>-99</v>
      </c>
      <c r="BA60">
        <f ca="1">IF(AND($AT60&lt;3,OFFSET(DATA!$C$14,$AS60,0)=BA$6),$AV60,dNULL)</f>
        <v>-99</v>
      </c>
      <c r="BB60">
        <f ca="1">IF(AND($AT60&lt;3,OFFSET(DATA!$C$14,$AS60,0)=BB$6),$AV60,dNULL)</f>
        <v>-99</v>
      </c>
      <c r="BC60">
        <f ca="1">IF(AND($AT60&lt;3,OFFSET(DATA!$C$14,$AS60,0)=BC$6),$AV60,dNULL)</f>
        <v>-99</v>
      </c>
      <c r="BD60">
        <f ca="1">IF(AND($AT60&lt;3,OFFSET(DATA!$C$14,$AS60,0)=BD$6),$AV60,dNULL)</f>
        <v>-99</v>
      </c>
      <c r="BE60">
        <f ca="1">IF(AND($AT60&lt;3,OFFSET(DATA!$C$14,$AS60,0)=BE$6),$AV60,dNULL)</f>
        <v>-99</v>
      </c>
      <c r="BF60">
        <f ca="1">IF(AND($AT60&lt;3,OFFSET(DATA!$C$14,$AS60,0)=BF$6),$AV60,dNULL)</f>
        <v>-99</v>
      </c>
      <c r="BG60">
        <f ca="1">IF(AND($AT60&lt;3,OFFSET(DATA!$C$14,$AS60,0)=BG$6),$AV60,dNULL)</f>
        <v>-99</v>
      </c>
      <c r="BH60">
        <f ca="1">IF(AND($AT60&lt;3,OFFSET(DATA!$C$14,$AS60,0)=BH$6),$AV60,dNULL)</f>
        <v>-99</v>
      </c>
      <c r="BU60">
        <f t="shared" si="17"/>
        <v>1</v>
      </c>
      <c r="BV60">
        <f t="shared" si="19"/>
        <v>0.62000000000000022</v>
      </c>
      <c r="BW60">
        <f t="shared" ca="1" si="12"/>
        <v>1.9322296379582471</v>
      </c>
      <c r="BX60">
        <f t="shared" ca="1" si="13"/>
        <v>-1.7747216574282865</v>
      </c>
    </row>
    <row r="61" spans="14:80" x14ac:dyDescent="0.25">
      <c r="N61">
        <f>IF(O61&lt;$L$8-$O$37/2,N31/2,dNULL)</f>
        <v>-99</v>
      </c>
      <c r="O61">
        <f>O58+$O$37</f>
        <v>1.5588457268119893</v>
      </c>
      <c r="Q61">
        <f t="shared" si="37"/>
        <v>1.3625</v>
      </c>
      <c r="R61">
        <f t="shared" si="38"/>
        <v>0.23815698604072061</v>
      </c>
      <c r="S61">
        <f t="shared" ref="S61:S69" si="39">S39</f>
        <v>80</v>
      </c>
      <c r="T61">
        <f t="shared" ref="T61:T80" si="40">T28</f>
        <v>60</v>
      </c>
      <c r="Y61" s="26"/>
      <c r="Z61" s="26"/>
      <c r="AB61" s="26" t="str">
        <f t="shared" ca="1" si="1"/>
        <v>Death Valley Junction Well</v>
      </c>
      <c r="AC61">
        <f t="shared" ca="1" si="14"/>
        <v>55</v>
      </c>
      <c r="AD61" t="str">
        <f ca="1">IF(AND(AT61&lt;1,MAX(AW61:BH61)&gt;dNULL),DATA!$D69,"")</f>
        <v>Death Valley Junction Well</v>
      </c>
      <c r="AE61" s="7">
        <f ca="1">IF(LEN(DATA!D69)&gt;0,SUMPRODUCT(OFFSET(DATA!$R$6,AE$5,0,1,10),DATA!$R69:$AA69),"")</f>
        <v>4.9900199600798403E-2</v>
      </c>
      <c r="AF61" s="7">
        <f ca="1">IF(LEN(DATA!E69)&gt;0,SUMPRODUCT(OFFSET(DATA!$R$6,AF$5,0,1,10),DATA!$R69:$AA69),"")</f>
        <v>0.12339585389930897</v>
      </c>
      <c r="AG61" s="7">
        <f ca="1">IF(LEN(DATA!F69)&gt;0,SUMPRODUCT(OFFSET(DATA!$R$6,AG$5,0,1,10),DATA!$R69:$AA69),"")</f>
        <v>14.44357532938527</v>
      </c>
      <c r="AH61" s="7">
        <f ca="1">IF(LEN(DATA!G69)&gt;0,SUMPRODUCT(OFFSET(DATA!$R$6,AH$5,0,1,10),DATA!$R69:$AA69),"")</f>
        <v>1.9013791503829822</v>
      </c>
      <c r="AI61" s="7">
        <f ca="1">IF(LEN(DATA!H69)&gt;0,SUMPRODUCT(OFFSET(DATA!$R$6,AI$5,0,1,10),DATA!$R69:$AA69),"")</f>
        <v>3.1229960775169268</v>
      </c>
      <c r="AJ61" s="7">
        <f ca="1">IF(LEN(DATA!I69)&gt;0,SUMPRODUCT(OFFSET(DATA!$R$6,AJ$5,0,1,10),DATA!$R69:$AA69),"")</f>
        <v>10.10655737704918</v>
      </c>
      <c r="AK61" s="7"/>
      <c r="AL61" s="7">
        <f t="shared" ca="1" si="2"/>
        <v>3.4138769024967693E-3</v>
      </c>
      <c r="AM61" s="7">
        <f t="shared" ca="1" si="3"/>
        <v>8.4420154400339648E-3</v>
      </c>
      <c r="AN61" s="7">
        <f t="shared" ca="1" si="4"/>
        <v>0.12566172885874011</v>
      </c>
      <c r="AO61" s="7">
        <f t="shared" ca="1" si="5"/>
        <v>0.20639812224762963</v>
      </c>
      <c r="AP61" s="7">
        <f t="shared" ca="1" si="6"/>
        <v>0.98814410765746918</v>
      </c>
      <c r="AQ61" s="7">
        <f t="shared" ca="1" si="7"/>
        <v>0.6679401488936304</v>
      </c>
      <c r="AS61">
        <f t="shared" si="8"/>
        <v>55</v>
      </c>
      <c r="AT61">
        <f t="shared" si="9"/>
        <v>0</v>
      </c>
      <c r="AU61">
        <f t="shared" ca="1" si="10"/>
        <v>0.99236511537748628</v>
      </c>
      <c r="AV61">
        <f t="shared" ca="1" si="11"/>
        <v>7.3109998302098795E-3</v>
      </c>
      <c r="AW61">
        <f ca="1">IF(AND($AT61&lt;3,OFFSET(DATA!$C$14,$AS61,0)=AW$6),$AV61,dNULL)</f>
        <v>-99</v>
      </c>
      <c r="AX61">
        <f ca="1">IF(AND($AT61&lt;3,OFFSET(DATA!$C$14,$AS61,0)=AX$6),$AV61,dNULL)</f>
        <v>-99</v>
      </c>
      <c r="AY61">
        <f ca="1">IF(AND($AT61&lt;3,OFFSET(DATA!$C$14,$AS61,0)=AY$6),$AV61,dNULL)</f>
        <v>-99</v>
      </c>
      <c r="AZ61">
        <f ca="1">IF(AND($AT61&lt;3,OFFSET(DATA!$C$14,$AS61,0)=AZ$6),$AV61,dNULL)</f>
        <v>-99</v>
      </c>
      <c r="BA61">
        <f ca="1">IF(AND($AT61&lt;3,OFFSET(DATA!$C$14,$AS61,0)=BA$6),$AV61,dNULL)</f>
        <v>-99</v>
      </c>
      <c r="BB61">
        <f ca="1">IF(AND($AT61&lt;3,OFFSET(DATA!$C$14,$AS61,0)=BB$6),$AV61,dNULL)</f>
        <v>7.3109998302098795E-3</v>
      </c>
      <c r="BC61">
        <f ca="1">IF(AND($AT61&lt;3,OFFSET(DATA!$C$14,$AS61,0)=BC$6),$AV61,dNULL)</f>
        <v>-99</v>
      </c>
      <c r="BD61">
        <f ca="1">IF(AND($AT61&lt;3,OFFSET(DATA!$C$14,$AS61,0)=BD$6),$AV61,dNULL)</f>
        <v>-99</v>
      </c>
      <c r="BE61">
        <f ca="1">IF(AND($AT61&lt;3,OFFSET(DATA!$C$14,$AS61,0)=BE$6),$AV61,dNULL)</f>
        <v>-99</v>
      </c>
      <c r="BF61">
        <f ca="1">IF(AND($AT61&lt;3,OFFSET(DATA!$C$14,$AS61,0)=BF$6),$AV61,dNULL)</f>
        <v>-99</v>
      </c>
      <c r="BG61">
        <f ca="1">IF(AND($AT61&lt;3,OFFSET(DATA!$C$14,$AS61,0)=BG$6),$AV61,dNULL)</f>
        <v>-99</v>
      </c>
      <c r="BH61">
        <f ca="1">IF(AND($AT61&lt;3,OFFSET(DATA!$C$14,$AS61,0)=BH$6),$AV61,dNULL)</f>
        <v>-99</v>
      </c>
      <c r="BU61">
        <f t="shared" si="17"/>
        <v>1</v>
      </c>
      <c r="BV61">
        <f t="shared" si="19"/>
        <v>0.64000000000000024</v>
      </c>
      <c r="BW61">
        <f t="shared" ca="1" si="12"/>
        <v>0.2</v>
      </c>
      <c r="BX61">
        <f t="shared" ca="1" si="13"/>
        <v>-0.2</v>
      </c>
    </row>
    <row r="62" spans="14:80" x14ac:dyDescent="0.25">
      <c r="N62">
        <f>IF(O61&lt;$L$8-$O$37/2,1-N31/2,dNULL)</f>
        <v>-99</v>
      </c>
      <c r="O62">
        <f>O61</f>
        <v>1.5588457268119893</v>
      </c>
      <c r="Q62">
        <f t="shared" si="37"/>
        <v>1.4625000000000001</v>
      </c>
      <c r="R62">
        <f t="shared" si="38"/>
        <v>0.41136206679760834</v>
      </c>
      <c r="S62">
        <f t="shared" si="39"/>
        <v>60</v>
      </c>
      <c r="T62">
        <f t="shared" si="40"/>
        <v>60</v>
      </c>
      <c r="Y62" s="26"/>
      <c r="Z62" s="26"/>
      <c r="AB62" s="26" t="str">
        <f t="shared" ca="1" si="1"/>
        <v>Devils Hole</v>
      </c>
      <c r="AC62">
        <f t="shared" ca="1" si="14"/>
        <v>56</v>
      </c>
      <c r="AD62" t="str">
        <f ca="1">IF(AND(AT62&lt;1,MAX(AW62:BH62)&gt;dNULL),DATA!$D70,"")</f>
        <v>Devils Hole</v>
      </c>
      <c r="AE62" s="7">
        <f ca="1">IF(LEN(DATA!D70)&gt;0,SUMPRODUCT(OFFSET(DATA!$R$6,AE$5,0,1,10),DATA!$R70:$AA70),"")</f>
        <v>2.5074850299401197</v>
      </c>
      <c r="AF62" s="7">
        <f ca="1">IF(LEN(DATA!E70)&gt;0,SUMPRODUCT(OFFSET(DATA!$R$6,AF$5,0,1,10),DATA!$R70:$AA70),"")</f>
        <v>1.7069759789404408</v>
      </c>
      <c r="AG62" s="7">
        <f ca="1">IF(LEN(DATA!F70)&gt;0,SUMPRODUCT(OFFSET(DATA!$R$6,AG$5,0,1,10),DATA!$R70:$AA70),"")</f>
        <v>3.1515537204088995</v>
      </c>
      <c r="AH62" s="7">
        <f ca="1">IF(LEN(DATA!G70)&gt;0,SUMPRODUCT(OFFSET(DATA!$R$6,AH$5,0,1,10),DATA!$R70:$AA70),"")</f>
        <v>0.752802713723841</v>
      </c>
      <c r="AI62" s="7">
        <f ca="1">IF(LEN(DATA!H70)&gt;0,SUMPRODUCT(OFFSET(DATA!$R$6,AI$5,0,1,10),DATA!$R70:$AA70),"")</f>
        <v>1.7228528360968378</v>
      </c>
      <c r="AJ62" s="7">
        <f ca="1">IF(LEN(DATA!I70)&gt;0,SUMPRODUCT(OFFSET(DATA!$R$6,AJ$5,0,1,10),DATA!$R70:$AA70),"")</f>
        <v>4.9221311475409832</v>
      </c>
      <c r="AK62" s="7"/>
      <c r="AL62" s="7">
        <f t="shared" ca="1" si="2"/>
        <v>0.34041270919125582</v>
      </c>
      <c r="AM62" s="7">
        <f t="shared" ca="1" si="3"/>
        <v>0.23173670453752937</v>
      </c>
      <c r="AN62" s="7">
        <f t="shared" ca="1" si="4"/>
        <v>0.10176053251066562</v>
      </c>
      <c r="AO62" s="7">
        <f t="shared" ca="1" si="5"/>
        <v>0.23288760633113065</v>
      </c>
      <c r="AP62" s="7">
        <f t="shared" ca="1" si="6"/>
        <v>0.42785058627121486</v>
      </c>
      <c r="AQ62" s="7">
        <f t="shared" ca="1" si="7"/>
        <v>0.66535186115820377</v>
      </c>
      <c r="AS62">
        <f t="shared" si="8"/>
        <v>56</v>
      </c>
      <c r="AT62">
        <f t="shared" si="9"/>
        <v>0</v>
      </c>
      <c r="AU62">
        <f t="shared" ca="1" si="10"/>
        <v>0.54371893853997944</v>
      </c>
      <c r="AV62">
        <f t="shared" ca="1" si="11"/>
        <v>0.20068987311878903</v>
      </c>
      <c r="AW62">
        <f ca="1">IF(AND($AT62&lt;3,OFFSET(DATA!$C$14,$AS62,0)=AW$6),$AV62,dNULL)</f>
        <v>0.20068987311878903</v>
      </c>
      <c r="AX62">
        <f ca="1">IF(AND($AT62&lt;3,OFFSET(DATA!$C$14,$AS62,0)=AX$6),$AV62,dNULL)</f>
        <v>-99</v>
      </c>
      <c r="AY62">
        <f ca="1">IF(AND($AT62&lt;3,OFFSET(DATA!$C$14,$AS62,0)=AY$6),$AV62,dNULL)</f>
        <v>-99</v>
      </c>
      <c r="AZ62">
        <f ca="1">IF(AND($AT62&lt;3,OFFSET(DATA!$C$14,$AS62,0)=AZ$6),$AV62,dNULL)</f>
        <v>-99</v>
      </c>
      <c r="BA62">
        <f ca="1">IF(AND($AT62&lt;3,OFFSET(DATA!$C$14,$AS62,0)=BA$6),$AV62,dNULL)</f>
        <v>-99</v>
      </c>
      <c r="BB62">
        <f ca="1">IF(AND($AT62&lt;3,OFFSET(DATA!$C$14,$AS62,0)=BB$6),$AV62,dNULL)</f>
        <v>-99</v>
      </c>
      <c r="BC62">
        <f ca="1">IF(AND($AT62&lt;3,OFFSET(DATA!$C$14,$AS62,0)=BC$6),$AV62,dNULL)</f>
        <v>-99</v>
      </c>
      <c r="BD62">
        <f ca="1">IF(AND($AT62&lt;3,OFFSET(DATA!$C$14,$AS62,0)=BD$6),$AV62,dNULL)</f>
        <v>-99</v>
      </c>
      <c r="BE62">
        <f ca="1">IF(AND($AT62&lt;3,OFFSET(DATA!$C$14,$AS62,0)=BE$6),$AV62,dNULL)</f>
        <v>-99</v>
      </c>
      <c r="BF62">
        <f ca="1">IF(AND($AT62&lt;3,OFFSET(DATA!$C$14,$AS62,0)=BF$6),$AV62,dNULL)</f>
        <v>-99</v>
      </c>
      <c r="BG62">
        <f ca="1">IF(AND($AT62&lt;3,OFFSET(DATA!$C$14,$AS62,0)=BG$6),$AV62,dNULL)</f>
        <v>-99</v>
      </c>
      <c r="BH62">
        <f ca="1">IF(AND($AT62&lt;3,OFFSET(DATA!$C$14,$AS62,0)=BH$6),$AV62,dNULL)</f>
        <v>-99</v>
      </c>
      <c r="BU62">
        <f t="shared" si="17"/>
        <v>1</v>
      </c>
      <c r="BV62">
        <f t="shared" si="19"/>
        <v>0.64000000000000024</v>
      </c>
      <c r="BW62">
        <f t="shared" ca="1" si="12"/>
        <v>1.8725118195436528</v>
      </c>
      <c r="BX62">
        <f t="shared" ca="1" si="13"/>
        <v>-1.7389448737606479</v>
      </c>
    </row>
    <row r="63" spans="14:80" x14ac:dyDescent="0.25">
      <c r="Q63">
        <f t="shared" si="37"/>
        <v>1.5625000000000002</v>
      </c>
      <c r="R63">
        <f t="shared" si="38"/>
        <v>0.58456714755449612</v>
      </c>
      <c r="S63">
        <f t="shared" si="39"/>
        <v>39.999999999999993</v>
      </c>
      <c r="T63">
        <f t="shared" si="40"/>
        <v>60</v>
      </c>
      <c r="Y63" s="26"/>
      <c r="Z63" s="26"/>
      <c r="AB63" s="26" t="str">
        <f t="shared" ca="1" si="1"/>
        <v>Devils Hole Well</v>
      </c>
      <c r="AC63">
        <f t="shared" ca="1" si="14"/>
        <v>57</v>
      </c>
      <c r="AD63" t="str">
        <f ca="1">IF(AND(AT63&lt;1,MAX(AW63:BH63)&gt;dNULL),DATA!$D71,"")</f>
        <v>Devils Hole Well</v>
      </c>
      <c r="AE63" s="7">
        <f ca="1">IF(LEN(DATA!D71)&gt;0,SUMPRODUCT(OFFSET(DATA!$R$6,AE$5,0,1,10),DATA!$R71:$AA71),"")</f>
        <v>2.2954091816367268</v>
      </c>
      <c r="AF63" s="7">
        <f ca="1">IF(LEN(DATA!E71)&gt;0,SUMPRODUCT(OFFSET(DATA!$R$6,AF$5,0,1,10),DATA!$R71:$AA71),"")</f>
        <v>1.6452780519907864</v>
      </c>
      <c r="AG63" s="7">
        <f ca="1">IF(LEN(DATA!F71)&gt;0,SUMPRODUCT(OFFSET(DATA!$R$6,AG$5,0,1,10),DATA!$R71:$AA71),"")</f>
        <v>3.2212647076517023</v>
      </c>
      <c r="AH63" s="7">
        <f ca="1">IF(LEN(DATA!G71)&gt;0,SUMPRODUCT(OFFSET(DATA!$R$6,AH$5,0,1,10),DATA!$R71:$AA71),"")</f>
        <v>0.65360837373168357</v>
      </c>
      <c r="AI63" s="7">
        <f ca="1">IF(LEN(DATA!H71)&gt;0,SUMPRODUCT(OFFSET(DATA!$R$6,AI$5,0,1,10),DATA!$R71:$AA71),"")</f>
        <v>1.603137986458689</v>
      </c>
      <c r="AJ63" s="7">
        <f ca="1">IF(LEN(DATA!I71)&gt;0,SUMPRODUCT(OFFSET(DATA!$R$6,AJ$5,0,1,10),DATA!$R71:$AA71),"")</f>
        <v>4.918032786885246</v>
      </c>
      <c r="AK63" s="7"/>
      <c r="AL63" s="7">
        <f t="shared" ca="1" si="2"/>
        <v>0.3205005004860082</v>
      </c>
      <c r="AM63" s="7">
        <f t="shared" ca="1" si="3"/>
        <v>0.22972481042604131</v>
      </c>
      <c r="AN63" s="7">
        <f t="shared" ca="1" si="4"/>
        <v>9.1098047805149379E-2</v>
      </c>
      <c r="AO63" s="7">
        <f t="shared" ca="1" si="5"/>
        <v>0.22344074341467571</v>
      </c>
      <c r="AP63" s="7">
        <f t="shared" ca="1" si="6"/>
        <v>0.44977468908795043</v>
      </c>
      <c r="AQ63" s="7">
        <f t="shared" ca="1" si="7"/>
        <v>0.68546120878017491</v>
      </c>
      <c r="AS63">
        <f t="shared" si="8"/>
        <v>57</v>
      </c>
      <c r="AT63">
        <f t="shared" si="9"/>
        <v>0</v>
      </c>
      <c r="AU63">
        <f t="shared" ca="1" si="10"/>
        <v>0.56463709430097109</v>
      </c>
      <c r="AV63">
        <f t="shared" ca="1" si="11"/>
        <v>0.19894752170851604</v>
      </c>
      <c r="AW63">
        <f ca="1">IF(AND($AT63&lt;3,OFFSET(DATA!$C$14,$AS63,0)=AW$6),$AV63,dNULL)</f>
        <v>0.19894752170851604</v>
      </c>
      <c r="AX63">
        <f ca="1">IF(AND($AT63&lt;3,OFFSET(DATA!$C$14,$AS63,0)=AX$6),$AV63,dNULL)</f>
        <v>-99</v>
      </c>
      <c r="AY63">
        <f ca="1">IF(AND($AT63&lt;3,OFFSET(DATA!$C$14,$AS63,0)=AY$6),$AV63,dNULL)</f>
        <v>-99</v>
      </c>
      <c r="AZ63">
        <f ca="1">IF(AND($AT63&lt;3,OFFSET(DATA!$C$14,$AS63,0)=AZ$6),$AV63,dNULL)</f>
        <v>-99</v>
      </c>
      <c r="BA63">
        <f ca="1">IF(AND($AT63&lt;3,OFFSET(DATA!$C$14,$AS63,0)=BA$6),$AV63,dNULL)</f>
        <v>-99</v>
      </c>
      <c r="BB63">
        <f ca="1">IF(AND($AT63&lt;3,OFFSET(DATA!$C$14,$AS63,0)=BB$6),$AV63,dNULL)</f>
        <v>-99</v>
      </c>
      <c r="BC63">
        <f ca="1">IF(AND($AT63&lt;3,OFFSET(DATA!$C$14,$AS63,0)=BC$6),$AV63,dNULL)</f>
        <v>-99</v>
      </c>
      <c r="BD63">
        <f ca="1">IF(AND($AT63&lt;3,OFFSET(DATA!$C$14,$AS63,0)=BD$6),$AV63,dNULL)</f>
        <v>-99</v>
      </c>
      <c r="BE63">
        <f ca="1">IF(AND($AT63&lt;3,OFFSET(DATA!$C$14,$AS63,0)=BE$6),$AV63,dNULL)</f>
        <v>-99</v>
      </c>
      <c r="BF63">
        <f ca="1">IF(AND($AT63&lt;3,OFFSET(DATA!$C$14,$AS63,0)=BF$6),$AV63,dNULL)</f>
        <v>-99</v>
      </c>
      <c r="BG63">
        <f ca="1">IF(AND($AT63&lt;3,OFFSET(DATA!$C$14,$AS63,0)=BG$6),$AV63,dNULL)</f>
        <v>-99</v>
      </c>
      <c r="BH63">
        <f ca="1">IF(AND($AT63&lt;3,OFFSET(DATA!$C$14,$AS63,0)=BH$6),$AV63,dNULL)</f>
        <v>-99</v>
      </c>
      <c r="BU63">
        <f t="shared" si="17"/>
        <v>1</v>
      </c>
      <c r="BV63">
        <f t="shared" si="19"/>
        <v>0.66000000000000025</v>
      </c>
      <c r="BW63">
        <f t="shared" ca="1" si="12"/>
        <v>0.2</v>
      </c>
      <c r="BX63">
        <f t="shared" ca="1" si="13"/>
        <v>-0.2</v>
      </c>
    </row>
    <row r="64" spans="14:80" x14ac:dyDescent="0.25">
      <c r="N64">
        <f>IF(O64&lt;$L$8-$O$37/2,N34/2,dNULL)</f>
        <v>-99</v>
      </c>
      <c r="O64">
        <f>O61+$O$37</f>
        <v>1.732050807568877</v>
      </c>
      <c r="Q64">
        <f t="shared" si="37"/>
        <v>1.6625000000000001</v>
      </c>
      <c r="R64">
        <f t="shared" si="38"/>
        <v>0.7577722283113838</v>
      </c>
      <c r="S64">
        <f t="shared" si="39"/>
        <v>20</v>
      </c>
      <c r="T64">
        <f t="shared" si="40"/>
        <v>60</v>
      </c>
      <c r="Y64" s="26"/>
      <c r="Z64" s="26"/>
      <c r="AB64" s="26" t="str">
        <f t="shared" ca="1" si="1"/>
        <v>Fairbanks Spring</v>
      </c>
      <c r="AC64">
        <f t="shared" ca="1" si="14"/>
        <v>58</v>
      </c>
      <c r="AD64" t="str">
        <f ca="1">IF(AND(AT64&lt;1,MAX(AW64:BH64)&gt;dNULL),DATA!$D72,"")</f>
        <v>Fairbanks Spring</v>
      </c>
      <c r="AE64" s="7">
        <f ca="1">IF(LEN(DATA!D72)&gt;0,SUMPRODUCT(OFFSET(DATA!$R$6,AE$5,0,1,10),DATA!$R72:$AA72),"")</f>
        <v>2.3952095808383236</v>
      </c>
      <c r="AF64" s="7">
        <f ca="1">IF(LEN(DATA!E72)&gt;0,SUMPRODUCT(OFFSET(DATA!$R$6,AF$5,0,1,10),DATA!$R72:$AA72),"")</f>
        <v>1.6452780519907864</v>
      </c>
      <c r="AG64" s="7">
        <f ca="1">IF(LEN(DATA!F72)&gt;0,SUMPRODUCT(OFFSET(DATA!$R$6,AG$5,0,1,10),DATA!$R72:$AA72),"")</f>
        <v>3.2110350518796187</v>
      </c>
      <c r="AH64" s="7">
        <f ca="1">IF(LEN(DATA!G72)&gt;0,SUMPRODUCT(OFFSET(DATA!$R$6,AH$5,0,1,10),DATA!$R72:$AA72),"")</f>
        <v>0.68181473144471216</v>
      </c>
      <c r="AI64" s="7">
        <f ca="1">IF(LEN(DATA!H72)&gt;0,SUMPRODUCT(OFFSET(DATA!$R$6,AI$5,0,1,10),DATA!$R72:$AA72),"")</f>
        <v>1.6655979080090275</v>
      </c>
      <c r="AJ64" s="7">
        <f ca="1">IF(LEN(DATA!I72)&gt;0,SUMPRODUCT(OFFSET(DATA!$R$6,AJ$5,0,1,10),DATA!$R72:$AA72),"")</f>
        <v>5.0163934426229506</v>
      </c>
      <c r="AK64" s="7"/>
      <c r="AL64" s="7">
        <f t="shared" ca="1" si="2"/>
        <v>0.33030436295663768</v>
      </c>
      <c r="AM64" s="7">
        <f t="shared" ca="1" si="3"/>
        <v>0.22688725161960549</v>
      </c>
      <c r="AN64" s="7">
        <f t="shared" ca="1" si="4"/>
        <v>9.2589989992299115E-2</v>
      </c>
      <c r="AO64" s="7">
        <f t="shared" ca="1" si="5"/>
        <v>0.22618709529343103</v>
      </c>
      <c r="AP64" s="7">
        <f t="shared" ca="1" si="6"/>
        <v>0.44280838542375683</v>
      </c>
      <c r="AQ64" s="7">
        <f t="shared" ca="1" si="7"/>
        <v>0.68122291471426977</v>
      </c>
      <c r="AS64">
        <f t="shared" si="8"/>
        <v>58</v>
      </c>
      <c r="AT64">
        <f t="shared" si="9"/>
        <v>0</v>
      </c>
      <c r="AU64">
        <f t="shared" ca="1" si="10"/>
        <v>0.55625201123355961</v>
      </c>
      <c r="AV64">
        <f t="shared" ca="1" si="11"/>
        <v>0.19649012369741037</v>
      </c>
      <c r="AW64">
        <f ca="1">IF(AND($AT64&lt;3,OFFSET(DATA!$C$14,$AS64,0)=AW$6),$AV64,dNULL)</f>
        <v>0.19649012369741037</v>
      </c>
      <c r="AX64">
        <f ca="1">IF(AND($AT64&lt;3,OFFSET(DATA!$C$14,$AS64,0)=AX$6),$AV64,dNULL)</f>
        <v>-99</v>
      </c>
      <c r="AY64">
        <f ca="1">IF(AND($AT64&lt;3,OFFSET(DATA!$C$14,$AS64,0)=AY$6),$AV64,dNULL)</f>
        <v>-99</v>
      </c>
      <c r="AZ64">
        <f ca="1">IF(AND($AT64&lt;3,OFFSET(DATA!$C$14,$AS64,0)=AZ$6),$AV64,dNULL)</f>
        <v>-99</v>
      </c>
      <c r="BA64">
        <f ca="1">IF(AND($AT64&lt;3,OFFSET(DATA!$C$14,$AS64,0)=BA$6),$AV64,dNULL)</f>
        <v>-99</v>
      </c>
      <c r="BB64">
        <f ca="1">IF(AND($AT64&lt;3,OFFSET(DATA!$C$14,$AS64,0)=BB$6),$AV64,dNULL)</f>
        <v>-99</v>
      </c>
      <c r="BC64">
        <f ca="1">IF(AND($AT64&lt;3,OFFSET(DATA!$C$14,$AS64,0)=BC$6),$AV64,dNULL)</f>
        <v>-99</v>
      </c>
      <c r="BD64">
        <f ca="1">IF(AND($AT64&lt;3,OFFSET(DATA!$C$14,$AS64,0)=BD$6),$AV64,dNULL)</f>
        <v>-99</v>
      </c>
      <c r="BE64">
        <f ca="1">IF(AND($AT64&lt;3,OFFSET(DATA!$C$14,$AS64,0)=BE$6),$AV64,dNULL)</f>
        <v>-99</v>
      </c>
      <c r="BF64">
        <f ca="1">IF(AND($AT64&lt;3,OFFSET(DATA!$C$14,$AS64,0)=BF$6),$AV64,dNULL)</f>
        <v>-99</v>
      </c>
      <c r="BG64">
        <f ca="1">IF(AND($AT64&lt;3,OFFSET(DATA!$C$14,$AS64,0)=BG$6),$AV64,dNULL)</f>
        <v>-99</v>
      </c>
      <c r="BH64">
        <f ca="1">IF(AND($AT64&lt;3,OFFSET(DATA!$C$14,$AS64,0)=BH$6),$AV64,dNULL)</f>
        <v>-99</v>
      </c>
      <c r="BU64">
        <f t="shared" si="17"/>
        <v>1</v>
      </c>
      <c r="BV64">
        <f t="shared" si="19"/>
        <v>0.66000000000000025</v>
      </c>
      <c r="BW64">
        <f t="shared" ca="1" si="12"/>
        <v>1.8127940011290582</v>
      </c>
      <c r="BX64">
        <f t="shared" ca="1" si="13"/>
        <v>-1.7031680900930095</v>
      </c>
    </row>
    <row r="65" spans="13:76" x14ac:dyDescent="0.25">
      <c r="N65">
        <f>IF(O64&lt;$L$8-$O$37/2,1-N34/2,dNULL)</f>
        <v>-99</v>
      </c>
      <c r="O65">
        <f>O64</f>
        <v>1.732050807568877</v>
      </c>
      <c r="Q65">
        <f t="shared" si="37"/>
        <v>1.7625</v>
      </c>
      <c r="R65">
        <f t="shared" si="38"/>
        <v>0.93097730906827147</v>
      </c>
      <c r="S65">
        <f t="shared" si="39"/>
        <v>0</v>
      </c>
      <c r="T65">
        <f t="shared" si="40"/>
        <v>60</v>
      </c>
      <c r="Y65" s="26"/>
      <c r="Z65" s="26"/>
      <c r="AB65" s="26" t="str">
        <f t="shared" ca="1" si="1"/>
        <v>Five Springs Area</v>
      </c>
      <c r="AC65">
        <f t="shared" ca="1" si="14"/>
        <v>59</v>
      </c>
      <c r="AD65" t="str">
        <f ca="1">IF(AND(AT65&lt;1,MAX(AW65:BH65)&gt;dNULL),DATA!$D73,"")</f>
        <v>Five Springs Area</v>
      </c>
      <c r="AE65" s="7">
        <f ca="1">IF(LEN(DATA!D73)&gt;0,SUMPRODUCT(OFFSET(DATA!$R$6,AE$5,0,1,10),DATA!$R73:$AA73),"")</f>
        <v>2.2455089820359282</v>
      </c>
      <c r="AF65" s="7">
        <f ca="1">IF(LEN(DATA!E73)&gt;0,SUMPRODUCT(OFFSET(DATA!$R$6,AF$5,0,1,10),DATA!$R73:$AA73),"")</f>
        <v>1.5630141493912471</v>
      </c>
      <c r="AG65" s="7">
        <f ca="1">IF(LEN(DATA!F73)&gt;0,SUMPRODUCT(OFFSET(DATA!$R$6,AG$5,0,1,10),DATA!$R73:$AA73),"")</f>
        <v>3.3415275348601363</v>
      </c>
      <c r="AH65" s="7">
        <f ca="1">IF(LEN(DATA!G73)&gt;0,SUMPRODUCT(OFFSET(DATA!$R$6,AH$5,0,1,10),DATA!$R73:$AA73),"")</f>
        <v>0.65360837373168357</v>
      </c>
      <c r="AI65" s="7">
        <f ca="1">IF(LEN(DATA!H73)&gt;0,SUMPRODUCT(OFFSET(DATA!$R$6,AI$5,0,1,10),DATA!$R73:$AA73),"")</f>
        <v>1.7072378557092533</v>
      </c>
      <c r="AJ65" s="7">
        <f ca="1">IF(LEN(DATA!I73)&gt;0,SUMPRODUCT(OFFSET(DATA!$R$6,AJ$5,0,1,10),DATA!$R73:$AA73),"")</f>
        <v>4.4098360655737707</v>
      </c>
      <c r="AK65" s="7"/>
      <c r="AL65" s="7">
        <f t="shared" ca="1" si="2"/>
        <v>0.31405497483025757</v>
      </c>
      <c r="AM65" s="7">
        <f t="shared" ca="1" si="3"/>
        <v>0.2186018284822655</v>
      </c>
      <c r="AN65" s="7">
        <f t="shared" ca="1" si="4"/>
        <v>9.653508247063064E-2</v>
      </c>
      <c r="AO65" s="7">
        <f t="shared" ca="1" si="5"/>
        <v>0.25215152348328357</v>
      </c>
      <c r="AP65" s="7">
        <f t="shared" ca="1" si="6"/>
        <v>0.46734319668747687</v>
      </c>
      <c r="AQ65" s="7">
        <f t="shared" ca="1" si="7"/>
        <v>0.65131339404608579</v>
      </c>
      <c r="AS65">
        <f t="shared" si="8"/>
        <v>59</v>
      </c>
      <c r="AT65">
        <f t="shared" si="9"/>
        <v>0</v>
      </c>
      <c r="AU65">
        <f t="shared" ca="1" si="10"/>
        <v>0.57664411092860968</v>
      </c>
      <c r="AV65">
        <f t="shared" ca="1" si="11"/>
        <v>0.18931473677937058</v>
      </c>
      <c r="AW65">
        <f ca="1">IF(AND($AT65&lt;3,OFFSET(DATA!$C$14,$AS65,0)=AW$6),$AV65,dNULL)</f>
        <v>0.18931473677937058</v>
      </c>
      <c r="AX65">
        <f ca="1">IF(AND($AT65&lt;3,OFFSET(DATA!$C$14,$AS65,0)=AX$6),$AV65,dNULL)</f>
        <v>-99</v>
      </c>
      <c r="AY65">
        <f ca="1">IF(AND($AT65&lt;3,OFFSET(DATA!$C$14,$AS65,0)=AY$6),$AV65,dNULL)</f>
        <v>-99</v>
      </c>
      <c r="AZ65">
        <f ca="1">IF(AND($AT65&lt;3,OFFSET(DATA!$C$14,$AS65,0)=AZ$6),$AV65,dNULL)</f>
        <v>-99</v>
      </c>
      <c r="BA65">
        <f ca="1">IF(AND($AT65&lt;3,OFFSET(DATA!$C$14,$AS65,0)=BA$6),$AV65,dNULL)</f>
        <v>-99</v>
      </c>
      <c r="BB65">
        <f ca="1">IF(AND($AT65&lt;3,OFFSET(DATA!$C$14,$AS65,0)=BB$6),$AV65,dNULL)</f>
        <v>-99</v>
      </c>
      <c r="BC65">
        <f ca="1">IF(AND($AT65&lt;3,OFFSET(DATA!$C$14,$AS65,0)=BC$6),$AV65,dNULL)</f>
        <v>-99</v>
      </c>
      <c r="BD65">
        <f ca="1">IF(AND($AT65&lt;3,OFFSET(DATA!$C$14,$AS65,0)=BD$6),$AV65,dNULL)</f>
        <v>-99</v>
      </c>
      <c r="BE65">
        <f ca="1">IF(AND($AT65&lt;3,OFFSET(DATA!$C$14,$AS65,0)=BE$6),$AV65,dNULL)</f>
        <v>-99</v>
      </c>
      <c r="BF65">
        <f ca="1">IF(AND($AT65&lt;3,OFFSET(DATA!$C$14,$AS65,0)=BF$6),$AV65,dNULL)</f>
        <v>-99</v>
      </c>
      <c r="BG65">
        <f ca="1">IF(AND($AT65&lt;3,OFFSET(DATA!$C$14,$AS65,0)=BG$6),$AV65,dNULL)</f>
        <v>-99</v>
      </c>
      <c r="BH65">
        <f ca="1">IF(AND($AT65&lt;3,OFFSET(DATA!$C$14,$AS65,0)=BH$6),$AV65,dNULL)</f>
        <v>-99</v>
      </c>
      <c r="BU65">
        <f t="shared" si="17"/>
        <v>1</v>
      </c>
      <c r="BV65">
        <f t="shared" si="19"/>
        <v>0.68000000000000027</v>
      </c>
      <c r="BW65">
        <f t="shared" ca="1" si="12"/>
        <v>0.2</v>
      </c>
      <c r="BX65">
        <f t="shared" ca="1" si="13"/>
        <v>-0.2</v>
      </c>
    </row>
    <row r="66" spans="13:76" x14ac:dyDescent="0.25">
      <c r="Q66">
        <f t="shared" si="37"/>
        <v>1.8625</v>
      </c>
      <c r="R66">
        <f t="shared" si="38"/>
        <v>-98.935048094716166</v>
      </c>
      <c r="S66">
        <f t="shared" si="39"/>
        <v>-20</v>
      </c>
      <c r="T66">
        <f t="shared" si="40"/>
        <v>60</v>
      </c>
      <c r="Y66" s="26"/>
      <c r="Z66" s="26"/>
      <c r="AB66" s="26" t="str">
        <f t="shared" ca="1" si="1"/>
        <v>Grapevine Spring</v>
      </c>
      <c r="AC66">
        <f t="shared" ca="1" si="14"/>
        <v>60</v>
      </c>
      <c r="AD66" t="str">
        <f ca="1">IF(AND(AT66&lt;1,MAX(AW66:BH66)&gt;dNULL),DATA!$D74,"")</f>
        <v>Grapevine Spring</v>
      </c>
      <c r="AE66" s="7">
        <f ca="1">IF(LEN(DATA!D74)&gt;0,SUMPRODUCT(OFFSET(DATA!$R$6,AE$5,0,1,10),DATA!$R74:$AA74),"")</f>
        <v>2.8443113772455093</v>
      </c>
      <c r="AF66" s="7">
        <f ca="1">IF(LEN(DATA!E74)&gt;0,SUMPRODUCT(OFFSET(DATA!$R$6,AF$5,0,1,10),DATA!$R74:$AA74),"")</f>
        <v>3.2905561039815727</v>
      </c>
      <c r="AG66" s="7">
        <f ca="1">IF(LEN(DATA!F74)&gt;0,SUMPRODUCT(OFFSET(DATA!$R$6,AG$5,0,1,10),DATA!$R74:$AA74),"")</f>
        <v>1.2127935559699734</v>
      </c>
      <c r="AH66" s="7">
        <f ca="1">IF(LEN(DATA!G74)&gt;0,SUMPRODUCT(OFFSET(DATA!$R$6,AH$5,0,1,10),DATA!$R74:$AA74),"")</f>
        <v>0.34900349484706139</v>
      </c>
      <c r="AI66" s="7">
        <f ca="1">IF(LEN(DATA!H74)&gt;0,SUMPRODUCT(OFFSET(DATA!$R$6,AI$5,0,1,10),DATA!$R74:$AA74),"")</f>
        <v>2.7065966005146698</v>
      </c>
      <c r="AJ66" s="7">
        <f ca="1">IF(LEN(DATA!I74)&gt;0,SUMPRODUCT(OFFSET(DATA!$R$6,AJ$5,0,1,10),DATA!$R74:$AA74),"")</f>
        <v>4.3442622950819674</v>
      </c>
      <c r="AK66" s="7"/>
      <c r="AL66" s="7">
        <f t="shared" ca="1" si="2"/>
        <v>0.38710432651239191</v>
      </c>
      <c r="AM66" s="7">
        <f t="shared" ca="1" si="3"/>
        <v>0.44783722157613787</v>
      </c>
      <c r="AN66" s="7">
        <f t="shared" ca="1" si="4"/>
        <v>4.7163511486074408E-2</v>
      </c>
      <c r="AO66" s="7">
        <f t="shared" ca="1" si="5"/>
        <v>0.36576309905573545</v>
      </c>
      <c r="AP66" s="7">
        <f t="shared" ca="1" si="6"/>
        <v>0.1650584519114702</v>
      </c>
      <c r="AQ66" s="7">
        <f t="shared" ca="1" si="7"/>
        <v>0.58707338945819021</v>
      </c>
      <c r="AS66">
        <f t="shared" si="8"/>
        <v>60</v>
      </c>
      <c r="AT66">
        <f t="shared" si="9"/>
        <v>0</v>
      </c>
      <c r="AU66">
        <f t="shared" ca="1" si="10"/>
        <v>0.38897706269953913</v>
      </c>
      <c r="AV66">
        <f t="shared" ca="1" si="11"/>
        <v>0.38783841064517588</v>
      </c>
      <c r="AW66">
        <f ca="1">IF(AND($AT66&lt;3,OFFSET(DATA!$C$14,$AS66,0)=AW$6),$AV66,dNULL)</f>
        <v>-99</v>
      </c>
      <c r="AX66">
        <f ca="1">IF(AND($AT66&lt;3,OFFSET(DATA!$C$14,$AS66,0)=AX$6),$AV66,dNULL)</f>
        <v>0.38783841064517588</v>
      </c>
      <c r="AY66">
        <f ca="1">IF(AND($AT66&lt;3,OFFSET(DATA!$C$14,$AS66,0)=AY$6),$AV66,dNULL)</f>
        <v>-99</v>
      </c>
      <c r="AZ66">
        <f ca="1">IF(AND($AT66&lt;3,OFFSET(DATA!$C$14,$AS66,0)=AZ$6),$AV66,dNULL)</f>
        <v>-99</v>
      </c>
      <c r="BA66">
        <f ca="1">IF(AND($AT66&lt;3,OFFSET(DATA!$C$14,$AS66,0)=BA$6),$AV66,dNULL)</f>
        <v>-99</v>
      </c>
      <c r="BB66">
        <f ca="1">IF(AND($AT66&lt;3,OFFSET(DATA!$C$14,$AS66,0)=BB$6),$AV66,dNULL)</f>
        <v>-99</v>
      </c>
      <c r="BC66">
        <f ca="1">IF(AND($AT66&lt;3,OFFSET(DATA!$C$14,$AS66,0)=BC$6),$AV66,dNULL)</f>
        <v>-99</v>
      </c>
      <c r="BD66">
        <f ca="1">IF(AND($AT66&lt;3,OFFSET(DATA!$C$14,$AS66,0)=BD$6),$AV66,dNULL)</f>
        <v>-99</v>
      </c>
      <c r="BE66">
        <f ca="1">IF(AND($AT66&lt;3,OFFSET(DATA!$C$14,$AS66,0)=BE$6),$AV66,dNULL)</f>
        <v>-99</v>
      </c>
      <c r="BF66">
        <f ca="1">IF(AND($AT66&lt;3,OFFSET(DATA!$C$14,$AS66,0)=BF$6),$AV66,dNULL)</f>
        <v>-99</v>
      </c>
      <c r="BG66">
        <f ca="1">IF(AND($AT66&lt;3,OFFSET(DATA!$C$14,$AS66,0)=BG$6),$AV66,dNULL)</f>
        <v>-99</v>
      </c>
      <c r="BH66">
        <f ca="1">IF(AND($AT66&lt;3,OFFSET(DATA!$C$14,$AS66,0)=BH$6),$AV66,dNULL)</f>
        <v>-99</v>
      </c>
      <c r="BU66">
        <f t="shared" si="17"/>
        <v>1</v>
      </c>
      <c r="BV66">
        <f t="shared" si="19"/>
        <v>0.68000000000000027</v>
      </c>
      <c r="BW66">
        <f t="shared" ca="1" si="12"/>
        <v>1.7530761827144639</v>
      </c>
      <c r="BX66">
        <f t="shared" ca="1" si="13"/>
        <v>-1.6673913064253711</v>
      </c>
    </row>
    <row r="67" spans="13:76" x14ac:dyDescent="0.25">
      <c r="M67" t="s">
        <v>70</v>
      </c>
      <c r="N67">
        <f>N5</f>
        <v>0.2</v>
      </c>
      <c r="O67">
        <v>0</v>
      </c>
      <c r="Q67">
        <f t="shared" si="37"/>
        <v>1.9625000000000001</v>
      </c>
      <c r="R67">
        <f t="shared" si="38"/>
        <v>-98.935048094716166</v>
      </c>
      <c r="S67">
        <f t="shared" si="39"/>
        <v>-40</v>
      </c>
      <c r="T67">
        <f t="shared" si="40"/>
        <v>60</v>
      </c>
      <c r="Y67" s="26"/>
      <c r="Z67" s="26"/>
      <c r="AB67" s="26" t="str">
        <f t="shared" ca="1" si="1"/>
        <v>II-1</v>
      </c>
      <c r="AC67">
        <f t="shared" ca="1" si="14"/>
        <v>61</v>
      </c>
      <c r="AD67" t="str">
        <f ca="1">IF(AND(AT67&lt;1,MAX(AW67:BH67)&gt;dNULL),DATA!$D75,"")</f>
        <v>II-1</v>
      </c>
      <c r="AE67" s="7">
        <f ca="1">IF(LEN(DATA!D75)&gt;0,SUMPRODUCT(OFFSET(DATA!$R$6,AE$5,0,1,10),DATA!$R75:$AA75),"")</f>
        <v>1.347305389221557</v>
      </c>
      <c r="AF67" s="7">
        <f ca="1">IF(LEN(DATA!E75)&gt;0,SUMPRODUCT(OFFSET(DATA!$R$6,AF$5,0,1,10),DATA!$R75:$AA75),"")</f>
        <v>0.42777229351760448</v>
      </c>
      <c r="AG67" s="7">
        <f ca="1">IF(LEN(DATA!F75)&gt;0,SUMPRODUCT(OFFSET(DATA!$R$6,AG$5,0,1,10),DATA!$R75:$AA75),"")</f>
        <v>4.8844635197301347</v>
      </c>
      <c r="AH67" s="7">
        <f ca="1">IF(LEN(DATA!G75)&gt;0,SUMPRODUCT(OFFSET(DATA!$R$6,AH$5,0,1,10),DATA!$R75:$AA75),"")</f>
        <v>1.0379701794233636</v>
      </c>
      <c r="AI67" s="7">
        <f ca="1">IF(LEN(DATA!H75)&gt;0,SUMPRODUCT(OFFSET(DATA!$R$6,AI$5,0,1,10),DATA!$R75:$AA75),"")</f>
        <v>1.7905177511097046</v>
      </c>
      <c r="AJ67" s="7">
        <f ca="1">IF(LEN(DATA!I75)&gt;0,SUMPRODUCT(OFFSET(DATA!$R$6,AJ$5,0,1,10),DATA!$R75:$AA75),"")</f>
        <v>3.6721311475409837</v>
      </c>
      <c r="AK67" s="7"/>
      <c r="AL67" s="7">
        <f t="shared" ca="1" si="2"/>
        <v>0.20231204346659626</v>
      </c>
      <c r="AM67" s="7">
        <f t="shared" ca="1" si="3"/>
        <v>6.4234499121199287E-2</v>
      </c>
      <c r="AN67" s="7">
        <f t="shared" ca="1" si="4"/>
        <v>0.1596725122572302</v>
      </c>
      <c r="AO67" s="7">
        <f t="shared" ca="1" si="5"/>
        <v>0.27543803591706278</v>
      </c>
      <c r="AP67" s="7">
        <f t="shared" ca="1" si="6"/>
        <v>0.73345345741220447</v>
      </c>
      <c r="AQ67" s="7">
        <f t="shared" ca="1" si="7"/>
        <v>0.56488945182570693</v>
      </c>
      <c r="AS67">
        <f t="shared" si="8"/>
        <v>61</v>
      </c>
      <c r="AT67">
        <f t="shared" si="9"/>
        <v>0</v>
      </c>
      <c r="AU67">
        <f t="shared" ca="1" si="10"/>
        <v>0.76557070697280405</v>
      </c>
      <c r="AV67">
        <f t="shared" ca="1" si="11"/>
        <v>5.5628708038327777E-2</v>
      </c>
      <c r="AW67">
        <f ca="1">IF(AND($AT67&lt;3,OFFSET(DATA!$C$14,$AS67,0)=AW$6),$AV67,dNULL)</f>
        <v>-99</v>
      </c>
      <c r="AX67">
        <f ca="1">IF(AND($AT67&lt;3,OFFSET(DATA!$C$14,$AS67,0)=AX$6),$AV67,dNULL)</f>
        <v>-99</v>
      </c>
      <c r="AY67">
        <f ca="1">IF(AND($AT67&lt;3,OFFSET(DATA!$C$14,$AS67,0)=AY$6),$AV67,dNULL)</f>
        <v>-99</v>
      </c>
      <c r="AZ67">
        <f ca="1">IF(AND($AT67&lt;3,OFFSET(DATA!$C$14,$AS67,0)=AZ$6),$AV67,dNULL)</f>
        <v>-99</v>
      </c>
      <c r="BA67">
        <f ca="1">IF(AND($AT67&lt;3,OFFSET(DATA!$C$14,$AS67,0)=BA$6),$AV67,dNULL)</f>
        <v>-99</v>
      </c>
      <c r="BB67">
        <f ca="1">IF(AND($AT67&lt;3,OFFSET(DATA!$C$14,$AS67,0)=BB$6),$AV67,dNULL)</f>
        <v>5.5628708038327777E-2</v>
      </c>
      <c r="BC67">
        <f ca="1">IF(AND($AT67&lt;3,OFFSET(DATA!$C$14,$AS67,0)=BC$6),$AV67,dNULL)</f>
        <v>-99</v>
      </c>
      <c r="BD67">
        <f ca="1">IF(AND($AT67&lt;3,OFFSET(DATA!$C$14,$AS67,0)=BD$6),$AV67,dNULL)</f>
        <v>-99</v>
      </c>
      <c r="BE67">
        <f ca="1">IF(AND($AT67&lt;3,OFFSET(DATA!$C$14,$AS67,0)=BE$6),$AV67,dNULL)</f>
        <v>-99</v>
      </c>
      <c r="BF67">
        <f ca="1">IF(AND($AT67&lt;3,OFFSET(DATA!$C$14,$AS67,0)=BF$6),$AV67,dNULL)</f>
        <v>-99</v>
      </c>
      <c r="BG67">
        <f ca="1">IF(AND($AT67&lt;3,OFFSET(DATA!$C$14,$AS67,0)=BG$6),$AV67,dNULL)</f>
        <v>-99</v>
      </c>
      <c r="BH67">
        <f ca="1">IF(AND($AT67&lt;3,OFFSET(DATA!$C$14,$AS67,0)=BH$6),$AV67,dNULL)</f>
        <v>-99</v>
      </c>
      <c r="BU67">
        <f t="shared" si="17"/>
        <v>1</v>
      </c>
      <c r="BV67">
        <f t="shared" si="19"/>
        <v>0.70000000000000029</v>
      </c>
      <c r="BW67">
        <f t="shared" ca="1" si="12"/>
        <v>0.2</v>
      </c>
      <c r="BX67">
        <f t="shared" ca="1" si="13"/>
        <v>-0.2</v>
      </c>
    </row>
    <row r="68" spans="13:76" x14ac:dyDescent="0.25">
      <c r="N68">
        <f>N67+(1-N67)/2</f>
        <v>0.60000000000000009</v>
      </c>
      <c r="O68">
        <f>O67+(1-N67)*ApexCAT</f>
        <v>0.69282032302755092</v>
      </c>
      <c r="Q68">
        <f t="shared" si="37"/>
        <v>2.0625</v>
      </c>
      <c r="R68">
        <f t="shared" si="38"/>
        <v>-98.935048094716166</v>
      </c>
      <c r="S68">
        <f t="shared" si="39"/>
        <v>-60</v>
      </c>
      <c r="T68">
        <f t="shared" si="40"/>
        <v>60</v>
      </c>
      <c r="Y68" s="26"/>
      <c r="Z68" s="26"/>
      <c r="AB68" s="26" t="str">
        <f t="shared" ca="1" si="1"/>
        <v>II-2</v>
      </c>
      <c r="AC68">
        <f t="shared" ca="1" si="14"/>
        <v>62</v>
      </c>
      <c r="AD68" t="str">
        <f ca="1">IF(AND(AT68&lt;1,MAX(AW68:BH68)&gt;dNULL),DATA!$D76,"")</f>
        <v>II-2</v>
      </c>
      <c r="AE68" s="7">
        <f ca="1">IF(LEN(DATA!D76)&gt;0,SUMPRODUCT(OFFSET(DATA!$R$6,AE$5,0,1,10),DATA!$R76:$AA76),"")</f>
        <v>1.0479041916167664</v>
      </c>
      <c r="AF68" s="7">
        <f ca="1">IF(LEN(DATA!E76)&gt;0,SUMPRODUCT(OFFSET(DATA!$R$6,AF$5,0,1,10),DATA!$R76:$AA76),"")</f>
        <v>0.3948667324777887</v>
      </c>
      <c r="AG68" s="7">
        <f ca="1">IF(LEN(DATA!F76)&gt;0,SUMPRODUCT(OFFSET(DATA!$R$6,AG$5,0,1,10),DATA!$R76:$AA76),"")</f>
        <v>8.3770501355923841</v>
      </c>
      <c r="AH68" s="7">
        <f ca="1">IF(LEN(DATA!G76)&gt;0,SUMPRODUCT(OFFSET(DATA!$R$6,AH$5,0,1,10),DATA!$R76:$AA76),"")</f>
        <v>2.0052237371574901</v>
      </c>
      <c r="AI68" s="7">
        <f ca="1">IF(LEN(DATA!H76)&gt;0,SUMPRODUCT(OFFSET(DATA!$R$6,AI$5,0,1,10),DATA!$R76:$AA76),"")</f>
        <v>3.331195816018055</v>
      </c>
      <c r="AJ68" s="7">
        <f ca="1">IF(LEN(DATA!I76)&gt;0,SUMPRODUCT(OFFSET(DATA!$R$6,AJ$5,0,1,10),DATA!$R76:$AA76),"")</f>
        <v>4.6885245901639347</v>
      </c>
      <c r="AK68" s="7"/>
      <c r="AL68" s="7">
        <f t="shared" ca="1" si="2"/>
        <v>0.10671316567250912</v>
      </c>
      <c r="AM68" s="7">
        <f t="shared" ca="1" si="3"/>
        <v>4.0211194285283365E-2</v>
      </c>
      <c r="AN68" s="7">
        <f t="shared" ca="1" si="4"/>
        <v>0.20002343239884784</v>
      </c>
      <c r="AO68" s="7">
        <f t="shared" ca="1" si="5"/>
        <v>0.33229071088952489</v>
      </c>
      <c r="AP68" s="7">
        <f t="shared" ca="1" si="6"/>
        <v>0.85307564004220748</v>
      </c>
      <c r="AQ68" s="7">
        <f t="shared" ca="1" si="7"/>
        <v>0.46768585671162721</v>
      </c>
      <c r="AS68">
        <f t="shared" si="8"/>
        <v>62</v>
      </c>
      <c r="AT68">
        <f t="shared" si="9"/>
        <v>0</v>
      </c>
      <c r="AU68">
        <f t="shared" ca="1" si="10"/>
        <v>0.87318123718484919</v>
      </c>
      <c r="AV68">
        <f t="shared" ca="1" si="11"/>
        <v>3.4823915767567035E-2</v>
      </c>
      <c r="AW68">
        <f ca="1">IF(AND($AT68&lt;3,OFFSET(DATA!$C$14,$AS68,0)=AW$6),$AV68,dNULL)</f>
        <v>-99</v>
      </c>
      <c r="AX68">
        <f ca="1">IF(AND($AT68&lt;3,OFFSET(DATA!$C$14,$AS68,0)=AX$6),$AV68,dNULL)</f>
        <v>-99</v>
      </c>
      <c r="AY68">
        <f ca="1">IF(AND($AT68&lt;3,OFFSET(DATA!$C$14,$AS68,0)=AY$6),$AV68,dNULL)</f>
        <v>-99</v>
      </c>
      <c r="AZ68">
        <f ca="1">IF(AND($AT68&lt;3,OFFSET(DATA!$C$14,$AS68,0)=AZ$6),$AV68,dNULL)</f>
        <v>-99</v>
      </c>
      <c r="BA68">
        <f ca="1">IF(AND($AT68&lt;3,OFFSET(DATA!$C$14,$AS68,0)=BA$6),$AV68,dNULL)</f>
        <v>-99</v>
      </c>
      <c r="BB68">
        <f ca="1">IF(AND($AT68&lt;3,OFFSET(DATA!$C$14,$AS68,0)=BB$6),$AV68,dNULL)</f>
        <v>3.4823915767567035E-2</v>
      </c>
      <c r="BC68">
        <f ca="1">IF(AND($AT68&lt;3,OFFSET(DATA!$C$14,$AS68,0)=BC$6),$AV68,dNULL)</f>
        <v>-99</v>
      </c>
      <c r="BD68">
        <f ca="1">IF(AND($AT68&lt;3,OFFSET(DATA!$C$14,$AS68,0)=BD$6),$AV68,dNULL)</f>
        <v>-99</v>
      </c>
      <c r="BE68">
        <f ca="1">IF(AND($AT68&lt;3,OFFSET(DATA!$C$14,$AS68,0)=BE$6),$AV68,dNULL)</f>
        <v>-99</v>
      </c>
      <c r="BF68">
        <f ca="1">IF(AND($AT68&lt;3,OFFSET(DATA!$C$14,$AS68,0)=BF$6),$AV68,dNULL)</f>
        <v>-99</v>
      </c>
      <c r="BG68">
        <f ca="1">IF(AND($AT68&lt;3,OFFSET(DATA!$C$14,$AS68,0)=BG$6),$AV68,dNULL)</f>
        <v>-99</v>
      </c>
      <c r="BH68">
        <f ca="1">IF(AND($AT68&lt;3,OFFSET(DATA!$C$14,$AS68,0)=BH$6),$AV68,dNULL)</f>
        <v>-99</v>
      </c>
      <c r="BU68">
        <f t="shared" si="17"/>
        <v>1</v>
      </c>
      <c r="BV68">
        <f t="shared" si="19"/>
        <v>0.70000000000000029</v>
      </c>
      <c r="BW68">
        <f t="shared" ca="1" si="12"/>
        <v>1.6933583642998695</v>
      </c>
      <c r="BX68">
        <f t="shared" ca="1" si="13"/>
        <v>-1.6316145227577328</v>
      </c>
    </row>
    <row r="69" spans="13:76" x14ac:dyDescent="0.25">
      <c r="Q69">
        <f t="shared" si="37"/>
        <v>2.1624999999999996</v>
      </c>
      <c r="R69">
        <f t="shared" si="38"/>
        <v>-98.935048094716166</v>
      </c>
      <c r="S69">
        <f t="shared" si="39"/>
        <v>-79.999999999999972</v>
      </c>
      <c r="T69">
        <f t="shared" si="40"/>
        <v>60</v>
      </c>
      <c r="Y69" s="26"/>
      <c r="Z69" s="26"/>
      <c r="AB69" s="26" t="str">
        <f t="shared" ca="1" si="1"/>
        <v>Inyo-BLM 1</v>
      </c>
      <c r="AC69">
        <f t="shared" ca="1" si="14"/>
        <v>63</v>
      </c>
      <c r="AD69" t="str">
        <f ca="1">IF(AND(AT69&lt;1,MAX(AW69:BH69)&gt;dNULL),DATA!$D77,"")</f>
        <v>Inyo-BLM 1</v>
      </c>
      <c r="AE69" s="7">
        <f ca="1">IF(LEN(DATA!D77)&gt;0,SUMPRODUCT(OFFSET(DATA!$R$6,AE$5,0,1,10),DATA!$R77:$AA77),"")</f>
        <v>1.6367265469061876</v>
      </c>
      <c r="AF69" s="7">
        <f ca="1">IF(LEN(DATA!E77)&gt;0,SUMPRODUCT(OFFSET(DATA!$R$6,AF$5,0,1,10),DATA!$R77:$AA77),"")</f>
        <v>1.2092793682132279</v>
      </c>
      <c r="AG69" s="7">
        <f ca="1">IF(LEN(DATA!F77)&gt;0,SUMPRODUCT(OFFSET(DATA!$R$6,AG$5,0,1,10),DATA!$R77:$AA77),"")</f>
        <v>10.239598491453528</v>
      </c>
      <c r="AH69" s="7">
        <f ca="1">IF(LEN(DATA!G77)&gt;0,SUMPRODUCT(OFFSET(DATA!$R$6,AH$5,0,1,10),DATA!$R77:$AA77),"")</f>
        <v>1.1677432093193805</v>
      </c>
      <c r="AI69" s="7">
        <f ca="1">IF(LEN(DATA!H77)&gt;0,SUMPRODUCT(OFFSET(DATA!$R$6,AI$5,0,1,10),DATA!$R77:$AA77),"")</f>
        <v>3.4561156591187321</v>
      </c>
      <c r="AJ69" s="7">
        <f ca="1">IF(LEN(DATA!I77)&gt;0,SUMPRODUCT(OFFSET(DATA!$R$6,AJ$5,0,1,10),DATA!$R77:$AA77),"")</f>
        <v>8.1508743169398912</v>
      </c>
      <c r="AK69" s="7"/>
      <c r="AL69" s="7">
        <f t="shared" ca="1" si="2"/>
        <v>0.12507840647269255</v>
      </c>
      <c r="AM69" s="7">
        <f t="shared" ca="1" si="3"/>
        <v>9.2412954773858413E-2</v>
      </c>
      <c r="AN69" s="7">
        <f t="shared" ca="1" si="4"/>
        <v>9.1410379565185967E-2</v>
      </c>
      <c r="AO69" s="7">
        <f t="shared" ca="1" si="5"/>
        <v>0.27054307976268438</v>
      </c>
      <c r="AP69" s="7">
        <f t="shared" ca="1" si="6"/>
        <v>0.78250863875344889</v>
      </c>
      <c r="AQ69" s="7">
        <f t="shared" ca="1" si="7"/>
        <v>0.63804654067212963</v>
      </c>
      <c r="AS69">
        <f t="shared" si="8"/>
        <v>63</v>
      </c>
      <c r="AT69">
        <f t="shared" si="9"/>
        <v>0</v>
      </c>
      <c r="AU69">
        <f t="shared" ca="1" si="10"/>
        <v>0.82871511614037829</v>
      </c>
      <c r="AV69">
        <f t="shared" ca="1" si="11"/>
        <v>8.0031966472943791E-2</v>
      </c>
      <c r="AW69">
        <f ca="1">IF(AND($AT69&lt;3,OFFSET(DATA!$C$14,$AS69,0)=AW$6),$AV69,dNULL)</f>
        <v>-99</v>
      </c>
      <c r="AX69">
        <f ca="1">IF(AND($AT69&lt;3,OFFSET(DATA!$C$14,$AS69,0)=AX$6),$AV69,dNULL)</f>
        <v>-99</v>
      </c>
      <c r="AY69">
        <f ca="1">IF(AND($AT69&lt;3,OFFSET(DATA!$C$14,$AS69,0)=AY$6),$AV69,dNULL)</f>
        <v>-99</v>
      </c>
      <c r="AZ69">
        <f ca="1">IF(AND($AT69&lt;3,OFFSET(DATA!$C$14,$AS69,0)=AZ$6),$AV69,dNULL)</f>
        <v>-99</v>
      </c>
      <c r="BA69">
        <f ca="1">IF(AND($AT69&lt;3,OFFSET(DATA!$C$14,$AS69,0)=BA$6),$AV69,dNULL)</f>
        <v>-99</v>
      </c>
      <c r="BB69">
        <f ca="1">IF(AND($AT69&lt;3,OFFSET(DATA!$C$14,$AS69,0)=BB$6),$AV69,dNULL)</f>
        <v>8.0031966472943791E-2</v>
      </c>
      <c r="BC69">
        <f ca="1">IF(AND($AT69&lt;3,OFFSET(DATA!$C$14,$AS69,0)=BC$6),$AV69,dNULL)</f>
        <v>-99</v>
      </c>
      <c r="BD69">
        <f ca="1">IF(AND($AT69&lt;3,OFFSET(DATA!$C$14,$AS69,0)=BD$6),$AV69,dNULL)</f>
        <v>-99</v>
      </c>
      <c r="BE69">
        <f ca="1">IF(AND($AT69&lt;3,OFFSET(DATA!$C$14,$AS69,0)=BE$6),$AV69,dNULL)</f>
        <v>-99</v>
      </c>
      <c r="BF69">
        <f ca="1">IF(AND($AT69&lt;3,OFFSET(DATA!$C$14,$AS69,0)=BF$6),$AV69,dNULL)</f>
        <v>-99</v>
      </c>
      <c r="BG69">
        <f ca="1">IF(AND($AT69&lt;3,OFFSET(DATA!$C$14,$AS69,0)=BG$6),$AV69,dNULL)</f>
        <v>-99</v>
      </c>
      <c r="BH69">
        <f ca="1">IF(AND($AT69&lt;3,OFFSET(DATA!$C$14,$AS69,0)=BH$6),$AV69,dNULL)</f>
        <v>-99</v>
      </c>
      <c r="BU69">
        <f t="shared" si="17"/>
        <v>1</v>
      </c>
      <c r="BV69">
        <f t="shared" si="19"/>
        <v>0.72000000000000031</v>
      </c>
      <c r="BW69">
        <f t="shared" ca="1" si="12"/>
        <v>0.2</v>
      </c>
      <c r="BX69">
        <f t="shared" ca="1" si="13"/>
        <v>-0.2</v>
      </c>
    </row>
    <row r="70" spans="13:76" x14ac:dyDescent="0.25">
      <c r="N70">
        <f>IF(N67&lt;1-$N$5,N67+$N$5,dNULL)</f>
        <v>0.4</v>
      </c>
      <c r="O70">
        <v>0</v>
      </c>
      <c r="Y70" s="26"/>
      <c r="Z70" s="26"/>
      <c r="AB70" s="26" t="str">
        <f t="shared" ca="1" si="1"/>
        <v>J-12 WW</v>
      </c>
      <c r="AC70">
        <f t="shared" ca="1" si="14"/>
        <v>64</v>
      </c>
      <c r="AD70" t="str">
        <f ca="1">IF(AND(AT70&lt;1,MAX(AW70:BH70)&gt;dNULL),DATA!$D78,"")</f>
        <v>J-12 WW</v>
      </c>
      <c r="AE70" s="7">
        <f ca="1">IF(LEN(DATA!D78)&gt;0,SUMPRODUCT(OFFSET(DATA!$R$6,AE$5,0,1,10),DATA!$R78:$AA78),"")</f>
        <v>0.69860279441117767</v>
      </c>
      <c r="AF70" s="7">
        <f ca="1">IF(LEN(DATA!E78)&gt;0,SUMPRODUCT(OFFSET(DATA!$R$6,AF$5,0,1,10),DATA!$R78:$AA78),"")</f>
        <v>0.17275419545903259</v>
      </c>
      <c r="AG70" s="7">
        <f ca="1">IF(LEN(DATA!F78)&gt;0,SUMPRODUCT(OFFSET(DATA!$R$6,AG$5,0,1,10),DATA!$R78:$AA78),"")</f>
        <v>1.7833328955139551</v>
      </c>
      <c r="AH70" s="7">
        <f ca="1">IF(LEN(DATA!G78)&gt;0,SUMPRODUCT(OFFSET(DATA!$R$6,AH$5,0,1,10),DATA!$R78:$AA78),"")</f>
        <v>0.31644203535765991</v>
      </c>
      <c r="AI70" s="7">
        <f ca="1">IF(LEN(DATA!H78)&gt;0,SUMPRODUCT(OFFSET(DATA!$R$6,AI$5,0,1,10),DATA!$R78:$AA78),"")</f>
        <v>0.4580394247024826</v>
      </c>
      <c r="AJ70" s="7">
        <f ca="1">IF(LEN(DATA!I78)&gt;0,SUMPRODUCT(OFFSET(DATA!$R$6,AJ$5,0,1,10),DATA!$R78:$AA78),"")</f>
        <v>1.9508196721311475</v>
      </c>
      <c r="AK70" s="7"/>
      <c r="AL70" s="7">
        <f t="shared" ca="1" si="2"/>
        <v>0.26315796743621583</v>
      </c>
      <c r="AM70" s="7">
        <f t="shared" ca="1" si="3"/>
        <v>6.5075094612805584E-2</v>
      </c>
      <c r="AN70" s="7">
        <f t="shared" ca="1" si="4"/>
        <v>0.11611268627156199</v>
      </c>
      <c r="AO70" s="7">
        <f t="shared" ca="1" si="5"/>
        <v>0.16806928940516533</v>
      </c>
      <c r="AP70" s="7">
        <f t="shared" ca="1" si="6"/>
        <v>0.67176693795097864</v>
      </c>
      <c r="AQ70" s="7">
        <f t="shared" ca="1" si="7"/>
        <v>0.71581802432327279</v>
      </c>
      <c r="AS70">
        <f t="shared" si="8"/>
        <v>64</v>
      </c>
      <c r="AT70">
        <f t="shared" si="9"/>
        <v>0</v>
      </c>
      <c r="AU70">
        <f t="shared" ca="1" si="10"/>
        <v>0.70430448525738132</v>
      </c>
      <c r="AV70">
        <f t="shared" ca="1" si="11"/>
        <v>5.6356685088365499E-2</v>
      </c>
      <c r="AW70">
        <f ca="1">IF(AND($AT70&lt;3,OFFSET(DATA!$C$14,$AS70,0)=AW$6),$AV70,dNULL)</f>
        <v>-99</v>
      </c>
      <c r="AX70">
        <f ca="1">IF(AND($AT70&lt;3,OFFSET(DATA!$C$14,$AS70,0)=AX$6),$AV70,dNULL)</f>
        <v>-99</v>
      </c>
      <c r="AY70">
        <f ca="1">IF(AND($AT70&lt;3,OFFSET(DATA!$C$14,$AS70,0)=AY$6),$AV70,dNULL)</f>
        <v>-99</v>
      </c>
      <c r="AZ70">
        <f ca="1">IF(AND($AT70&lt;3,OFFSET(DATA!$C$14,$AS70,0)=AZ$6),$AV70,dNULL)</f>
        <v>-99</v>
      </c>
      <c r="BA70">
        <f ca="1">IF(AND($AT70&lt;3,OFFSET(DATA!$C$14,$AS70,0)=BA$6),$AV70,dNULL)</f>
        <v>-99</v>
      </c>
      <c r="BB70">
        <f ca="1">IF(AND($AT70&lt;3,OFFSET(DATA!$C$14,$AS70,0)=BB$6),$AV70,dNULL)</f>
        <v>-99</v>
      </c>
      <c r="BC70">
        <f ca="1">IF(AND($AT70&lt;3,OFFSET(DATA!$C$14,$AS70,0)=BC$6),$AV70,dNULL)</f>
        <v>5.6356685088365499E-2</v>
      </c>
      <c r="BD70">
        <f ca="1">IF(AND($AT70&lt;3,OFFSET(DATA!$C$14,$AS70,0)=BD$6),$AV70,dNULL)</f>
        <v>-99</v>
      </c>
      <c r="BE70">
        <f ca="1">IF(AND($AT70&lt;3,OFFSET(DATA!$C$14,$AS70,0)=BE$6),$AV70,dNULL)</f>
        <v>-99</v>
      </c>
      <c r="BF70">
        <f ca="1">IF(AND($AT70&lt;3,OFFSET(DATA!$C$14,$AS70,0)=BF$6),$AV70,dNULL)</f>
        <v>-99</v>
      </c>
      <c r="BG70">
        <f ca="1">IF(AND($AT70&lt;3,OFFSET(DATA!$C$14,$AS70,0)=BG$6),$AV70,dNULL)</f>
        <v>-99</v>
      </c>
      <c r="BH70">
        <f ca="1">IF(AND($AT70&lt;3,OFFSET(DATA!$C$14,$AS70,0)=BH$6),$AV70,dNULL)</f>
        <v>-99</v>
      </c>
      <c r="BU70">
        <f t="shared" si="17"/>
        <v>1</v>
      </c>
      <c r="BV70">
        <f t="shared" si="19"/>
        <v>0.72000000000000031</v>
      </c>
      <c r="BW70">
        <f t="shared" ca="1" si="12"/>
        <v>1.6336405458852752</v>
      </c>
      <c r="BX70">
        <f t="shared" ca="1" si="13"/>
        <v>-1.5958377390900942</v>
      </c>
    </row>
    <row r="71" spans="13:76" x14ac:dyDescent="0.25">
      <c r="N71">
        <f>N70+(1-N70)/2</f>
        <v>0.7</v>
      </c>
      <c r="O71">
        <f>O70+(1-N70)*ApexCAT</f>
        <v>0.51961524227066314</v>
      </c>
      <c r="Q71">
        <f t="shared" ref="Q71:Q80" si="41">Q38+1+dAnionOFF</f>
        <v>2.3374999999999999</v>
      </c>
      <c r="R71">
        <f t="shared" ref="R71:R80" si="42">R38</f>
        <v>6.4951905283832892E-2</v>
      </c>
      <c r="S71">
        <f>S49</f>
        <v>0</v>
      </c>
      <c r="T71">
        <f t="shared" si="40"/>
        <v>-60</v>
      </c>
      <c r="Y71" s="26"/>
      <c r="Z71" s="26"/>
      <c r="AB71" s="26" t="str">
        <f t="shared" ref="AB71:AB134" ca="1" si="43">IF(ROW(AB71)-ROW($AB$6)&lt;=$AB$5,OFFSET($AD$6,MATCH(ROW(AB71)-ROW($AB$6),$AC$7:$AC$314,0),0),"")</f>
        <v>J-13 WW</v>
      </c>
      <c r="AC71">
        <f t="shared" ca="1" si="14"/>
        <v>65</v>
      </c>
      <c r="AD71" t="str">
        <f ca="1">IF(AND(AT71&lt;1,MAX(AW71:BH71)&gt;dNULL),DATA!$D79,"")</f>
        <v>J-13 WW</v>
      </c>
      <c r="AE71" s="7">
        <f ca="1">IF(LEN(DATA!D79)&gt;0,SUMPRODUCT(OFFSET(DATA!$R$6,AE$5,0,1,10),DATA!$R79:$AA79),"")</f>
        <v>0.5988023952095809</v>
      </c>
      <c r="AF71" s="7">
        <f ca="1">IF(LEN(DATA!E79)&gt;0,SUMPRODUCT(OFFSET(DATA!$R$6,AF$5,0,1,10),DATA!$R79:$AA79),"")</f>
        <v>0.17275419545903259</v>
      </c>
      <c r="AG71" s="7">
        <f ca="1">IF(LEN(DATA!F79)&gt;0,SUMPRODUCT(OFFSET(DATA!$R$6,AG$5,0,1,10),DATA!$R79:$AA79),"")</f>
        <v>1.9547654588782915</v>
      </c>
      <c r="AH71" s="7">
        <f ca="1">IF(LEN(DATA!G79)&gt;0,SUMPRODUCT(OFFSET(DATA!$R$6,AH$5,0,1,10),DATA!$R79:$AA79),"")</f>
        <v>0.32659156725113303</v>
      </c>
      <c r="AI71" s="7">
        <f ca="1">IF(LEN(DATA!H79)&gt;0,SUMPRODUCT(OFFSET(DATA!$R$6,AI$5,0,1,10),DATA!$R79:$AA79),"")</f>
        <v>0.35393955545191835</v>
      </c>
      <c r="AJ71" s="7">
        <f ca="1">IF(LEN(DATA!I79)&gt;0,SUMPRODUCT(OFFSET(DATA!$R$6,AJ$5,0,1,10),DATA!$R79:$AA79),"")</f>
        <v>2.0327868852459017</v>
      </c>
      <c r="AK71" s="7"/>
      <c r="AL71" s="7">
        <f t="shared" ref="AL71:AL134" ca="1" si="44">IF(ISNUMBER(AE71),AE71,0)/SUM($AE71:$AG71)</f>
        <v>0.21963743986485293</v>
      </c>
      <c r="AM71" s="7">
        <f t="shared" ref="AM71:AM134" ca="1" si="45">IF(ISNUMBER(AF71),AF71,0)/SUM($AE71:$AG71)</f>
        <v>6.336529299161231E-2</v>
      </c>
      <c r="AN71" s="7">
        <f t="shared" ref="AN71:AN134" ca="1" si="46">IF(ISNUMBER(AH71),AH71,0)/SUM($AH71:$AJ71)</f>
        <v>0.12036612232489828</v>
      </c>
      <c r="AO71" s="7">
        <f t="shared" ref="AO71:AO134" ca="1" si="47">IF(ISNUMBER(AI71),AI71,0)/SUM($AH71:$AJ71)</f>
        <v>0.13044529038432459</v>
      </c>
      <c r="AP71" s="7">
        <f t="shared" ref="AP71:AP134" ca="1" si="48">IF(ISNUMBER(AG71),AG71,0)/SUM($AE71:$AG71)</f>
        <v>0.71699726714353473</v>
      </c>
      <c r="AQ71" s="7">
        <f t="shared" ref="AQ71:AQ134" ca="1" si="49">IF(ISNUMBER(AJ71),AJ71,0)/SUM($AH71:$AJ71)</f>
        <v>0.74918858729077709</v>
      </c>
      <c r="AS71">
        <f t="shared" ref="AS71:AS134" si="50">MOD(ROW(AT71)-ROW($AT$7),lCNTsites)+1</f>
        <v>65</v>
      </c>
      <c r="AT71">
        <f t="shared" ref="AT71:AT134" si="51">INT((ROW(AT71)-ROW($AT$7))/lCNTsites)</f>
        <v>0</v>
      </c>
      <c r="AU71">
        <f t="shared" ref="AU71:AU134" ca="1" si="52">IF($AT71=0,(1-OFFSET($AL$6,$AS71,$AT71*2))-OFFSET($AL$6,$AS71,$AT71*2+1)*$K$8,IF($AT71=1,dAnionOFF+1+OFFSET($AL$6,$AS71,$AT71*2)+OFFSET($AL$6,$AS71,$AT71*2+1)/2,IF($AT71=2,$K$17-(1-OFFSET($AL$6,$AS71,$AT71*2))*0.5+(1-OFFSET($AL$6,$AS71,$AT71*2+1))*0.5,dNULL)))</f>
        <v>0.74867991363934094</v>
      </c>
      <c r="AV71">
        <f t="shared" ref="AV71:AV134" ca="1" si="53">IF($AT71=0,OFFSET($AL$6,$AS71,$AT71*2+1)*$L$8,IF($AT71=1,OFFSET($AL$6,$AS71,$AT71*2+1)*3^0.5/2,IF($AT71=2,$L$17+(2-OFFSET($AL$6,$AS71,$AT71*2)-OFFSET($AL$6,$AS71,$AT71*2+1))*$L$8,dNULL)))</f>
        <v>5.4875953448980309E-2</v>
      </c>
      <c r="AW71">
        <f ca="1">IF(AND($AT71&lt;3,OFFSET(DATA!$C$14,$AS71,0)=AW$6),$AV71,dNULL)</f>
        <v>-99</v>
      </c>
      <c r="AX71">
        <f ca="1">IF(AND($AT71&lt;3,OFFSET(DATA!$C$14,$AS71,0)=AX$6),$AV71,dNULL)</f>
        <v>-99</v>
      </c>
      <c r="AY71">
        <f ca="1">IF(AND($AT71&lt;3,OFFSET(DATA!$C$14,$AS71,0)=AY$6),$AV71,dNULL)</f>
        <v>-99</v>
      </c>
      <c r="AZ71">
        <f ca="1">IF(AND($AT71&lt;3,OFFSET(DATA!$C$14,$AS71,0)=AZ$6),$AV71,dNULL)</f>
        <v>-99</v>
      </c>
      <c r="BA71">
        <f ca="1">IF(AND($AT71&lt;3,OFFSET(DATA!$C$14,$AS71,0)=BA$6),$AV71,dNULL)</f>
        <v>-99</v>
      </c>
      <c r="BB71">
        <f ca="1">IF(AND($AT71&lt;3,OFFSET(DATA!$C$14,$AS71,0)=BB$6),$AV71,dNULL)</f>
        <v>-99</v>
      </c>
      <c r="BC71">
        <f ca="1">IF(AND($AT71&lt;3,OFFSET(DATA!$C$14,$AS71,0)=BC$6),$AV71,dNULL)</f>
        <v>5.4875953448980309E-2</v>
      </c>
      <c r="BD71">
        <f ca="1">IF(AND($AT71&lt;3,OFFSET(DATA!$C$14,$AS71,0)=BD$6),$AV71,dNULL)</f>
        <v>-99</v>
      </c>
      <c r="BE71">
        <f ca="1">IF(AND($AT71&lt;3,OFFSET(DATA!$C$14,$AS71,0)=BE$6),$AV71,dNULL)</f>
        <v>-99</v>
      </c>
      <c r="BF71">
        <f ca="1">IF(AND($AT71&lt;3,OFFSET(DATA!$C$14,$AS71,0)=BF$6),$AV71,dNULL)</f>
        <v>-99</v>
      </c>
      <c r="BG71">
        <f ca="1">IF(AND($AT71&lt;3,OFFSET(DATA!$C$14,$AS71,0)=BG$6),$AV71,dNULL)</f>
        <v>-99</v>
      </c>
      <c r="BH71">
        <f ca="1">IF(AND($AT71&lt;3,OFFSET(DATA!$C$14,$AS71,0)=BH$6),$AV71,dNULL)</f>
        <v>-99</v>
      </c>
      <c r="BU71">
        <f t="shared" si="17"/>
        <v>1</v>
      </c>
      <c r="BV71">
        <f t="shared" si="19"/>
        <v>0.74000000000000032</v>
      </c>
      <c r="BW71">
        <f t="shared" ref="BW71:BW134" ca="1" si="54">IF(MOD(ROW(BU72)-ROW($BV$8),2)&gt;0,OFFSET(BM$6,$BU71,0)+($BV71-OFFSET($BL$6,$BU71,0))*(OFFSET(BM$6,$BU71+1,0)-OFFSET(BM$6,$BU71,0))/(OFFSET($BL$6,$BU71+1,0)-OFFSET($BL$6,$BU71,0)),BW$5)</f>
        <v>0.2</v>
      </c>
      <c r="BX71">
        <f t="shared" ref="BX71:BX134" ca="1" si="55">IF(MOD(ROW(BV72)-ROW($BV$8),2)&gt;0,OFFSET(BN$6,$BU71,0)+($BV71-OFFSET($BL$6,$BU71,0))*(OFFSET(BN$6,$BU71+1,0)-OFFSET(BN$6,$BU71,0))/(OFFSET($BL$6,$BU71+1,0)-OFFSET($BL$6,$BU71,0)),BX$5)</f>
        <v>-0.2</v>
      </c>
    </row>
    <row r="72" spans="13:76" x14ac:dyDescent="0.25">
      <c r="Q72">
        <f t="shared" si="41"/>
        <v>2.2374999999999998</v>
      </c>
      <c r="R72">
        <f t="shared" si="42"/>
        <v>0.23815698604072061</v>
      </c>
      <c r="S72">
        <f t="shared" ref="S72:S80" si="56">S50</f>
        <v>20</v>
      </c>
      <c r="T72">
        <f t="shared" si="40"/>
        <v>-60</v>
      </c>
      <c r="Y72" s="26"/>
      <c r="Z72" s="26"/>
      <c r="AB72" s="26" t="str">
        <f t="shared" ca="1" si="43"/>
        <v>Jack Rabbit Spring</v>
      </c>
      <c r="AC72">
        <f t="shared" ref="AC72:AC135" ca="1" si="57">AC71+IF(LEN(AD72)&gt;0,1,0)</f>
        <v>66</v>
      </c>
      <c r="AD72" t="str">
        <f ca="1">IF(AND(AT72&lt;1,MAX(AW72:BH72)&gt;dNULL),DATA!$D80,"")</f>
        <v>Jack Rabbit Spring</v>
      </c>
      <c r="AE72" s="7">
        <f ca="1">IF(LEN(DATA!D80)&gt;0,SUMPRODUCT(OFFSET(DATA!$R$6,AE$5,0,1,10),DATA!$R80:$AA80),"")</f>
        <v>2.2455089820359282</v>
      </c>
      <c r="AF72" s="7">
        <f ca="1">IF(LEN(DATA!E80)&gt;0,SUMPRODUCT(OFFSET(DATA!$R$6,AF$5,0,1,10),DATA!$R80:$AA80),"")</f>
        <v>1.7275419545903257</v>
      </c>
      <c r="AG72" s="7">
        <f ca="1">IF(LEN(DATA!F80)&gt;0,SUMPRODUCT(OFFSET(DATA!$R$6,AG$5,0,1,10),DATA!$R80:$AA80),"")</f>
        <v>3.1573079017806962</v>
      </c>
      <c r="AH72" s="7">
        <f ca="1">IF(LEN(DATA!G80)&gt;0,SUMPRODUCT(OFFSET(DATA!$R$6,AH$5,0,1,10),DATA!$R80:$AA80),"")</f>
        <v>0.64308117144096433</v>
      </c>
      <c r="AI72" s="7">
        <f ca="1">IF(LEN(DATA!H80)&gt;0,SUMPRODUCT(OFFSET(DATA!$R$6,AI$5,0,1,10),DATA!$R80:$AA80),"")</f>
        <v>1.6239579603088019</v>
      </c>
      <c r="AJ72" s="7">
        <f ca="1">IF(LEN(DATA!I80)&gt;0,SUMPRODUCT(OFFSET(DATA!$R$6,AJ$5,0,1,10),DATA!$R80:$AA80),"")</f>
        <v>4.918032786885246</v>
      </c>
      <c r="AK72" s="7"/>
      <c r="AL72" s="7">
        <f t="shared" ca="1" si="44"/>
        <v>0.31492229674903921</v>
      </c>
      <c r="AM72" s="7">
        <f t="shared" ca="1" si="45"/>
        <v>0.24227980579113315</v>
      </c>
      <c r="AN72" s="7">
        <f t="shared" ca="1" si="46"/>
        <v>8.9502398684846288E-2</v>
      </c>
      <c r="AO72" s="7">
        <f t="shared" ca="1" si="47"/>
        <v>0.22601833060250204</v>
      </c>
      <c r="AP72" s="7">
        <f t="shared" ca="1" si="48"/>
        <v>0.44279789745982762</v>
      </c>
      <c r="AQ72" s="7">
        <f t="shared" ca="1" si="49"/>
        <v>0.68447927071265169</v>
      </c>
      <c r="AS72">
        <f t="shared" si="50"/>
        <v>66</v>
      </c>
      <c r="AT72">
        <f t="shared" si="51"/>
        <v>0</v>
      </c>
      <c r="AU72">
        <f t="shared" ca="1" si="52"/>
        <v>0.5639378003553942</v>
      </c>
      <c r="AV72">
        <f t="shared" ca="1" si="53"/>
        <v>0.20982046663908144</v>
      </c>
      <c r="AW72">
        <f ca="1">IF(AND($AT72&lt;3,OFFSET(DATA!$C$14,$AS72,0)=AW$6),$AV72,dNULL)</f>
        <v>0.20982046663908144</v>
      </c>
      <c r="AX72">
        <f ca="1">IF(AND($AT72&lt;3,OFFSET(DATA!$C$14,$AS72,0)=AX$6),$AV72,dNULL)</f>
        <v>-99</v>
      </c>
      <c r="AY72">
        <f ca="1">IF(AND($AT72&lt;3,OFFSET(DATA!$C$14,$AS72,0)=AY$6),$AV72,dNULL)</f>
        <v>-99</v>
      </c>
      <c r="AZ72">
        <f ca="1">IF(AND($AT72&lt;3,OFFSET(DATA!$C$14,$AS72,0)=AZ$6),$AV72,dNULL)</f>
        <v>-99</v>
      </c>
      <c r="BA72">
        <f ca="1">IF(AND($AT72&lt;3,OFFSET(DATA!$C$14,$AS72,0)=BA$6),$AV72,dNULL)</f>
        <v>-99</v>
      </c>
      <c r="BB72">
        <f ca="1">IF(AND($AT72&lt;3,OFFSET(DATA!$C$14,$AS72,0)=BB$6),$AV72,dNULL)</f>
        <v>-99</v>
      </c>
      <c r="BC72">
        <f ca="1">IF(AND($AT72&lt;3,OFFSET(DATA!$C$14,$AS72,0)=BC$6),$AV72,dNULL)</f>
        <v>-99</v>
      </c>
      <c r="BD72">
        <f ca="1">IF(AND($AT72&lt;3,OFFSET(DATA!$C$14,$AS72,0)=BD$6),$AV72,dNULL)</f>
        <v>-99</v>
      </c>
      <c r="BE72">
        <f ca="1">IF(AND($AT72&lt;3,OFFSET(DATA!$C$14,$AS72,0)=BE$6),$AV72,dNULL)</f>
        <v>-99</v>
      </c>
      <c r="BF72">
        <f ca="1">IF(AND($AT72&lt;3,OFFSET(DATA!$C$14,$AS72,0)=BF$6),$AV72,dNULL)</f>
        <v>-99</v>
      </c>
      <c r="BG72">
        <f ca="1">IF(AND($AT72&lt;3,OFFSET(DATA!$C$14,$AS72,0)=BG$6),$AV72,dNULL)</f>
        <v>-99</v>
      </c>
      <c r="BH72">
        <f ca="1">IF(AND($AT72&lt;3,OFFSET(DATA!$C$14,$AS72,0)=BH$6),$AV72,dNULL)</f>
        <v>-99</v>
      </c>
      <c r="BU72">
        <f t="shared" ref="BU72:BU135" si="58">MATCH(BV72,$BL$7:$BL$9,1)</f>
        <v>1</v>
      </c>
      <c r="BV72">
        <f t="shared" si="19"/>
        <v>0.74000000000000032</v>
      </c>
      <c r="BW72">
        <f t="shared" ca="1" si="54"/>
        <v>1.5739227274706808</v>
      </c>
      <c r="BX72">
        <f t="shared" ca="1" si="55"/>
        <v>-1.5600609554224558</v>
      </c>
    </row>
    <row r="73" spans="13:76" x14ac:dyDescent="0.25">
      <c r="N73">
        <f>IF(N70&lt;1-$N$5,N70+$N$5,dNULL)</f>
        <v>0.60000000000000009</v>
      </c>
      <c r="O73">
        <v>0</v>
      </c>
      <c r="Q73">
        <f t="shared" si="41"/>
        <v>2.1374999999999997</v>
      </c>
      <c r="R73">
        <f t="shared" si="42"/>
        <v>0.41136206679760834</v>
      </c>
      <c r="S73">
        <f t="shared" si="56"/>
        <v>40</v>
      </c>
      <c r="T73">
        <f t="shared" si="40"/>
        <v>-60</v>
      </c>
      <c r="Y73" s="26"/>
      <c r="Z73" s="26"/>
      <c r="AB73" s="26" t="str">
        <f t="shared" ca="1" si="43"/>
        <v>King Pool Spring</v>
      </c>
      <c r="AC73">
        <f t="shared" ca="1" si="57"/>
        <v>67</v>
      </c>
      <c r="AD73" t="str">
        <f ca="1">IF(AND(AT73&lt;1,MAX(AW73:BH73)&gt;dNULL),DATA!$D81,"")</f>
        <v>King Pool Spring</v>
      </c>
      <c r="AE73" s="7">
        <f ca="1">IF(LEN(DATA!D81)&gt;0,SUMPRODUCT(OFFSET(DATA!$R$6,AE$5,0,1,10),DATA!$R81:$AA81),"")</f>
        <v>2.2455089820359282</v>
      </c>
      <c r="AF73" s="7">
        <f ca="1">IF(LEN(DATA!E81)&gt;0,SUMPRODUCT(OFFSET(DATA!$R$6,AF$5,0,1,10),DATA!$R81:$AA81),"")</f>
        <v>1.5630141493912471</v>
      </c>
      <c r="AG73" s="7">
        <f ca="1">IF(LEN(DATA!F81)&gt;0,SUMPRODUCT(OFFSET(DATA!$R$6,AG$5,0,1,10),DATA!$R81:$AA81),"")</f>
        <v>3.2443028904343749</v>
      </c>
      <c r="AH73" s="7">
        <f ca="1">IF(LEN(DATA!G81)&gt;0,SUMPRODUCT(OFFSET(DATA!$R$6,AH$5,0,1,10),DATA!$R81:$AA81),"")</f>
        <v>0.64308117144096433</v>
      </c>
      <c r="AI73" s="7">
        <f ca="1">IF(LEN(DATA!H81)&gt;0,SUMPRODUCT(OFFSET(DATA!$R$6,AI$5,0,1,10),DATA!$R81:$AA81),"")</f>
        <v>1.6447779341589148</v>
      </c>
      <c r="AJ73" s="7">
        <f ca="1">IF(LEN(DATA!I81)&gt;0,SUMPRODUCT(OFFSET(DATA!$R$6,AJ$5,0,1,10),DATA!$R81:$AA81),"")</f>
        <v>4.557377049180328</v>
      </c>
      <c r="AK73" s="7"/>
      <c r="AL73" s="7">
        <f t="shared" ca="1" si="44"/>
        <v>0.31838428667821295</v>
      </c>
      <c r="AM73" s="7">
        <f t="shared" ca="1" si="45"/>
        <v>0.22161529924974657</v>
      </c>
      <c r="AN73" s="7">
        <f t="shared" ca="1" si="46"/>
        <v>9.3945797763585401E-2</v>
      </c>
      <c r="AO73" s="7">
        <f t="shared" ca="1" si="47"/>
        <v>0.24028067066909348</v>
      </c>
      <c r="AP73" s="7">
        <f t="shared" ca="1" si="48"/>
        <v>0.46000041407204045</v>
      </c>
      <c r="AQ73" s="7">
        <f t="shared" ca="1" si="49"/>
        <v>0.66577353156732111</v>
      </c>
      <c r="AS73">
        <f t="shared" si="50"/>
        <v>67</v>
      </c>
      <c r="AT73">
        <f t="shared" si="51"/>
        <v>0</v>
      </c>
      <c r="AU73">
        <f t="shared" ca="1" si="52"/>
        <v>0.57080806369691373</v>
      </c>
      <c r="AV73">
        <f t="shared" ca="1" si="53"/>
        <v>0.19192447901757095</v>
      </c>
      <c r="AW73">
        <f ca="1">IF(AND($AT73&lt;3,OFFSET(DATA!$C$14,$AS73,0)=AW$6),$AV73,dNULL)</f>
        <v>0.19192447901757095</v>
      </c>
      <c r="AX73">
        <f ca="1">IF(AND($AT73&lt;3,OFFSET(DATA!$C$14,$AS73,0)=AX$6),$AV73,dNULL)</f>
        <v>-99</v>
      </c>
      <c r="AY73">
        <f ca="1">IF(AND($AT73&lt;3,OFFSET(DATA!$C$14,$AS73,0)=AY$6),$AV73,dNULL)</f>
        <v>-99</v>
      </c>
      <c r="AZ73">
        <f ca="1">IF(AND($AT73&lt;3,OFFSET(DATA!$C$14,$AS73,0)=AZ$6),$AV73,dNULL)</f>
        <v>-99</v>
      </c>
      <c r="BA73">
        <f ca="1">IF(AND($AT73&lt;3,OFFSET(DATA!$C$14,$AS73,0)=BA$6),$AV73,dNULL)</f>
        <v>-99</v>
      </c>
      <c r="BB73">
        <f ca="1">IF(AND($AT73&lt;3,OFFSET(DATA!$C$14,$AS73,0)=BB$6),$AV73,dNULL)</f>
        <v>-99</v>
      </c>
      <c r="BC73">
        <f ca="1">IF(AND($AT73&lt;3,OFFSET(DATA!$C$14,$AS73,0)=BC$6),$AV73,dNULL)</f>
        <v>-99</v>
      </c>
      <c r="BD73">
        <f ca="1">IF(AND($AT73&lt;3,OFFSET(DATA!$C$14,$AS73,0)=BD$6),$AV73,dNULL)</f>
        <v>-99</v>
      </c>
      <c r="BE73">
        <f ca="1">IF(AND($AT73&lt;3,OFFSET(DATA!$C$14,$AS73,0)=BE$6),$AV73,dNULL)</f>
        <v>-99</v>
      </c>
      <c r="BF73">
        <f ca="1">IF(AND($AT73&lt;3,OFFSET(DATA!$C$14,$AS73,0)=BF$6),$AV73,dNULL)</f>
        <v>-99</v>
      </c>
      <c r="BG73">
        <f ca="1">IF(AND($AT73&lt;3,OFFSET(DATA!$C$14,$AS73,0)=BG$6),$AV73,dNULL)</f>
        <v>-99</v>
      </c>
      <c r="BH73">
        <f ca="1">IF(AND($AT73&lt;3,OFFSET(DATA!$C$14,$AS73,0)=BH$6),$AV73,dNULL)</f>
        <v>-99</v>
      </c>
      <c r="BU73">
        <f t="shared" si="58"/>
        <v>1</v>
      </c>
      <c r="BV73">
        <f t="shared" ref="BV73:BV136" si="59">BV72+MOD(ROW(BV73)-ROW($H$16),2)*$BV$4</f>
        <v>0.76000000000000034</v>
      </c>
      <c r="BW73">
        <f t="shared" ca="1" si="54"/>
        <v>0.2</v>
      </c>
      <c r="BX73">
        <f t="shared" ca="1" si="55"/>
        <v>-0.2</v>
      </c>
    </row>
    <row r="74" spans="13:76" x14ac:dyDescent="0.25">
      <c r="N74">
        <f>N73+(1-N73)/2</f>
        <v>0.8</v>
      </c>
      <c r="O74">
        <f>O73+(1-N73)*ApexCAT</f>
        <v>0.34641016151377535</v>
      </c>
      <c r="Q74">
        <f t="shared" si="41"/>
        <v>2.0374999999999996</v>
      </c>
      <c r="R74">
        <f t="shared" si="42"/>
        <v>0.58456714755449612</v>
      </c>
      <c r="S74">
        <f t="shared" si="56"/>
        <v>60.000000000000007</v>
      </c>
      <c r="T74">
        <f t="shared" si="40"/>
        <v>-60</v>
      </c>
      <c r="Y74" s="26"/>
      <c r="Z74" s="26"/>
      <c r="AB74" s="26" t="str">
        <f t="shared" ca="1" si="43"/>
        <v>Longstreet Spring</v>
      </c>
      <c r="AC74">
        <f t="shared" ca="1" si="57"/>
        <v>68</v>
      </c>
      <c r="AD74" t="str">
        <f ca="1">IF(AND(AT74&lt;1,MAX(AW74:BH74)&gt;dNULL),DATA!$D82,"")</f>
        <v>Longstreet Spring</v>
      </c>
      <c r="AE74" s="7">
        <f ca="1">IF(LEN(DATA!D82)&gt;0,SUMPRODUCT(OFFSET(DATA!$R$6,AE$5,0,1,10),DATA!$R82:$AA82),"")</f>
        <v>2.3952095808383236</v>
      </c>
      <c r="AF74" s="7">
        <f ca="1">IF(LEN(DATA!E82)&gt;0,SUMPRODUCT(OFFSET(DATA!$R$6,AF$5,0,1,10),DATA!$R82:$AA82),"")</f>
        <v>1.5630141493912471</v>
      </c>
      <c r="AG74" s="7">
        <f ca="1">IF(LEN(DATA!F82)&gt;0,SUMPRODUCT(OFFSET(DATA!$R$6,AG$5,0,1,10),DATA!$R82:$AA82),"")</f>
        <v>3.2008053961075356</v>
      </c>
      <c r="AH74" s="7">
        <f ca="1">IF(LEN(DATA!G82)&gt;0,SUMPRODUCT(OFFSET(DATA!$R$6,AH$5,0,1,10),DATA!$R82:$AA82),"")</f>
        <v>0.57425290173795773</v>
      </c>
      <c r="AI74" s="7">
        <f ca="1">IF(LEN(DATA!H82)&gt;0,SUMPRODUCT(OFFSET(DATA!$R$6,AI$5,0,1,10),DATA!$R82:$AA82),"")</f>
        <v>1.5614980387584634</v>
      </c>
      <c r="AJ74" s="7">
        <f ca="1">IF(LEN(DATA!I82)&gt;0,SUMPRODUCT(OFFSET(DATA!$R$6,AJ$5,0,1,10),DATA!$R82:$AA82),"")</f>
        <v>4.918032786885246</v>
      </c>
      <c r="AK74" s="7"/>
      <c r="AL74" s="7">
        <f t="shared" ca="1" si="44"/>
        <v>0.3345718446690864</v>
      </c>
      <c r="AM74" s="7">
        <f t="shared" ca="1" si="45"/>
        <v>0.21832767010838494</v>
      </c>
      <c r="AN74" s="7">
        <f t="shared" ca="1" si="46"/>
        <v>8.1410619311845248E-2</v>
      </c>
      <c r="AO74" s="7">
        <f t="shared" ca="1" si="47"/>
        <v>0.22137027432482459</v>
      </c>
      <c r="AP74" s="7">
        <f t="shared" ca="1" si="48"/>
        <v>0.44710048522252865</v>
      </c>
      <c r="AQ74" s="7">
        <f t="shared" ca="1" si="49"/>
        <v>0.69721910636333018</v>
      </c>
      <c r="AS74">
        <f t="shared" si="50"/>
        <v>68</v>
      </c>
      <c r="AT74">
        <f t="shared" si="51"/>
        <v>0</v>
      </c>
      <c r="AU74">
        <f t="shared" ca="1" si="52"/>
        <v>0.55626432027672112</v>
      </c>
      <c r="AV74">
        <f t="shared" ca="1" si="53"/>
        <v>0.18907730866292977</v>
      </c>
      <c r="AW74">
        <f ca="1">IF(AND($AT74&lt;3,OFFSET(DATA!$C$14,$AS74,0)=AW$6),$AV74,dNULL)</f>
        <v>0.18907730866292977</v>
      </c>
      <c r="AX74">
        <f ca="1">IF(AND($AT74&lt;3,OFFSET(DATA!$C$14,$AS74,0)=AX$6),$AV74,dNULL)</f>
        <v>-99</v>
      </c>
      <c r="AY74">
        <f ca="1">IF(AND($AT74&lt;3,OFFSET(DATA!$C$14,$AS74,0)=AY$6),$AV74,dNULL)</f>
        <v>-99</v>
      </c>
      <c r="AZ74">
        <f ca="1">IF(AND($AT74&lt;3,OFFSET(DATA!$C$14,$AS74,0)=AZ$6),$AV74,dNULL)</f>
        <v>-99</v>
      </c>
      <c r="BA74">
        <f ca="1">IF(AND($AT74&lt;3,OFFSET(DATA!$C$14,$AS74,0)=BA$6),$AV74,dNULL)</f>
        <v>-99</v>
      </c>
      <c r="BB74">
        <f ca="1">IF(AND($AT74&lt;3,OFFSET(DATA!$C$14,$AS74,0)=BB$6),$AV74,dNULL)</f>
        <v>-99</v>
      </c>
      <c r="BC74">
        <f ca="1">IF(AND($AT74&lt;3,OFFSET(DATA!$C$14,$AS74,0)=BC$6),$AV74,dNULL)</f>
        <v>-99</v>
      </c>
      <c r="BD74">
        <f ca="1">IF(AND($AT74&lt;3,OFFSET(DATA!$C$14,$AS74,0)=BD$6),$AV74,dNULL)</f>
        <v>-99</v>
      </c>
      <c r="BE74">
        <f ca="1">IF(AND($AT74&lt;3,OFFSET(DATA!$C$14,$AS74,0)=BE$6),$AV74,dNULL)</f>
        <v>-99</v>
      </c>
      <c r="BF74">
        <f ca="1">IF(AND($AT74&lt;3,OFFSET(DATA!$C$14,$AS74,0)=BF$6),$AV74,dNULL)</f>
        <v>-99</v>
      </c>
      <c r="BG74">
        <f ca="1">IF(AND($AT74&lt;3,OFFSET(DATA!$C$14,$AS74,0)=BG$6),$AV74,dNULL)</f>
        <v>-99</v>
      </c>
      <c r="BH74">
        <f ca="1">IF(AND($AT74&lt;3,OFFSET(DATA!$C$14,$AS74,0)=BH$6),$AV74,dNULL)</f>
        <v>-99</v>
      </c>
      <c r="BU74">
        <f t="shared" si="58"/>
        <v>1</v>
      </c>
      <c r="BV74">
        <f t="shared" si="59"/>
        <v>0.76000000000000034</v>
      </c>
      <c r="BW74">
        <f t="shared" ca="1" si="54"/>
        <v>1.5142049090560863</v>
      </c>
      <c r="BX74">
        <f t="shared" ca="1" si="55"/>
        <v>-1.5242841717548175</v>
      </c>
    </row>
    <row r="75" spans="13:76" x14ac:dyDescent="0.25">
      <c r="Q75">
        <f t="shared" si="41"/>
        <v>1.9375</v>
      </c>
      <c r="R75">
        <f t="shared" si="42"/>
        <v>0.7577722283113838</v>
      </c>
      <c r="S75">
        <f t="shared" si="56"/>
        <v>80</v>
      </c>
      <c r="T75">
        <f t="shared" si="40"/>
        <v>-60</v>
      </c>
      <c r="Y75" s="26"/>
      <c r="Z75" s="26"/>
      <c r="AB75" s="26" t="str">
        <f t="shared" ca="1" si="43"/>
        <v>Navel Spring</v>
      </c>
      <c r="AC75">
        <f t="shared" ca="1" si="57"/>
        <v>69</v>
      </c>
      <c r="AD75" t="str">
        <f ca="1">IF(AND(AT75&lt;1,MAX(AW75:BH75)&gt;dNULL),DATA!$D83,"")</f>
        <v>Navel Spring</v>
      </c>
      <c r="AE75" s="7">
        <f ca="1">IF(LEN(DATA!D83)&gt;0,SUMPRODUCT(OFFSET(DATA!$R$6,AE$5,0,1,10),DATA!$R83:$AA83),"")</f>
        <v>0.91067864271457089</v>
      </c>
      <c r="AF75" s="7">
        <f ca="1">IF(LEN(DATA!E83)&gt;0,SUMPRODUCT(OFFSET(DATA!$R$6,AF$5,0,1,10),DATA!$R83:$AA83),"")</f>
        <v>0.73831852583086532</v>
      </c>
      <c r="AG75" s="7">
        <f ca="1">IF(LEN(DATA!F83)&gt;0,SUMPRODUCT(OFFSET(DATA!$R$6,AG$5,0,1,10),DATA!$R83:$AA83),"")</f>
        <v>7.3874338607419467</v>
      </c>
      <c r="AH75" s="7">
        <f ca="1">IF(LEN(DATA!G83)&gt;0,SUMPRODUCT(OFFSET(DATA!$R$6,AH$5,0,1,10),DATA!$R83:$AA83),"")</f>
        <v>2.247267584517795</v>
      </c>
      <c r="AI75" s="7">
        <f ca="1">IF(LEN(DATA!H83)&gt;0,SUMPRODUCT(OFFSET(DATA!$R$6,AI$5,0,1,10),DATA!$R83:$AA83),"")</f>
        <v>2.3942969927629769</v>
      </c>
      <c r="AJ75" s="7">
        <f ca="1">IF(LEN(DATA!I83)&gt;0,SUMPRODUCT(OFFSET(DATA!$R$6,AJ$5,0,1,10),DATA!$R83:$AA83),"")</f>
        <v>4.2550546448087436</v>
      </c>
      <c r="AK75" s="7"/>
      <c r="AL75" s="7">
        <f t="shared" ca="1" si="44"/>
        <v>0.10077857505502229</v>
      </c>
      <c r="AM75" s="7">
        <f t="shared" ca="1" si="45"/>
        <v>8.1704660107286789E-2</v>
      </c>
      <c r="AN75" s="7">
        <f t="shared" ca="1" si="46"/>
        <v>0.25259792831618882</v>
      </c>
      <c r="AO75" s="7">
        <f t="shared" ca="1" si="47"/>
        <v>0.26912436432236531</v>
      </c>
      <c r="AP75" s="7">
        <f t="shared" ca="1" si="48"/>
        <v>0.81751676483769087</v>
      </c>
      <c r="AQ75" s="7">
        <f t="shared" ca="1" si="49"/>
        <v>0.47827770736144587</v>
      </c>
      <c r="AS75">
        <f t="shared" si="50"/>
        <v>69</v>
      </c>
      <c r="AT75">
        <f t="shared" si="51"/>
        <v>0</v>
      </c>
      <c r="AU75">
        <f t="shared" ca="1" si="52"/>
        <v>0.85836909489133428</v>
      </c>
      <c r="AV75">
        <f t="shared" ca="1" si="53"/>
        <v>7.0758311260483348E-2</v>
      </c>
      <c r="AW75">
        <f ca="1">IF(AND($AT75&lt;3,OFFSET(DATA!$C$14,$AS75,0)=AW$6),$AV75,dNULL)</f>
        <v>-99</v>
      </c>
      <c r="AX75">
        <f ca="1">IF(AND($AT75&lt;3,OFFSET(DATA!$C$14,$AS75,0)=AX$6),$AV75,dNULL)</f>
        <v>-99</v>
      </c>
      <c r="AY75">
        <f ca="1">IF(AND($AT75&lt;3,OFFSET(DATA!$C$14,$AS75,0)=AY$6),$AV75,dNULL)</f>
        <v>-99</v>
      </c>
      <c r="AZ75">
        <f ca="1">IF(AND($AT75&lt;3,OFFSET(DATA!$C$14,$AS75,0)=AZ$6),$AV75,dNULL)</f>
        <v>-99</v>
      </c>
      <c r="BA75">
        <f ca="1">IF(AND($AT75&lt;3,OFFSET(DATA!$C$14,$AS75,0)=BA$6),$AV75,dNULL)</f>
        <v>-99</v>
      </c>
      <c r="BB75">
        <f ca="1">IF(AND($AT75&lt;3,OFFSET(DATA!$C$14,$AS75,0)=BB$6),$AV75,dNULL)</f>
        <v>7.0758311260483348E-2</v>
      </c>
      <c r="BC75">
        <f ca="1">IF(AND($AT75&lt;3,OFFSET(DATA!$C$14,$AS75,0)=BC$6),$AV75,dNULL)</f>
        <v>-99</v>
      </c>
      <c r="BD75">
        <f ca="1">IF(AND($AT75&lt;3,OFFSET(DATA!$C$14,$AS75,0)=BD$6),$AV75,dNULL)</f>
        <v>-99</v>
      </c>
      <c r="BE75">
        <f ca="1">IF(AND($AT75&lt;3,OFFSET(DATA!$C$14,$AS75,0)=BE$6),$AV75,dNULL)</f>
        <v>-99</v>
      </c>
      <c r="BF75">
        <f ca="1">IF(AND($AT75&lt;3,OFFSET(DATA!$C$14,$AS75,0)=BF$6),$AV75,dNULL)</f>
        <v>-99</v>
      </c>
      <c r="BG75">
        <f ca="1">IF(AND($AT75&lt;3,OFFSET(DATA!$C$14,$AS75,0)=BG$6),$AV75,dNULL)</f>
        <v>-99</v>
      </c>
      <c r="BH75">
        <f ca="1">IF(AND($AT75&lt;3,OFFSET(DATA!$C$14,$AS75,0)=BH$6),$AV75,dNULL)</f>
        <v>-99</v>
      </c>
      <c r="BU75">
        <f t="shared" si="58"/>
        <v>1</v>
      </c>
      <c r="BV75">
        <f t="shared" si="59"/>
        <v>0.78000000000000036</v>
      </c>
      <c r="BW75">
        <f t="shared" ca="1" si="54"/>
        <v>0.2</v>
      </c>
      <c r="BX75">
        <f t="shared" ca="1" si="55"/>
        <v>-0.2</v>
      </c>
    </row>
    <row r="76" spans="13:76" x14ac:dyDescent="0.25">
      <c r="N76">
        <f>IF(N73&lt;1-$N$5,N73+$N$5,dNULL)</f>
        <v>0.8</v>
      </c>
      <c r="O76">
        <v>0</v>
      </c>
      <c r="Q76">
        <f t="shared" si="41"/>
        <v>1.8375000000000001</v>
      </c>
      <c r="R76">
        <f t="shared" si="42"/>
        <v>0.93097730906827147</v>
      </c>
      <c r="S76">
        <f t="shared" si="56"/>
        <v>100</v>
      </c>
      <c r="T76">
        <f t="shared" si="40"/>
        <v>-60</v>
      </c>
      <c r="Y76" s="26"/>
      <c r="Z76" s="26"/>
      <c r="AB76" s="26" t="str">
        <f t="shared" ca="1" si="43"/>
        <v>Nevares Spring</v>
      </c>
      <c r="AC76">
        <f t="shared" ca="1" si="57"/>
        <v>70</v>
      </c>
      <c r="AD76" t="str">
        <f ca="1">IF(AND(AT76&lt;1,MAX(AW76:BH76)&gt;dNULL),DATA!$D84,"")</f>
        <v>Nevares Spring</v>
      </c>
      <c r="AE76" s="7">
        <f ca="1">IF(LEN(DATA!D84)&gt;0,SUMPRODUCT(OFFSET(DATA!$R$6,AE$5,0,1,10),DATA!$R84:$AA84),"")</f>
        <v>2.1457085828343314</v>
      </c>
      <c r="AF76" s="7">
        <f ca="1">IF(LEN(DATA!E84)&gt;0,SUMPRODUCT(OFFSET(DATA!$R$6,AF$5,0,1,10),DATA!$R84:$AA84),"")</f>
        <v>1.6452780519907864</v>
      </c>
      <c r="AG76" s="7">
        <f ca="1">IF(LEN(DATA!F84)&gt;0,SUMPRODUCT(OFFSET(DATA!$R$6,AG$5,0,1,10),DATA!$R84:$AA84),"")</f>
        <v>6.3709647394897919</v>
      </c>
      <c r="AH76" s="7">
        <f ca="1">IF(LEN(DATA!G84)&gt;0,SUMPRODUCT(OFFSET(DATA!$R$6,AH$5,0,1,10),DATA!$R84:$AA84),"")</f>
        <v>1.4087120663980985</v>
      </c>
      <c r="AI76" s="7">
        <f ca="1">IF(LEN(DATA!H84)&gt;0,SUMPRODUCT(OFFSET(DATA!$R$6,AI$5,0,1,10),DATA!$R84:$AA84),"")</f>
        <v>3.747595293020312</v>
      </c>
      <c r="AJ76" s="7">
        <f ca="1">IF(LEN(DATA!I84)&gt;0,SUMPRODUCT(OFFSET(DATA!$R$6,AJ$5,0,1,10),DATA!$R84:$AA84),"")</f>
        <v>5.7377049180327866</v>
      </c>
      <c r="AK76" s="7"/>
      <c r="AL76" s="7">
        <f t="shared" ca="1" si="44"/>
        <v>0.21115123501355948</v>
      </c>
      <c r="AM76" s="7">
        <f t="shared" ca="1" si="45"/>
        <v>0.16190571981571861</v>
      </c>
      <c r="AN76" s="7">
        <f t="shared" ca="1" si="46"/>
        <v>0.12931067365454504</v>
      </c>
      <c r="AO76" s="7">
        <f t="shared" ca="1" si="47"/>
        <v>0.34400505503167228</v>
      </c>
      <c r="AP76" s="7">
        <f t="shared" ca="1" si="48"/>
        <v>0.62694304517072186</v>
      </c>
      <c r="AQ76" s="7">
        <f t="shared" ca="1" si="49"/>
        <v>0.52668427131378281</v>
      </c>
      <c r="AS76">
        <f t="shared" si="50"/>
        <v>70</v>
      </c>
      <c r="AT76">
        <f t="shared" si="51"/>
        <v>0</v>
      </c>
      <c r="AU76">
        <f t="shared" ca="1" si="52"/>
        <v>0.70789590507858124</v>
      </c>
      <c r="AV76">
        <f t="shared" ca="1" si="53"/>
        <v>0.14021446637841789</v>
      </c>
      <c r="AW76">
        <f ca="1">IF(AND($AT76&lt;3,OFFSET(DATA!$C$14,$AS76,0)=AW$6),$AV76,dNULL)</f>
        <v>-99</v>
      </c>
      <c r="AX76">
        <f ca="1">IF(AND($AT76&lt;3,OFFSET(DATA!$C$14,$AS76,0)=AX$6),$AV76,dNULL)</f>
        <v>-99</v>
      </c>
      <c r="AY76">
        <f ca="1">IF(AND($AT76&lt;3,OFFSET(DATA!$C$14,$AS76,0)=AY$6),$AV76,dNULL)</f>
        <v>-99</v>
      </c>
      <c r="AZ76">
        <f ca="1">IF(AND($AT76&lt;3,OFFSET(DATA!$C$14,$AS76,0)=AZ$6),$AV76,dNULL)</f>
        <v>0.14021446637841789</v>
      </c>
      <c r="BA76">
        <f ca="1">IF(AND($AT76&lt;3,OFFSET(DATA!$C$14,$AS76,0)=BA$6),$AV76,dNULL)</f>
        <v>-99</v>
      </c>
      <c r="BB76">
        <f ca="1">IF(AND($AT76&lt;3,OFFSET(DATA!$C$14,$AS76,0)=BB$6),$AV76,dNULL)</f>
        <v>-99</v>
      </c>
      <c r="BC76">
        <f ca="1">IF(AND($AT76&lt;3,OFFSET(DATA!$C$14,$AS76,0)=BC$6),$AV76,dNULL)</f>
        <v>-99</v>
      </c>
      <c r="BD76">
        <f ca="1">IF(AND($AT76&lt;3,OFFSET(DATA!$C$14,$AS76,0)=BD$6),$AV76,dNULL)</f>
        <v>-99</v>
      </c>
      <c r="BE76">
        <f ca="1">IF(AND($AT76&lt;3,OFFSET(DATA!$C$14,$AS76,0)=BE$6),$AV76,dNULL)</f>
        <v>-99</v>
      </c>
      <c r="BF76">
        <f ca="1">IF(AND($AT76&lt;3,OFFSET(DATA!$C$14,$AS76,0)=BF$6),$AV76,dNULL)</f>
        <v>-99</v>
      </c>
      <c r="BG76">
        <f ca="1">IF(AND($AT76&lt;3,OFFSET(DATA!$C$14,$AS76,0)=BG$6),$AV76,dNULL)</f>
        <v>-99</v>
      </c>
      <c r="BH76">
        <f ca="1">IF(AND($AT76&lt;3,OFFSET(DATA!$C$14,$AS76,0)=BH$6),$AV76,dNULL)</f>
        <v>-99</v>
      </c>
      <c r="BU76">
        <f t="shared" si="58"/>
        <v>1</v>
      </c>
      <c r="BV76">
        <f t="shared" si="59"/>
        <v>0.78000000000000036</v>
      </c>
      <c r="BW76">
        <f t="shared" ca="1" si="54"/>
        <v>1.454487090641492</v>
      </c>
      <c r="BX76">
        <f t="shared" ca="1" si="55"/>
        <v>-1.4885073880871789</v>
      </c>
    </row>
    <row r="77" spans="13:76" x14ac:dyDescent="0.25">
      <c r="N77">
        <f>N76+(1-N76)/2</f>
        <v>0.9</v>
      </c>
      <c r="O77">
        <f>O76+(1-N76)*ApexCAT</f>
        <v>0.17320508075688767</v>
      </c>
      <c r="Q77">
        <f t="shared" si="41"/>
        <v>1.7375</v>
      </c>
      <c r="R77">
        <f t="shared" si="42"/>
        <v>-98.935048094716166</v>
      </c>
      <c r="S77">
        <f t="shared" si="56"/>
        <v>120</v>
      </c>
      <c r="T77">
        <f t="shared" si="40"/>
        <v>-60</v>
      </c>
      <c r="Y77" s="26"/>
      <c r="Z77" s="26"/>
      <c r="AB77" s="26" t="str">
        <f t="shared" ca="1" si="43"/>
        <v>North Scruggs Spring</v>
      </c>
      <c r="AC77">
        <f t="shared" ca="1" si="57"/>
        <v>71</v>
      </c>
      <c r="AD77" t="str">
        <f ca="1">IF(AND(AT77&lt;1,MAX(AW77:BH77)&gt;dNULL),DATA!$D85,"")</f>
        <v>North Scruggs Spring</v>
      </c>
      <c r="AE77" s="7">
        <f ca="1">IF(LEN(DATA!D85)&gt;0,SUMPRODUCT(OFFSET(DATA!$R$6,AE$5,0,1,10),DATA!$R85:$AA85),"")</f>
        <v>2.2954091816367268</v>
      </c>
      <c r="AF77" s="7">
        <f ca="1">IF(LEN(DATA!E85)&gt;0,SUMPRODUCT(OFFSET(DATA!$R$6,AF$5,0,1,10),DATA!$R85:$AA85),"")</f>
        <v>1.809805857189865</v>
      </c>
      <c r="AG77" s="7">
        <f ca="1">IF(LEN(DATA!F85)&gt;0,SUMPRODUCT(OFFSET(DATA!$R$6,AG$5,0,1,10),DATA!$R85:$AA85),"")</f>
        <v>3.1726523854388211</v>
      </c>
      <c r="AH77" s="7">
        <f ca="1">IF(LEN(DATA!G85)&gt;0,SUMPRODUCT(OFFSET(DATA!$R$6,AH$5,0,1,10),DATA!$R85:$AA85),"")</f>
        <v>0.68181473144471216</v>
      </c>
      <c r="AI77" s="7">
        <f ca="1">IF(LEN(DATA!H85)&gt;0,SUMPRODUCT(OFFSET(DATA!$R$6,AI$5,0,1,10),DATA!$R85:$AA85),"")</f>
        <v>1.5823180126085763</v>
      </c>
      <c r="AJ77" s="7">
        <f ca="1">IF(LEN(DATA!I85)&gt;0,SUMPRODUCT(OFFSET(DATA!$R$6,AJ$5,0,1,10),DATA!$R85:$AA85),"")</f>
        <v>4.9508196721311473</v>
      </c>
      <c r="AK77" s="7"/>
      <c r="AL77" s="7">
        <f t="shared" ca="1" si="44"/>
        <v>0.3153958498863989</v>
      </c>
      <c r="AM77" s="7">
        <f t="shared" ca="1" si="45"/>
        <v>0.24867255085682419</v>
      </c>
      <c r="AN77" s="7">
        <f t="shared" ca="1" si="46"/>
        <v>9.4500239518597401E-2</v>
      </c>
      <c r="AO77" s="7">
        <f t="shared" ca="1" si="47"/>
        <v>0.21931094223977868</v>
      </c>
      <c r="AP77" s="7">
        <f t="shared" ca="1" si="48"/>
        <v>0.43593159925677694</v>
      </c>
      <c r="AQ77" s="7">
        <f t="shared" ca="1" si="49"/>
        <v>0.68618881824162392</v>
      </c>
      <c r="AS77">
        <f t="shared" si="50"/>
        <v>71</v>
      </c>
      <c r="AT77">
        <f t="shared" si="51"/>
        <v>0</v>
      </c>
      <c r="AU77">
        <f t="shared" ca="1" si="52"/>
        <v>0.56026787468518902</v>
      </c>
      <c r="AV77">
        <f t="shared" ca="1" si="53"/>
        <v>0.21535674626588752</v>
      </c>
      <c r="AW77">
        <f ca="1">IF(AND($AT77&lt;3,OFFSET(DATA!$C$14,$AS77,0)=AW$6),$AV77,dNULL)</f>
        <v>0.21535674626588752</v>
      </c>
      <c r="AX77">
        <f ca="1">IF(AND($AT77&lt;3,OFFSET(DATA!$C$14,$AS77,0)=AX$6),$AV77,dNULL)</f>
        <v>-99</v>
      </c>
      <c r="AY77">
        <f ca="1">IF(AND($AT77&lt;3,OFFSET(DATA!$C$14,$AS77,0)=AY$6),$AV77,dNULL)</f>
        <v>-99</v>
      </c>
      <c r="AZ77">
        <f ca="1">IF(AND($AT77&lt;3,OFFSET(DATA!$C$14,$AS77,0)=AZ$6),$AV77,dNULL)</f>
        <v>-99</v>
      </c>
      <c r="BA77">
        <f ca="1">IF(AND($AT77&lt;3,OFFSET(DATA!$C$14,$AS77,0)=BA$6),$AV77,dNULL)</f>
        <v>-99</v>
      </c>
      <c r="BB77">
        <f ca="1">IF(AND($AT77&lt;3,OFFSET(DATA!$C$14,$AS77,0)=BB$6),$AV77,dNULL)</f>
        <v>-99</v>
      </c>
      <c r="BC77">
        <f ca="1">IF(AND($AT77&lt;3,OFFSET(DATA!$C$14,$AS77,0)=BC$6),$AV77,dNULL)</f>
        <v>-99</v>
      </c>
      <c r="BD77">
        <f ca="1">IF(AND($AT77&lt;3,OFFSET(DATA!$C$14,$AS77,0)=BD$6),$AV77,dNULL)</f>
        <v>-99</v>
      </c>
      <c r="BE77">
        <f ca="1">IF(AND($AT77&lt;3,OFFSET(DATA!$C$14,$AS77,0)=BE$6),$AV77,dNULL)</f>
        <v>-99</v>
      </c>
      <c r="BF77">
        <f ca="1">IF(AND($AT77&lt;3,OFFSET(DATA!$C$14,$AS77,0)=BF$6),$AV77,dNULL)</f>
        <v>-99</v>
      </c>
      <c r="BG77">
        <f ca="1">IF(AND($AT77&lt;3,OFFSET(DATA!$C$14,$AS77,0)=BG$6),$AV77,dNULL)</f>
        <v>-99</v>
      </c>
      <c r="BH77">
        <f ca="1">IF(AND($AT77&lt;3,OFFSET(DATA!$C$14,$AS77,0)=BH$6),$AV77,dNULL)</f>
        <v>-99</v>
      </c>
      <c r="BU77">
        <f t="shared" si="58"/>
        <v>1</v>
      </c>
      <c r="BV77">
        <f t="shared" si="59"/>
        <v>0.80000000000000038</v>
      </c>
      <c r="BW77">
        <f t="shared" ca="1" si="54"/>
        <v>0.2</v>
      </c>
      <c r="BX77">
        <f t="shared" ca="1" si="55"/>
        <v>-0.2</v>
      </c>
    </row>
    <row r="78" spans="13:76" x14ac:dyDescent="0.25">
      <c r="Q78">
        <f t="shared" si="41"/>
        <v>1.6375</v>
      </c>
      <c r="R78">
        <f t="shared" si="42"/>
        <v>-98.935048094716166</v>
      </c>
      <c r="S78">
        <f t="shared" si="56"/>
        <v>140</v>
      </c>
      <c r="T78">
        <f t="shared" si="40"/>
        <v>-60</v>
      </c>
      <c r="Y78" s="26"/>
      <c r="Z78" s="26"/>
      <c r="AB78" s="26" t="str">
        <f t="shared" ca="1" si="43"/>
        <v>Point of Rocks Spring</v>
      </c>
      <c r="AC78">
        <f t="shared" ca="1" si="57"/>
        <v>72</v>
      </c>
      <c r="AD78" t="str">
        <f ca="1">IF(AND(AT78&lt;1,MAX(AW78:BH78)&gt;dNULL),DATA!$D86,"")</f>
        <v>Point of Rocks Spring</v>
      </c>
      <c r="AE78" s="7">
        <f ca="1">IF(LEN(DATA!D86)&gt;0,SUMPRODUCT(OFFSET(DATA!$R$6,AE$5,0,1,10),DATA!$R86:$AA86),"")</f>
        <v>2.3952095808383236</v>
      </c>
      <c r="AF78" s="7">
        <f ca="1">IF(LEN(DATA!E86)&gt;0,SUMPRODUCT(OFFSET(DATA!$R$6,AF$5,0,1,10),DATA!$R86:$AA86),"")</f>
        <v>1.7275419545903257</v>
      </c>
      <c r="AG78" s="7">
        <f ca="1">IF(LEN(DATA!F86)&gt;0,SUMPRODUCT(OFFSET(DATA!$R$6,AG$5,0,1,10),DATA!$R86:$AA86),"")</f>
        <v>3.0959085098527113</v>
      </c>
      <c r="AH78" s="7">
        <f ca="1">IF(LEN(DATA!G86)&gt;0,SUMPRODUCT(OFFSET(DATA!$R$6,AH$5,0,1,10),DATA!$R86:$AA86),"")</f>
        <v>0.69760553488079102</v>
      </c>
      <c r="AI78" s="7">
        <f ca="1">IF(LEN(DATA!H86)&gt;0,SUMPRODUCT(OFFSET(DATA!$R$6,AI$5,0,1,10),DATA!$R86:$AA86),"")</f>
        <v>1.5823180126085763</v>
      </c>
      <c r="AJ78" s="7">
        <f ca="1">IF(LEN(DATA!I86)&gt;0,SUMPRODUCT(OFFSET(DATA!$R$6,AJ$5,0,1,10),DATA!$R86:$AA86),"")</f>
        <v>4.9836065573770494</v>
      </c>
      <c r="AK78" s="7"/>
      <c r="AL78" s="7">
        <f t="shared" ca="1" si="44"/>
        <v>0.33180805936470248</v>
      </c>
      <c r="AM78" s="7">
        <f t="shared" ca="1" si="45"/>
        <v>0.23931615337940346</v>
      </c>
      <c r="AN78" s="7">
        <f t="shared" ca="1" si="46"/>
        <v>9.6042217050000184E-2</v>
      </c>
      <c r="AO78" s="7">
        <f t="shared" ca="1" si="47"/>
        <v>0.21784421483273753</v>
      </c>
      <c r="AP78" s="7">
        <f t="shared" ca="1" si="48"/>
        <v>0.42887578725589404</v>
      </c>
      <c r="AQ78" s="7">
        <f t="shared" ca="1" si="49"/>
        <v>0.68611356811726221</v>
      </c>
      <c r="AS78">
        <f t="shared" si="50"/>
        <v>72</v>
      </c>
      <c r="AT78">
        <f t="shared" si="51"/>
        <v>0</v>
      </c>
      <c r="AU78">
        <f t="shared" ca="1" si="52"/>
        <v>0.54853386394559578</v>
      </c>
      <c r="AV78">
        <f t="shared" ca="1" si="53"/>
        <v>0.20725386836253651</v>
      </c>
      <c r="AW78">
        <f ca="1">IF(AND($AT78&lt;3,OFFSET(DATA!$C$14,$AS78,0)=AW$6),$AV78,dNULL)</f>
        <v>0.20725386836253651</v>
      </c>
      <c r="AX78">
        <f ca="1">IF(AND($AT78&lt;3,OFFSET(DATA!$C$14,$AS78,0)=AX$6),$AV78,dNULL)</f>
        <v>-99</v>
      </c>
      <c r="AY78">
        <f ca="1">IF(AND($AT78&lt;3,OFFSET(DATA!$C$14,$AS78,0)=AY$6),$AV78,dNULL)</f>
        <v>-99</v>
      </c>
      <c r="AZ78">
        <f ca="1">IF(AND($AT78&lt;3,OFFSET(DATA!$C$14,$AS78,0)=AZ$6),$AV78,dNULL)</f>
        <v>-99</v>
      </c>
      <c r="BA78">
        <f ca="1">IF(AND($AT78&lt;3,OFFSET(DATA!$C$14,$AS78,0)=BA$6),$AV78,dNULL)</f>
        <v>-99</v>
      </c>
      <c r="BB78">
        <f ca="1">IF(AND($AT78&lt;3,OFFSET(DATA!$C$14,$AS78,0)=BB$6),$AV78,dNULL)</f>
        <v>-99</v>
      </c>
      <c r="BC78">
        <f ca="1">IF(AND($AT78&lt;3,OFFSET(DATA!$C$14,$AS78,0)=BC$6),$AV78,dNULL)</f>
        <v>-99</v>
      </c>
      <c r="BD78">
        <f ca="1">IF(AND($AT78&lt;3,OFFSET(DATA!$C$14,$AS78,0)=BD$6),$AV78,dNULL)</f>
        <v>-99</v>
      </c>
      <c r="BE78">
        <f ca="1">IF(AND($AT78&lt;3,OFFSET(DATA!$C$14,$AS78,0)=BE$6),$AV78,dNULL)</f>
        <v>-99</v>
      </c>
      <c r="BF78">
        <f ca="1">IF(AND($AT78&lt;3,OFFSET(DATA!$C$14,$AS78,0)=BF$6),$AV78,dNULL)</f>
        <v>-99</v>
      </c>
      <c r="BG78">
        <f ca="1">IF(AND($AT78&lt;3,OFFSET(DATA!$C$14,$AS78,0)=BG$6),$AV78,dNULL)</f>
        <v>-99</v>
      </c>
      <c r="BH78">
        <f ca="1">IF(AND($AT78&lt;3,OFFSET(DATA!$C$14,$AS78,0)=BH$6),$AV78,dNULL)</f>
        <v>-99</v>
      </c>
      <c r="BU78">
        <f t="shared" si="58"/>
        <v>1</v>
      </c>
      <c r="BV78">
        <f t="shared" si="59"/>
        <v>0.80000000000000038</v>
      </c>
      <c r="BW78">
        <f t="shared" ca="1" si="54"/>
        <v>1.3947692722268976</v>
      </c>
      <c r="BX78">
        <f t="shared" ca="1" si="55"/>
        <v>-1.4527306044195405</v>
      </c>
    </row>
    <row r="79" spans="13:76" x14ac:dyDescent="0.25">
      <c r="N79">
        <f>IF(N76&lt;1-$N$5,N76+$N$5,dNULL)</f>
        <v>-99</v>
      </c>
      <c r="O79">
        <v>0</v>
      </c>
      <c r="Q79">
        <f t="shared" si="41"/>
        <v>1.5375000000000001</v>
      </c>
      <c r="R79">
        <f t="shared" si="42"/>
        <v>-98.935048094716166</v>
      </c>
      <c r="S79">
        <f t="shared" si="56"/>
        <v>160</v>
      </c>
      <c r="T79">
        <f t="shared" si="40"/>
        <v>-60</v>
      </c>
      <c r="Y79" s="26"/>
      <c r="Z79" s="26"/>
      <c r="AB79" s="26" t="str">
        <f t="shared" ca="1" si="43"/>
        <v>Rogers Spring</v>
      </c>
      <c r="AC79">
        <f t="shared" ca="1" si="57"/>
        <v>73</v>
      </c>
      <c r="AD79" t="str">
        <f ca="1">IF(AND(AT79&lt;1,MAX(AW79:BH79)&gt;dNULL),DATA!$D87,"")</f>
        <v>Rogers Spring</v>
      </c>
      <c r="AE79" s="7">
        <f ca="1">IF(LEN(DATA!D87)&gt;0,SUMPRODUCT(OFFSET(DATA!$R$6,AE$5,0,1,10),DATA!$R87:$AA87),"")</f>
        <v>2.345309381237525</v>
      </c>
      <c r="AF79" s="7">
        <f ca="1">IF(LEN(DATA!E87)&gt;0,SUMPRODUCT(OFFSET(DATA!$R$6,AF$5,0,1,10),DATA!$R87:$AA87),"")</f>
        <v>1.7275419545903257</v>
      </c>
      <c r="AG79" s="7">
        <f ca="1">IF(LEN(DATA!F87)&gt;0,SUMPRODUCT(OFFSET(DATA!$R$6,AG$5,0,1,10),DATA!$R87:$AA87),"")</f>
        <v>3.2008053961075356</v>
      </c>
      <c r="AH79" s="7">
        <f ca="1">IF(LEN(DATA!G87)&gt;0,SUMPRODUCT(OFFSET(DATA!$R$6,AH$5,0,1,10),DATA!$R87:$AA87),"")</f>
        <v>0.67128752915399303</v>
      </c>
      <c r="AI79" s="7">
        <f ca="1">IF(LEN(DATA!H87)&gt;0,SUMPRODUCT(OFFSET(DATA!$R$6,AI$5,0,1,10),DATA!$R87:$AA87),"")</f>
        <v>1.6239579603088019</v>
      </c>
      <c r="AJ79" s="7">
        <f ca="1">IF(LEN(DATA!I87)&gt;0,SUMPRODUCT(OFFSET(DATA!$R$6,AJ$5,0,1,10),DATA!$R87:$AA87),"")</f>
        <v>4.9508196721311473</v>
      </c>
      <c r="AK79" s="7"/>
      <c r="AL79" s="7">
        <f t="shared" ca="1" si="44"/>
        <v>0.32243883203070561</v>
      </c>
      <c r="AM79" s="7">
        <f t="shared" ca="1" si="45"/>
        <v>0.23750666525208133</v>
      </c>
      <c r="AN79" s="7">
        <f t="shared" ca="1" si="46"/>
        <v>9.2641663328118282E-2</v>
      </c>
      <c r="AO79" s="7">
        <f t="shared" ca="1" si="47"/>
        <v>0.22411583722931552</v>
      </c>
      <c r="AP79" s="7">
        <f t="shared" ca="1" si="48"/>
        <v>0.44005450271721308</v>
      </c>
      <c r="AQ79" s="7">
        <f t="shared" ca="1" si="49"/>
        <v>0.68324249944256621</v>
      </c>
      <c r="AS79">
        <f t="shared" si="50"/>
        <v>73</v>
      </c>
      <c r="AT79">
        <f t="shared" si="51"/>
        <v>0</v>
      </c>
      <c r="AU79">
        <f t="shared" ca="1" si="52"/>
        <v>0.55880783534325362</v>
      </c>
      <c r="AV79">
        <f t="shared" ca="1" si="53"/>
        <v>0.20568680567642922</v>
      </c>
      <c r="AW79">
        <f ca="1">IF(AND($AT79&lt;3,OFFSET(DATA!$C$14,$AS79,0)=AW$6),$AV79,dNULL)</f>
        <v>0.20568680567642922</v>
      </c>
      <c r="AX79">
        <f ca="1">IF(AND($AT79&lt;3,OFFSET(DATA!$C$14,$AS79,0)=AX$6),$AV79,dNULL)</f>
        <v>-99</v>
      </c>
      <c r="AY79">
        <f ca="1">IF(AND($AT79&lt;3,OFFSET(DATA!$C$14,$AS79,0)=AY$6),$AV79,dNULL)</f>
        <v>-99</v>
      </c>
      <c r="AZ79">
        <f ca="1">IF(AND($AT79&lt;3,OFFSET(DATA!$C$14,$AS79,0)=AZ$6),$AV79,dNULL)</f>
        <v>-99</v>
      </c>
      <c r="BA79">
        <f ca="1">IF(AND($AT79&lt;3,OFFSET(DATA!$C$14,$AS79,0)=BA$6),$AV79,dNULL)</f>
        <v>-99</v>
      </c>
      <c r="BB79">
        <f ca="1">IF(AND($AT79&lt;3,OFFSET(DATA!$C$14,$AS79,0)=BB$6),$AV79,dNULL)</f>
        <v>-99</v>
      </c>
      <c r="BC79">
        <f ca="1">IF(AND($AT79&lt;3,OFFSET(DATA!$C$14,$AS79,0)=BC$6),$AV79,dNULL)</f>
        <v>-99</v>
      </c>
      <c r="BD79">
        <f ca="1">IF(AND($AT79&lt;3,OFFSET(DATA!$C$14,$AS79,0)=BD$6),$AV79,dNULL)</f>
        <v>-99</v>
      </c>
      <c r="BE79">
        <f ca="1">IF(AND($AT79&lt;3,OFFSET(DATA!$C$14,$AS79,0)=BE$6),$AV79,dNULL)</f>
        <v>-99</v>
      </c>
      <c r="BF79">
        <f ca="1">IF(AND($AT79&lt;3,OFFSET(DATA!$C$14,$AS79,0)=BF$6),$AV79,dNULL)</f>
        <v>-99</v>
      </c>
      <c r="BG79">
        <f ca="1">IF(AND($AT79&lt;3,OFFSET(DATA!$C$14,$AS79,0)=BG$6),$AV79,dNULL)</f>
        <v>-99</v>
      </c>
      <c r="BH79">
        <f ca="1">IF(AND($AT79&lt;3,OFFSET(DATA!$C$14,$AS79,0)=BH$6),$AV79,dNULL)</f>
        <v>-99</v>
      </c>
      <c r="BU79">
        <f t="shared" si="58"/>
        <v>1</v>
      </c>
      <c r="BV79">
        <f t="shared" si="59"/>
        <v>0.8200000000000004</v>
      </c>
      <c r="BW79">
        <f t="shared" ca="1" si="54"/>
        <v>0.2</v>
      </c>
      <c r="BX79">
        <f t="shared" ca="1" si="55"/>
        <v>-0.2</v>
      </c>
    </row>
    <row r="80" spans="13:76" x14ac:dyDescent="0.25">
      <c r="N80">
        <f>N79+(1-N79)/2</f>
        <v>-49</v>
      </c>
      <c r="O80">
        <f>O79+(1-N79)*ApexCAT</f>
        <v>86.602540378443862</v>
      </c>
      <c r="Q80">
        <f t="shared" si="41"/>
        <v>1.4375000000000002</v>
      </c>
      <c r="R80">
        <f t="shared" si="42"/>
        <v>-98.935048094716166</v>
      </c>
      <c r="S80">
        <f t="shared" si="56"/>
        <v>179.99999999999997</v>
      </c>
      <c r="T80">
        <f t="shared" si="40"/>
        <v>-60</v>
      </c>
      <c r="Y80" s="26"/>
      <c r="Z80" s="26"/>
      <c r="AB80" s="26" t="str">
        <f t="shared" ca="1" si="43"/>
        <v>Soda Spring</v>
      </c>
      <c r="AC80">
        <f t="shared" ca="1" si="57"/>
        <v>74</v>
      </c>
      <c r="AD80" t="str">
        <f ca="1">IF(AND(AT80&lt;1,MAX(AW80:BH80)&gt;dNULL),DATA!$D88,"")</f>
        <v>Soda Spring</v>
      </c>
      <c r="AE80" s="7">
        <f ca="1">IF(LEN(DATA!D88)&gt;0,SUMPRODUCT(OFFSET(DATA!$R$6,AE$5,0,1,10),DATA!$R88:$AA88),"")</f>
        <v>1.7964071856287427</v>
      </c>
      <c r="AF80" s="7">
        <f ca="1">IF(LEN(DATA!E88)&gt;0,SUMPRODUCT(OFFSET(DATA!$R$6,AF$5,0,1,10),DATA!$R88:$AA88),"")</f>
        <v>1.3984863441921684</v>
      </c>
      <c r="AG80" s="7">
        <f ca="1">IF(LEN(DATA!F88)&gt;0,SUMPRODUCT(OFFSET(DATA!$R$6,AG$5,0,1,10),DATA!$R88:$AA88),"")</f>
        <v>4.8664757929470479</v>
      </c>
      <c r="AH80" s="7">
        <f ca="1">IF(LEN(DATA!G88)&gt;0,SUMPRODUCT(OFFSET(DATA!$R$6,AH$5,0,1,10),DATA!$R88:$AA88),"")</f>
        <v>0.86684368115896204</v>
      </c>
      <c r="AI80" s="7">
        <f ca="1">IF(LEN(DATA!H88)&gt;0,SUMPRODUCT(OFFSET(DATA!$R$6,AI$5,0,1,10),DATA!$R88:$AA88),"")</f>
        <v>1.9362575680604945</v>
      </c>
      <c r="AJ80" s="7">
        <f ca="1">IF(LEN(DATA!I88)&gt;0,SUMPRODUCT(OFFSET(DATA!$R$6,AJ$5,0,1,10),DATA!$R88:$AA88),"")</f>
        <v>5.4098360655737707</v>
      </c>
      <c r="AK80" s="7"/>
      <c r="AL80" s="7">
        <f t="shared" ca="1" si="44"/>
        <v>0.22284144463585087</v>
      </c>
      <c r="AM80" s="7">
        <f t="shared" ca="1" si="45"/>
        <v>0.17347999926543284</v>
      </c>
      <c r="AN80" s="7">
        <f t="shared" ca="1" si="46"/>
        <v>0.10554612167775765</v>
      </c>
      <c r="AO80" s="7">
        <f t="shared" ca="1" si="47"/>
        <v>0.23575701285006617</v>
      </c>
      <c r="AP80" s="7">
        <f t="shared" ca="1" si="48"/>
        <v>0.60367855609871635</v>
      </c>
      <c r="AQ80" s="7">
        <f t="shared" ca="1" si="49"/>
        <v>0.65869686547217632</v>
      </c>
      <c r="AS80">
        <f t="shared" si="50"/>
        <v>74</v>
      </c>
      <c r="AT80">
        <f t="shared" si="51"/>
        <v>0</v>
      </c>
      <c r="AU80">
        <f t="shared" ca="1" si="52"/>
        <v>0.69041855573143274</v>
      </c>
      <c r="AV80">
        <f t="shared" ca="1" si="53"/>
        <v>0.15023808641237058</v>
      </c>
      <c r="AW80">
        <f ca="1">IF(AND($AT80&lt;3,OFFSET(DATA!$C$14,$AS80,0)=AW$6),$AV80,dNULL)</f>
        <v>0.15023808641237058</v>
      </c>
      <c r="AX80">
        <f ca="1">IF(AND($AT80&lt;3,OFFSET(DATA!$C$14,$AS80,0)=AX$6),$AV80,dNULL)</f>
        <v>-99</v>
      </c>
      <c r="AY80">
        <f ca="1">IF(AND($AT80&lt;3,OFFSET(DATA!$C$14,$AS80,0)=AY$6),$AV80,dNULL)</f>
        <v>-99</v>
      </c>
      <c r="AZ80">
        <f ca="1">IF(AND($AT80&lt;3,OFFSET(DATA!$C$14,$AS80,0)=AZ$6),$AV80,dNULL)</f>
        <v>-99</v>
      </c>
      <c r="BA80">
        <f ca="1">IF(AND($AT80&lt;3,OFFSET(DATA!$C$14,$AS80,0)=BA$6),$AV80,dNULL)</f>
        <v>-99</v>
      </c>
      <c r="BB80">
        <f ca="1">IF(AND($AT80&lt;3,OFFSET(DATA!$C$14,$AS80,0)=BB$6),$AV80,dNULL)</f>
        <v>-99</v>
      </c>
      <c r="BC80">
        <f ca="1">IF(AND($AT80&lt;3,OFFSET(DATA!$C$14,$AS80,0)=BC$6),$AV80,dNULL)</f>
        <v>-99</v>
      </c>
      <c r="BD80">
        <f ca="1">IF(AND($AT80&lt;3,OFFSET(DATA!$C$14,$AS80,0)=BD$6),$AV80,dNULL)</f>
        <v>-99</v>
      </c>
      <c r="BE80">
        <f ca="1">IF(AND($AT80&lt;3,OFFSET(DATA!$C$14,$AS80,0)=BE$6),$AV80,dNULL)</f>
        <v>-99</v>
      </c>
      <c r="BF80">
        <f ca="1">IF(AND($AT80&lt;3,OFFSET(DATA!$C$14,$AS80,0)=BF$6),$AV80,dNULL)</f>
        <v>-99</v>
      </c>
      <c r="BG80">
        <f ca="1">IF(AND($AT80&lt;3,OFFSET(DATA!$C$14,$AS80,0)=BG$6),$AV80,dNULL)</f>
        <v>-99</v>
      </c>
      <c r="BH80">
        <f ca="1">IF(AND($AT80&lt;3,OFFSET(DATA!$C$14,$AS80,0)=BH$6),$AV80,dNULL)</f>
        <v>-99</v>
      </c>
      <c r="BU80">
        <f t="shared" si="58"/>
        <v>1</v>
      </c>
      <c r="BV80">
        <f t="shared" si="59"/>
        <v>0.8200000000000004</v>
      </c>
      <c r="BW80">
        <f t="shared" ca="1" si="54"/>
        <v>1.3350514538123033</v>
      </c>
      <c r="BX80">
        <f t="shared" ca="1" si="55"/>
        <v>-1.4169538207519021</v>
      </c>
    </row>
    <row r="81" spans="13:76" x14ac:dyDescent="0.25">
      <c r="Y81" s="26"/>
      <c r="Z81" s="26"/>
      <c r="AB81" s="26" t="str">
        <f t="shared" ca="1" si="43"/>
        <v>Texas Spring</v>
      </c>
      <c r="AC81">
        <f t="shared" ca="1" si="57"/>
        <v>75</v>
      </c>
      <c r="AD81" t="str">
        <f ca="1">IF(AND(AT81&lt;1,MAX(AW81:BH81)&gt;dNULL),DATA!$D89,"")</f>
        <v>Texas Spring</v>
      </c>
      <c r="AE81" s="7">
        <f ca="1">IF(LEN(DATA!D89)&gt;0,SUMPRODUCT(OFFSET(DATA!$R$6,AE$5,0,1,10),DATA!$R89:$AA89),"")</f>
        <v>1.7964071856287427</v>
      </c>
      <c r="AF81" s="7">
        <f ca="1">IF(LEN(DATA!E89)&gt;0,SUMPRODUCT(OFFSET(DATA!$R$6,AF$5,0,1,10),DATA!$R89:$AA89),"")</f>
        <v>1.5630141493912471</v>
      </c>
      <c r="AG81" s="7">
        <f ca="1">IF(LEN(DATA!F89)&gt;0,SUMPRODUCT(OFFSET(DATA!$R$6,AG$5,0,1,10),DATA!$R89:$AA89),"")</f>
        <v>6.8059396827581846</v>
      </c>
      <c r="AH81" s="7">
        <f ca="1">IF(LEN(DATA!G89)&gt;0,SUMPRODUCT(OFFSET(DATA!$R$6,AH$5,0,1,10),DATA!$R89:$AA89),"")</f>
        <v>1.4173509167025873</v>
      </c>
      <c r="AI81" s="7">
        <f ca="1">IF(LEN(DATA!H89)&gt;0,SUMPRODUCT(OFFSET(DATA!$R$6,AI$5,0,1,10),DATA!$R89:$AA89),"")</f>
        <v>3.331195816018055</v>
      </c>
      <c r="AJ81" s="7">
        <f ca="1">IF(LEN(DATA!I89)&gt;0,SUMPRODUCT(OFFSET(DATA!$R$6,AJ$5,0,1,10),DATA!$R89:$AA89),"")</f>
        <v>5.5737704918032787</v>
      </c>
      <c r="AK81" s="7"/>
      <c r="AL81" s="7">
        <f t="shared" ca="1" si="44"/>
        <v>0.17671848372989515</v>
      </c>
      <c r="AM81" s="7">
        <f t="shared" ca="1" si="45"/>
        <v>0.15375884306102808</v>
      </c>
      <c r="AN81" s="7">
        <f t="shared" ca="1" si="46"/>
        <v>0.13730937403621185</v>
      </c>
      <c r="AO81" s="7">
        <f t="shared" ca="1" si="47"/>
        <v>0.32271783007247135</v>
      </c>
      <c r="AP81" s="7">
        <f t="shared" ca="1" si="48"/>
        <v>0.66952267320907677</v>
      </c>
      <c r="AQ81" s="7">
        <f t="shared" ca="1" si="49"/>
        <v>0.53997279589131675</v>
      </c>
      <c r="AS81">
        <f t="shared" si="50"/>
        <v>75</v>
      </c>
      <c r="AT81">
        <f t="shared" si="51"/>
        <v>0</v>
      </c>
      <c r="AU81">
        <f t="shared" ca="1" si="52"/>
        <v>0.74640209473959074</v>
      </c>
      <c r="AV81">
        <f t="shared" ca="1" si="53"/>
        <v>0.13315906414735496</v>
      </c>
      <c r="AW81">
        <f ca="1">IF(AND($AT81&lt;3,OFFSET(DATA!$C$14,$AS81,0)=AW$6),$AV81,dNULL)</f>
        <v>-99</v>
      </c>
      <c r="AX81">
        <f ca="1">IF(AND($AT81&lt;3,OFFSET(DATA!$C$14,$AS81,0)=AX$6),$AV81,dNULL)</f>
        <v>-99</v>
      </c>
      <c r="AY81">
        <f ca="1">IF(AND($AT81&lt;3,OFFSET(DATA!$C$14,$AS81,0)=AY$6),$AV81,dNULL)</f>
        <v>-99</v>
      </c>
      <c r="AZ81">
        <f ca="1">IF(AND($AT81&lt;3,OFFSET(DATA!$C$14,$AS81,0)=AZ$6),$AV81,dNULL)</f>
        <v>0.13315906414735496</v>
      </c>
      <c r="BA81">
        <f ca="1">IF(AND($AT81&lt;3,OFFSET(DATA!$C$14,$AS81,0)=BA$6),$AV81,dNULL)</f>
        <v>-99</v>
      </c>
      <c r="BB81">
        <f ca="1">IF(AND($AT81&lt;3,OFFSET(DATA!$C$14,$AS81,0)=BB$6),$AV81,dNULL)</f>
        <v>-99</v>
      </c>
      <c r="BC81">
        <f ca="1">IF(AND($AT81&lt;3,OFFSET(DATA!$C$14,$AS81,0)=BC$6),$AV81,dNULL)</f>
        <v>-99</v>
      </c>
      <c r="BD81">
        <f ca="1">IF(AND($AT81&lt;3,OFFSET(DATA!$C$14,$AS81,0)=BD$6),$AV81,dNULL)</f>
        <v>-99</v>
      </c>
      <c r="BE81">
        <f ca="1">IF(AND($AT81&lt;3,OFFSET(DATA!$C$14,$AS81,0)=BE$6),$AV81,dNULL)</f>
        <v>-99</v>
      </c>
      <c r="BF81">
        <f ca="1">IF(AND($AT81&lt;3,OFFSET(DATA!$C$14,$AS81,0)=BF$6),$AV81,dNULL)</f>
        <v>-99</v>
      </c>
      <c r="BG81">
        <f ca="1">IF(AND($AT81&lt;3,OFFSET(DATA!$C$14,$AS81,0)=BG$6),$AV81,dNULL)</f>
        <v>-99</v>
      </c>
      <c r="BH81">
        <f ca="1">IF(AND($AT81&lt;3,OFFSET(DATA!$C$14,$AS81,0)=BH$6),$AV81,dNULL)</f>
        <v>-99</v>
      </c>
      <c r="BU81">
        <f t="shared" si="58"/>
        <v>1</v>
      </c>
      <c r="BV81">
        <f t="shared" si="59"/>
        <v>0.84000000000000041</v>
      </c>
      <c r="BW81">
        <f t="shared" ca="1" si="54"/>
        <v>0.2</v>
      </c>
      <c r="BX81">
        <f t="shared" ca="1" si="55"/>
        <v>-0.2</v>
      </c>
    </row>
    <row r="82" spans="13:76" x14ac:dyDescent="0.25">
      <c r="N82">
        <f>IF(N79&lt;1-$N$5,N79+$N$5,dNULL)</f>
        <v>-98.8</v>
      </c>
      <c r="O82">
        <v>0</v>
      </c>
      <c r="Q82">
        <f>N187-NumberOFF*COS(T82*PI()/180)</f>
        <v>0.71250000000000013</v>
      </c>
      <c r="R82">
        <f>O187+SIN(T82*PI()/180)*NumberOFF</f>
        <v>0.88767603887904956</v>
      </c>
      <c r="S82">
        <f>$N$5*100</f>
        <v>20</v>
      </c>
      <c r="T82">
        <v>-60</v>
      </c>
      <c r="Y82" s="26"/>
      <c r="Z82" s="26"/>
      <c r="AB82" s="26" t="str">
        <f t="shared" ca="1" si="43"/>
        <v>Travertine springs</v>
      </c>
      <c r="AC82">
        <f t="shared" ca="1" si="57"/>
        <v>76</v>
      </c>
      <c r="AD82" t="str">
        <f ca="1">IF(AND(AT82&lt;1,MAX(AW82:BH82)&gt;dNULL),DATA!$D90,"")</f>
        <v>Travertine springs</v>
      </c>
      <c r="AE82" s="7">
        <f ca="1">IF(LEN(DATA!D90)&gt;0,SUMPRODUCT(OFFSET(DATA!$R$6,AE$5,0,1,10),DATA!$R90:$AA90),"")</f>
        <v>1.9461077844311379</v>
      </c>
      <c r="AF82" s="7">
        <f ca="1">IF(LEN(DATA!E90)&gt;0,SUMPRODUCT(OFFSET(DATA!$R$6,AF$5,0,1,10),DATA!$R90:$AA90),"")</f>
        <v>1.6452780519907864</v>
      </c>
      <c r="AG82" s="7">
        <f ca="1">IF(LEN(DATA!F90)&gt;0,SUMPRODUCT(OFFSET(DATA!$R$6,AG$5,0,1,10),DATA!$R90:$AA90),"")</f>
        <v>7.2409146260265773</v>
      </c>
      <c r="AH82" s="7">
        <f ca="1">IF(LEN(DATA!G90)&gt;0,SUMPRODUCT(OFFSET(DATA!$R$6,AH$5,0,1,10),DATA!$R90:$AA90),"")</f>
        <v>1.519649145263982</v>
      </c>
      <c r="AI82" s="7">
        <f ca="1">IF(LEN(DATA!H90)&gt;0,SUMPRODUCT(OFFSET(DATA!$R$6,AI$5,0,1,10),DATA!$R90:$AA90),"")</f>
        <v>3.9557950315214403</v>
      </c>
      <c r="AJ82" s="7">
        <f ca="1">IF(LEN(DATA!I90)&gt;0,SUMPRODUCT(OFFSET(DATA!$R$6,AJ$5,0,1,10),DATA!$R90:$AA90),"")</f>
        <v>5.7377049180327866</v>
      </c>
      <c r="AK82" s="7"/>
      <c r="AL82" s="7">
        <f t="shared" ca="1" si="44"/>
        <v>0.17965784748840372</v>
      </c>
      <c r="AM82" s="7">
        <f t="shared" ca="1" si="45"/>
        <v>0.15188630131654349</v>
      </c>
      <c r="AN82" s="7">
        <f t="shared" ca="1" si="46"/>
        <v>0.13552385083029336</v>
      </c>
      <c r="AO82" s="7">
        <f t="shared" ca="1" si="47"/>
        <v>0.35278180982624069</v>
      </c>
      <c r="AP82" s="7">
        <f t="shared" ca="1" si="48"/>
        <v>0.66845585119505291</v>
      </c>
      <c r="AQ82" s="7">
        <f t="shared" ca="1" si="49"/>
        <v>0.51169433934346586</v>
      </c>
      <c r="AS82">
        <f t="shared" si="50"/>
        <v>76</v>
      </c>
      <c r="AT82">
        <f t="shared" si="51"/>
        <v>0</v>
      </c>
      <c r="AU82">
        <f t="shared" ca="1" si="52"/>
        <v>0.74439900185332453</v>
      </c>
      <c r="AV82">
        <f t="shared" ca="1" si="53"/>
        <v>0.13153739542698448</v>
      </c>
      <c r="AW82">
        <f ca="1">IF(AND($AT82&lt;3,OFFSET(DATA!$C$14,$AS82,0)=AW$6),$AV82,dNULL)</f>
        <v>-99</v>
      </c>
      <c r="AX82">
        <f ca="1">IF(AND($AT82&lt;3,OFFSET(DATA!$C$14,$AS82,0)=AX$6),$AV82,dNULL)</f>
        <v>-99</v>
      </c>
      <c r="AY82">
        <f ca="1">IF(AND($AT82&lt;3,OFFSET(DATA!$C$14,$AS82,0)=AY$6),$AV82,dNULL)</f>
        <v>-99</v>
      </c>
      <c r="AZ82">
        <f ca="1">IF(AND($AT82&lt;3,OFFSET(DATA!$C$14,$AS82,0)=AZ$6),$AV82,dNULL)</f>
        <v>0.13153739542698448</v>
      </c>
      <c r="BA82">
        <f ca="1">IF(AND($AT82&lt;3,OFFSET(DATA!$C$14,$AS82,0)=BA$6),$AV82,dNULL)</f>
        <v>-99</v>
      </c>
      <c r="BB82">
        <f ca="1">IF(AND($AT82&lt;3,OFFSET(DATA!$C$14,$AS82,0)=BB$6),$AV82,dNULL)</f>
        <v>-99</v>
      </c>
      <c r="BC82">
        <f ca="1">IF(AND($AT82&lt;3,OFFSET(DATA!$C$14,$AS82,0)=BC$6),$AV82,dNULL)</f>
        <v>-99</v>
      </c>
      <c r="BD82">
        <f ca="1">IF(AND($AT82&lt;3,OFFSET(DATA!$C$14,$AS82,0)=BD$6),$AV82,dNULL)</f>
        <v>-99</v>
      </c>
      <c r="BE82">
        <f ca="1">IF(AND($AT82&lt;3,OFFSET(DATA!$C$14,$AS82,0)=BE$6),$AV82,dNULL)</f>
        <v>-99</v>
      </c>
      <c r="BF82">
        <f ca="1">IF(AND($AT82&lt;3,OFFSET(DATA!$C$14,$AS82,0)=BF$6),$AV82,dNULL)</f>
        <v>-99</v>
      </c>
      <c r="BG82">
        <f ca="1">IF(AND($AT82&lt;3,OFFSET(DATA!$C$14,$AS82,0)=BG$6),$AV82,dNULL)</f>
        <v>-99</v>
      </c>
      <c r="BH82">
        <f ca="1">IF(AND($AT82&lt;3,OFFSET(DATA!$C$14,$AS82,0)=BH$6),$AV82,dNULL)</f>
        <v>-99</v>
      </c>
      <c r="BU82">
        <f t="shared" si="58"/>
        <v>1</v>
      </c>
      <c r="BV82">
        <f t="shared" si="59"/>
        <v>0.84000000000000041</v>
      </c>
      <c r="BW82">
        <f t="shared" ca="1" si="54"/>
        <v>1.2753336353977089</v>
      </c>
      <c r="BX82">
        <f t="shared" ca="1" si="55"/>
        <v>-1.3811770370842638</v>
      </c>
    </row>
    <row r="83" spans="13:76" x14ac:dyDescent="0.25">
      <c r="N83">
        <f>N82+(1-N82)/2</f>
        <v>-48.9</v>
      </c>
      <c r="O83">
        <f>O82+(1-N82)*ApexCAT</f>
        <v>86.429335297686976</v>
      </c>
      <c r="Q83">
        <f>N188+NumberOFF*COS(T83*PI()/180)</f>
        <v>1.2875000000000001</v>
      </c>
      <c r="R83">
        <f>O188-SIN(T83*PI()/180)*NumberOFF</f>
        <v>1.883605253231154</v>
      </c>
      <c r="S83">
        <f>100-S82</f>
        <v>80</v>
      </c>
      <c r="T83">
        <f>T82</f>
        <v>-60</v>
      </c>
      <c r="Y83" s="26"/>
      <c r="Z83" s="26"/>
      <c r="AB83" s="26" t="str">
        <f t="shared" ca="1" si="43"/>
        <v>TW-F</v>
      </c>
      <c r="AC83">
        <f t="shared" ca="1" si="57"/>
        <v>77</v>
      </c>
      <c r="AD83" t="str">
        <f ca="1">IF(AND(AT83&lt;1,MAX(AW83:BH83)&gt;dNULL),DATA!$D91,"")</f>
        <v>TW-F</v>
      </c>
      <c r="AE83" s="7">
        <f ca="1">IF(LEN(DATA!D91)&gt;0,SUMPRODUCT(OFFSET(DATA!$R$6,AE$5,0,1,10),DATA!$R91:$AA91),"")</f>
        <v>2.2455089820359282</v>
      </c>
      <c r="AF83" s="7">
        <f ca="1">IF(LEN(DATA!E91)&gt;0,SUMPRODUCT(OFFSET(DATA!$R$6,AF$5,0,1,10),DATA!$R91:$AA91),"")</f>
        <v>1.3162224415926291</v>
      </c>
      <c r="AG83" s="7">
        <f ca="1">IF(LEN(DATA!F91)&gt;0,SUMPRODUCT(OFFSET(DATA!$R$6,AG$5,0,1,10),DATA!$R91:$AA91),"")</f>
        <v>2.9270119031359103</v>
      </c>
      <c r="AH83" s="7">
        <f ca="1">IF(LEN(DATA!G91)&gt;0,SUMPRODUCT(OFFSET(DATA!$R$6,AH$5,0,1,10),DATA!$R91:$AA91),"")</f>
        <v>0.59153060234693522</v>
      </c>
      <c r="AI83" s="7">
        <f ca="1">IF(LEN(DATA!H91)&gt;0,SUMPRODUCT(OFFSET(DATA!$R$6,AI$5,0,1,10),DATA!$R91:$AA91),"")</f>
        <v>1.7072378557092533</v>
      </c>
      <c r="AJ83" s="7">
        <f ca="1">IF(LEN(DATA!I91)&gt;0,SUMPRODUCT(OFFSET(DATA!$R$6,AJ$5,0,1,10),DATA!$R91:$AA91),"")</f>
        <v>4.0983606557377046</v>
      </c>
      <c r="AK83" s="7"/>
      <c r="AL83" s="7">
        <f t="shared" ca="1" si="44"/>
        <v>0.34606222945724435</v>
      </c>
      <c r="AM83" s="7">
        <f t="shared" ca="1" si="45"/>
        <v>0.20284704993084499</v>
      </c>
      <c r="AN83" s="7">
        <f t="shared" ca="1" si="46"/>
        <v>9.2468135600302273E-2</v>
      </c>
      <c r="AO83" s="7">
        <f t="shared" ca="1" si="47"/>
        <v>0.26687562894861688</v>
      </c>
      <c r="AP83" s="7">
        <f t="shared" ca="1" si="48"/>
        <v>0.45109072061191069</v>
      </c>
      <c r="AQ83" s="7">
        <f t="shared" ca="1" si="49"/>
        <v>0.64065623545108086</v>
      </c>
      <c r="AS83">
        <f t="shared" si="50"/>
        <v>77</v>
      </c>
      <c r="AT83">
        <f t="shared" si="51"/>
        <v>0</v>
      </c>
      <c r="AU83">
        <f t="shared" ca="1" si="52"/>
        <v>0.55251424557733309</v>
      </c>
      <c r="AV83">
        <f t="shared" ca="1" si="53"/>
        <v>0.17567069832284221</v>
      </c>
      <c r="AW83">
        <f ca="1">IF(AND($AT83&lt;3,OFFSET(DATA!$C$14,$AS83,0)=AW$6),$AV83,dNULL)</f>
        <v>-99</v>
      </c>
      <c r="AX83">
        <f ca="1">IF(AND($AT83&lt;3,OFFSET(DATA!$C$14,$AS83,0)=AX$6),$AV83,dNULL)</f>
        <v>0.17567069832284221</v>
      </c>
      <c r="AY83">
        <f ca="1">IF(AND($AT83&lt;3,OFFSET(DATA!$C$14,$AS83,0)=AY$6),$AV83,dNULL)</f>
        <v>-99</v>
      </c>
      <c r="AZ83">
        <f ca="1">IF(AND($AT83&lt;3,OFFSET(DATA!$C$14,$AS83,0)=AZ$6),$AV83,dNULL)</f>
        <v>-99</v>
      </c>
      <c r="BA83">
        <f ca="1">IF(AND($AT83&lt;3,OFFSET(DATA!$C$14,$AS83,0)=BA$6),$AV83,dNULL)</f>
        <v>-99</v>
      </c>
      <c r="BB83">
        <f ca="1">IF(AND($AT83&lt;3,OFFSET(DATA!$C$14,$AS83,0)=BB$6),$AV83,dNULL)</f>
        <v>-99</v>
      </c>
      <c r="BC83">
        <f ca="1">IF(AND($AT83&lt;3,OFFSET(DATA!$C$14,$AS83,0)=BC$6),$AV83,dNULL)</f>
        <v>-99</v>
      </c>
      <c r="BD83">
        <f ca="1">IF(AND($AT83&lt;3,OFFSET(DATA!$C$14,$AS83,0)=BD$6),$AV83,dNULL)</f>
        <v>-99</v>
      </c>
      <c r="BE83">
        <f ca="1">IF(AND($AT83&lt;3,OFFSET(DATA!$C$14,$AS83,0)=BE$6),$AV83,dNULL)</f>
        <v>-99</v>
      </c>
      <c r="BF83">
        <f ca="1">IF(AND($AT83&lt;3,OFFSET(DATA!$C$14,$AS83,0)=BF$6),$AV83,dNULL)</f>
        <v>-99</v>
      </c>
      <c r="BG83">
        <f ca="1">IF(AND($AT83&lt;3,OFFSET(DATA!$C$14,$AS83,0)=BG$6),$AV83,dNULL)</f>
        <v>-99</v>
      </c>
      <c r="BH83">
        <f ca="1">IF(AND($AT83&lt;3,OFFSET(DATA!$C$14,$AS83,0)=BH$6),$AV83,dNULL)</f>
        <v>-99</v>
      </c>
      <c r="BU83">
        <f t="shared" si="58"/>
        <v>1</v>
      </c>
      <c r="BV83">
        <f t="shared" si="59"/>
        <v>0.86000000000000043</v>
      </c>
      <c r="BW83">
        <f t="shared" ca="1" si="54"/>
        <v>0.2</v>
      </c>
      <c r="BX83">
        <f t="shared" ca="1" si="55"/>
        <v>-0.2</v>
      </c>
    </row>
    <row r="84" spans="13:76" x14ac:dyDescent="0.25">
      <c r="Q84">
        <f>N190-NumberOFF*COS(T84*PI()/180)</f>
        <v>0.8125</v>
      </c>
      <c r="R84">
        <f>O190+SIN(T84*PI()/180)*NumberOFF</f>
        <v>0.71447095812216188</v>
      </c>
      <c r="S84">
        <f>S82+$S$82</f>
        <v>40</v>
      </c>
      <c r="T84">
        <f t="shared" ref="T84:T101" si="60">T83</f>
        <v>-60</v>
      </c>
      <c r="Y84" s="26"/>
      <c r="Z84" s="26"/>
      <c r="AB84" s="26" t="str">
        <f t="shared" ca="1" si="43"/>
        <v>UE-25b 1 HTH</v>
      </c>
      <c r="AC84">
        <f t="shared" ca="1" si="57"/>
        <v>78</v>
      </c>
      <c r="AD84" t="str">
        <f ca="1">IF(AND(AT84&lt;1,MAX(AW84:BH84)&gt;dNULL),DATA!$D92,"")</f>
        <v>UE-25b 1 HTH</v>
      </c>
      <c r="AE84" s="7">
        <f ca="1">IF(LEN(DATA!D92)&gt;0,SUMPRODUCT(OFFSET(DATA!$R$6,AE$5,0,1,10),DATA!$R92:$AA92),"")</f>
        <v>0.83995808383233539</v>
      </c>
      <c r="AF84" s="7">
        <f ca="1">IF(LEN(DATA!E92)&gt;0,SUMPRODUCT(OFFSET(DATA!$R$6,AF$5,0,1,10),DATA!$R92:$AA92),"")</f>
        <v>3.9988483053636066E-2</v>
      </c>
      <c r="AG84" s="7">
        <f ca="1">IF(LEN(DATA!F92)&gt;0,SUMPRODUCT(OFFSET(DATA!$R$6,AG$5,0,1,10),DATA!$R92:$AA92),"")</f>
        <v>2.0899907933098052</v>
      </c>
      <c r="AH84" s="7">
        <f ca="1">IF(LEN(DATA!G92)&gt;0,SUMPRODUCT(OFFSET(DATA!$R$6,AH$5,0,1,10),DATA!$R92:$AA92),"")</f>
        <v>0.24</v>
      </c>
      <c r="AI84" s="7">
        <f ca="1">IF(LEN(DATA!H92)&gt;0,SUMPRODUCT(OFFSET(DATA!$R$6,AI$5,0,1,10),DATA!$R92:$AA92),"")</f>
        <v>0.46</v>
      </c>
      <c r="AJ84" s="7">
        <f ca="1">IF(LEN(DATA!I92)&gt;0,SUMPRODUCT(OFFSET(DATA!$R$6,AJ$5,0,1,10),DATA!$R92:$AA92),"")</f>
        <v>2.2000000000000002</v>
      </c>
      <c r="AK84" s="7"/>
      <c r="AL84" s="7">
        <f t="shared" ca="1" si="44"/>
        <v>0.28282013455562099</v>
      </c>
      <c r="AM84" s="7">
        <f t="shared" ca="1" si="45"/>
        <v>1.3464419684258946E-2</v>
      </c>
      <c r="AN84" s="7">
        <f t="shared" ca="1" si="46"/>
        <v>8.2758620689655157E-2</v>
      </c>
      <c r="AO84" s="7">
        <f t="shared" ca="1" si="47"/>
        <v>0.1586206896551724</v>
      </c>
      <c r="AP84" s="7">
        <f t="shared" ca="1" si="48"/>
        <v>0.70371544576012002</v>
      </c>
      <c r="AQ84" s="7">
        <f t="shared" ca="1" si="49"/>
        <v>0.75862068965517238</v>
      </c>
      <c r="AS84">
        <f t="shared" si="50"/>
        <v>78</v>
      </c>
      <c r="AT84">
        <f t="shared" si="51"/>
        <v>0</v>
      </c>
      <c r="AU84">
        <f t="shared" ca="1" si="52"/>
        <v>0.71044765560224954</v>
      </c>
      <c r="AV84">
        <f t="shared" ca="1" si="53"/>
        <v>1.1660529493783498E-2</v>
      </c>
      <c r="AW84">
        <f ca="1">IF(AND($AT84&lt;3,OFFSET(DATA!$C$14,$AS84,0)=AW$6),$AV84,dNULL)</f>
        <v>-99</v>
      </c>
      <c r="AX84">
        <f ca="1">IF(AND($AT84&lt;3,OFFSET(DATA!$C$14,$AS84,0)=AX$6),$AV84,dNULL)</f>
        <v>-99</v>
      </c>
      <c r="AY84">
        <f ca="1">IF(AND($AT84&lt;3,OFFSET(DATA!$C$14,$AS84,0)=AY$6),$AV84,dNULL)</f>
        <v>-99</v>
      </c>
      <c r="AZ84">
        <f ca="1">IF(AND($AT84&lt;3,OFFSET(DATA!$C$14,$AS84,0)=AZ$6),$AV84,dNULL)</f>
        <v>-99</v>
      </c>
      <c r="BA84">
        <f ca="1">IF(AND($AT84&lt;3,OFFSET(DATA!$C$14,$AS84,0)=BA$6),$AV84,dNULL)</f>
        <v>-99</v>
      </c>
      <c r="BB84">
        <f ca="1">IF(AND($AT84&lt;3,OFFSET(DATA!$C$14,$AS84,0)=BB$6),$AV84,dNULL)</f>
        <v>-99</v>
      </c>
      <c r="BC84">
        <f ca="1">IF(AND($AT84&lt;3,OFFSET(DATA!$C$14,$AS84,0)=BC$6),$AV84,dNULL)</f>
        <v>1.1660529493783498E-2</v>
      </c>
      <c r="BD84">
        <f ca="1">IF(AND($AT84&lt;3,OFFSET(DATA!$C$14,$AS84,0)=BD$6),$AV84,dNULL)</f>
        <v>-99</v>
      </c>
      <c r="BE84">
        <f ca="1">IF(AND($AT84&lt;3,OFFSET(DATA!$C$14,$AS84,0)=BE$6),$AV84,dNULL)</f>
        <v>-99</v>
      </c>
      <c r="BF84">
        <f ca="1">IF(AND($AT84&lt;3,OFFSET(DATA!$C$14,$AS84,0)=BF$6),$AV84,dNULL)</f>
        <v>-99</v>
      </c>
      <c r="BG84">
        <f ca="1">IF(AND($AT84&lt;3,OFFSET(DATA!$C$14,$AS84,0)=BG$6),$AV84,dNULL)</f>
        <v>-99</v>
      </c>
      <c r="BH84">
        <f ca="1">IF(AND($AT84&lt;3,OFFSET(DATA!$C$14,$AS84,0)=BH$6),$AV84,dNULL)</f>
        <v>-99</v>
      </c>
      <c r="BU84">
        <f t="shared" si="58"/>
        <v>1</v>
      </c>
      <c r="BV84">
        <f t="shared" si="59"/>
        <v>0.86000000000000043</v>
      </c>
      <c r="BW84">
        <f t="shared" ca="1" si="54"/>
        <v>1.2156158169831146</v>
      </c>
      <c r="BX84">
        <f t="shared" ca="1" si="55"/>
        <v>-1.3454002534166252</v>
      </c>
    </row>
    <row r="85" spans="13:76" x14ac:dyDescent="0.25">
      <c r="N85">
        <f>IF(N82&lt;1-$N$5,N82+$N$5,dNULL)</f>
        <v>-98.6</v>
      </c>
      <c r="O85">
        <v>0</v>
      </c>
      <c r="Q85">
        <f>N191+NumberOFF*COS(T85*PI()/180)</f>
        <v>1.3875000000000002</v>
      </c>
      <c r="R85">
        <f>O191-SIN(T85*PI()/180)*NumberOFF</f>
        <v>1.7104001724742663</v>
      </c>
      <c r="S85">
        <f>100-S84</f>
        <v>60</v>
      </c>
      <c r="T85">
        <f t="shared" si="60"/>
        <v>-60</v>
      </c>
      <c r="Y85" s="26"/>
      <c r="Z85" s="26"/>
      <c r="AB85" s="26" t="str">
        <f t="shared" ca="1" si="43"/>
        <v>UE-25c 2 HTH</v>
      </c>
      <c r="AC85">
        <f t="shared" ca="1" si="57"/>
        <v>79</v>
      </c>
      <c r="AD85" t="str">
        <f ca="1">IF(AND(AT85&lt;1,MAX(AW85:BH85)&gt;dNULL),DATA!$D93,"")</f>
        <v>UE-25c 2 HTH</v>
      </c>
      <c r="AE85" s="7">
        <f ca="1">IF(LEN(DATA!D93)&gt;0,SUMPRODUCT(OFFSET(DATA!$R$6,AE$5,0,1,10),DATA!$R93:$AA93),"")</f>
        <v>0.5988023952095809</v>
      </c>
      <c r="AF85" s="7">
        <f ca="1">IF(LEN(DATA!E93)&gt;0,SUMPRODUCT(OFFSET(DATA!$R$6,AF$5,0,1,10),DATA!$R93:$AA93),"")</f>
        <v>2.4679170779861793E-2</v>
      </c>
      <c r="AG85" s="7">
        <f ca="1">IF(LEN(DATA!F93)&gt;0,SUMPRODUCT(OFFSET(DATA!$R$6,AG$5,0,1,10),DATA!$R93:$AA93),"")</f>
        <v>2.4000129725097388</v>
      </c>
      <c r="AH85" s="7">
        <f ca="1">IF(LEN(DATA!G93)&gt;0,SUMPRODUCT(OFFSET(DATA!$R$6,AH$5,0,1,10),DATA!$R93:$AA93),"")</f>
        <v>0.30798012804375141</v>
      </c>
      <c r="AI85" s="7">
        <f ca="1">IF(LEN(DATA!H93)&gt;0,SUMPRODUCT(OFFSET(DATA!$R$6,AI$5,0,1,10),DATA!$R93:$AA93),"")</f>
        <v>0.4580394247024826</v>
      </c>
      <c r="AJ85" s="7">
        <f ca="1">IF(LEN(DATA!I93)&gt;0,SUMPRODUCT(OFFSET(DATA!$R$6,AJ$5,0,1,10),DATA!$R93:$AA93),"")</f>
        <v>2.2950819672131146</v>
      </c>
      <c r="AK85" s="7"/>
      <c r="AL85" s="7">
        <f t="shared" ca="1" si="44"/>
        <v>0.19804976909494193</v>
      </c>
      <c r="AM85" s="7">
        <f t="shared" ca="1" si="45"/>
        <v>8.1624658042584626E-3</v>
      </c>
      <c r="AN85" s="7">
        <f t="shared" ca="1" si="46"/>
        <v>0.10061088338156174</v>
      </c>
      <c r="AO85" s="7">
        <f t="shared" ca="1" si="47"/>
        <v>0.14963222281780622</v>
      </c>
      <c r="AP85" s="7">
        <f t="shared" ca="1" si="48"/>
        <v>0.79378776510079962</v>
      </c>
      <c r="AQ85" s="7">
        <f t="shared" ca="1" si="49"/>
        <v>0.74975689380063204</v>
      </c>
      <c r="AS85">
        <f t="shared" si="50"/>
        <v>79</v>
      </c>
      <c r="AT85">
        <f t="shared" si="51"/>
        <v>0</v>
      </c>
      <c r="AU85">
        <f t="shared" ca="1" si="52"/>
        <v>0.79786899800292888</v>
      </c>
      <c r="AV85">
        <f t="shared" ca="1" si="53"/>
        <v>7.0689027440096076E-3</v>
      </c>
      <c r="AW85">
        <f ca="1">IF(AND($AT85&lt;3,OFFSET(DATA!$C$14,$AS85,0)=AW$6),$AV85,dNULL)</f>
        <v>-99</v>
      </c>
      <c r="AX85">
        <f ca="1">IF(AND($AT85&lt;3,OFFSET(DATA!$C$14,$AS85,0)=AX$6),$AV85,dNULL)</f>
        <v>-99</v>
      </c>
      <c r="AY85">
        <f ca="1">IF(AND($AT85&lt;3,OFFSET(DATA!$C$14,$AS85,0)=AY$6),$AV85,dNULL)</f>
        <v>-99</v>
      </c>
      <c r="AZ85">
        <f ca="1">IF(AND($AT85&lt;3,OFFSET(DATA!$C$14,$AS85,0)=AZ$6),$AV85,dNULL)</f>
        <v>-99</v>
      </c>
      <c r="BA85">
        <f ca="1">IF(AND($AT85&lt;3,OFFSET(DATA!$C$14,$AS85,0)=BA$6),$AV85,dNULL)</f>
        <v>-99</v>
      </c>
      <c r="BB85">
        <f ca="1">IF(AND($AT85&lt;3,OFFSET(DATA!$C$14,$AS85,0)=BB$6),$AV85,dNULL)</f>
        <v>-99</v>
      </c>
      <c r="BC85">
        <f ca="1">IF(AND($AT85&lt;3,OFFSET(DATA!$C$14,$AS85,0)=BC$6),$AV85,dNULL)</f>
        <v>7.0689027440096076E-3</v>
      </c>
      <c r="BD85">
        <f ca="1">IF(AND($AT85&lt;3,OFFSET(DATA!$C$14,$AS85,0)=BD$6),$AV85,dNULL)</f>
        <v>-99</v>
      </c>
      <c r="BE85">
        <f ca="1">IF(AND($AT85&lt;3,OFFSET(DATA!$C$14,$AS85,0)=BE$6),$AV85,dNULL)</f>
        <v>-99</v>
      </c>
      <c r="BF85">
        <f ca="1">IF(AND($AT85&lt;3,OFFSET(DATA!$C$14,$AS85,0)=BF$6),$AV85,dNULL)</f>
        <v>-99</v>
      </c>
      <c r="BG85">
        <f ca="1">IF(AND($AT85&lt;3,OFFSET(DATA!$C$14,$AS85,0)=BG$6),$AV85,dNULL)</f>
        <v>-99</v>
      </c>
      <c r="BH85">
        <f ca="1">IF(AND($AT85&lt;3,OFFSET(DATA!$C$14,$AS85,0)=BH$6),$AV85,dNULL)</f>
        <v>-99</v>
      </c>
      <c r="BU85">
        <f t="shared" si="58"/>
        <v>1</v>
      </c>
      <c r="BV85">
        <f t="shared" si="59"/>
        <v>0.88000000000000045</v>
      </c>
      <c r="BW85">
        <f t="shared" ca="1" si="54"/>
        <v>0.2</v>
      </c>
      <c r="BX85">
        <f t="shared" ca="1" si="55"/>
        <v>-0.2</v>
      </c>
    </row>
    <row r="86" spans="13:76" x14ac:dyDescent="0.25">
      <c r="N86">
        <f>N85+(1-N85)/2</f>
        <v>-48.8</v>
      </c>
      <c r="O86">
        <f>O85+(1-N85)*ApexCAT</f>
        <v>86.256130216930075</v>
      </c>
      <c r="Q86">
        <f>N193-NumberOFF*COS(T86*PI()/180)</f>
        <v>0.91250000000000009</v>
      </c>
      <c r="R86">
        <f>O193+SIN(T86*PI()/180)*NumberOFF</f>
        <v>0.54126587736527398</v>
      </c>
      <c r="S86">
        <f>S84+$S$82</f>
        <v>60</v>
      </c>
      <c r="T86">
        <f t="shared" si="60"/>
        <v>-60</v>
      </c>
      <c r="Y86" s="26"/>
      <c r="Z86" s="26"/>
      <c r="AB86" s="26" t="str">
        <f t="shared" ca="1" si="43"/>
        <v>UE-29a 2 HTH</v>
      </c>
      <c r="AC86">
        <f t="shared" ca="1" si="57"/>
        <v>80</v>
      </c>
      <c r="AD86" t="str">
        <f ca="1">IF(AND(AT86&lt;1,MAX(AW86:BH86)&gt;dNULL),DATA!$D94,"")</f>
        <v>UE-29a 2 HTH</v>
      </c>
      <c r="AE86" s="7">
        <f ca="1">IF(LEN(DATA!D94)&gt;0,SUMPRODUCT(OFFSET(DATA!$R$6,AE$5,0,1,10),DATA!$R94:$AA94),"")</f>
        <v>0.49900199600798406</v>
      </c>
      <c r="AF86" s="7">
        <f ca="1">IF(LEN(DATA!E94)&gt;0,SUMPRODUCT(OFFSET(DATA!$R$6,AF$5,0,1,10),DATA!$R94:$AA94),"")</f>
        <v>1.6452780519907863E-2</v>
      </c>
      <c r="AG86" s="7">
        <f ca="1">IF(LEN(DATA!F94)&gt;0,SUMPRODUCT(OFFSET(DATA!$R$6,AG$5,0,1,10),DATA!$R94:$AA94),"")</f>
        <v>1.9445787176971789</v>
      </c>
      <c r="AH86" s="7">
        <f ca="1">IF(LEN(DATA!G94)&gt;0,SUMPRODUCT(OFFSET(DATA!$R$6,AH$5,0,1,10),DATA!$R94:$AA94),"")</f>
        <v>0.32661535166721878</v>
      </c>
      <c r="AI86" s="7">
        <f ca="1">IF(LEN(DATA!H94)&gt;0,SUMPRODUCT(OFFSET(DATA!$R$6,AI$5,0,1,10),DATA!$R94:$AA94),"")</f>
        <v>0.43721945085236974</v>
      </c>
      <c r="AJ86" s="7">
        <f ca="1">IF(LEN(DATA!I94)&gt;0,SUMPRODUCT(OFFSET(DATA!$R$6,AJ$5,0,1,10),DATA!$R94:$AA94),"")</f>
        <v>1.7540983606557377</v>
      </c>
      <c r="AK86" s="7"/>
      <c r="AL86" s="7">
        <f t="shared" ca="1" si="44"/>
        <v>0.20284357801606823</v>
      </c>
      <c r="AM86" s="7">
        <f t="shared" ca="1" si="45"/>
        <v>6.6880311014182407E-3</v>
      </c>
      <c r="AN86" s="7">
        <f t="shared" ca="1" si="46"/>
        <v>0.12971565585773107</v>
      </c>
      <c r="AO86" s="7">
        <f t="shared" ca="1" si="47"/>
        <v>0.17364219878696033</v>
      </c>
      <c r="AP86" s="7">
        <f t="shared" ca="1" si="48"/>
        <v>0.79046839088251353</v>
      </c>
      <c r="AQ86" s="7">
        <f t="shared" ca="1" si="49"/>
        <v>0.69664214535530877</v>
      </c>
      <c r="AS86">
        <f t="shared" si="50"/>
        <v>80</v>
      </c>
      <c r="AT86">
        <f t="shared" si="51"/>
        <v>0</v>
      </c>
      <c r="AU86">
        <f t="shared" ca="1" si="52"/>
        <v>0.79381240643322271</v>
      </c>
      <c r="AV86">
        <f t="shared" ca="1" si="53"/>
        <v>5.7920048351286155E-3</v>
      </c>
      <c r="AW86">
        <f ca="1">IF(AND($AT86&lt;3,OFFSET(DATA!$C$14,$AS86,0)=AW$6),$AV86,dNULL)</f>
        <v>-99</v>
      </c>
      <c r="AX86">
        <f ca="1">IF(AND($AT86&lt;3,OFFSET(DATA!$C$14,$AS86,0)=AX$6),$AV86,dNULL)</f>
        <v>-99</v>
      </c>
      <c r="AY86">
        <f ca="1">IF(AND($AT86&lt;3,OFFSET(DATA!$C$14,$AS86,0)=AY$6),$AV86,dNULL)</f>
        <v>-99</v>
      </c>
      <c r="AZ86">
        <f ca="1">IF(AND($AT86&lt;3,OFFSET(DATA!$C$14,$AS86,0)=AZ$6),$AV86,dNULL)</f>
        <v>-99</v>
      </c>
      <c r="BA86">
        <f ca="1">IF(AND($AT86&lt;3,OFFSET(DATA!$C$14,$AS86,0)=BA$6),$AV86,dNULL)</f>
        <v>-99</v>
      </c>
      <c r="BB86">
        <f ca="1">IF(AND($AT86&lt;3,OFFSET(DATA!$C$14,$AS86,0)=BB$6),$AV86,dNULL)</f>
        <v>-99</v>
      </c>
      <c r="BC86">
        <f ca="1">IF(AND($AT86&lt;3,OFFSET(DATA!$C$14,$AS86,0)=BC$6),$AV86,dNULL)</f>
        <v>5.7920048351286155E-3</v>
      </c>
      <c r="BD86">
        <f ca="1">IF(AND($AT86&lt;3,OFFSET(DATA!$C$14,$AS86,0)=BD$6),$AV86,dNULL)</f>
        <v>-99</v>
      </c>
      <c r="BE86">
        <f ca="1">IF(AND($AT86&lt;3,OFFSET(DATA!$C$14,$AS86,0)=BE$6),$AV86,dNULL)</f>
        <v>-99</v>
      </c>
      <c r="BF86">
        <f ca="1">IF(AND($AT86&lt;3,OFFSET(DATA!$C$14,$AS86,0)=BF$6),$AV86,dNULL)</f>
        <v>-99</v>
      </c>
      <c r="BG86">
        <f ca="1">IF(AND($AT86&lt;3,OFFSET(DATA!$C$14,$AS86,0)=BG$6),$AV86,dNULL)</f>
        <v>-99</v>
      </c>
      <c r="BH86">
        <f ca="1">IF(AND($AT86&lt;3,OFFSET(DATA!$C$14,$AS86,0)=BH$6),$AV86,dNULL)</f>
        <v>-99</v>
      </c>
      <c r="BU86">
        <f t="shared" si="58"/>
        <v>1</v>
      </c>
      <c r="BV86">
        <f t="shared" si="59"/>
        <v>0.88000000000000045</v>
      </c>
      <c r="BW86">
        <f t="shared" ca="1" si="54"/>
        <v>1.1558979985685203</v>
      </c>
      <c r="BX86">
        <f t="shared" ca="1" si="55"/>
        <v>-1.3096234697489868</v>
      </c>
    </row>
    <row r="87" spans="13:76" x14ac:dyDescent="0.25">
      <c r="Q87">
        <f>N194+NumberOFF*COS(T87*PI()/180)</f>
        <v>1.4875000000000003</v>
      </c>
      <c r="R87">
        <f>O194-SIN(T87*PI()/180)*NumberOFF</f>
        <v>1.5371950917173784</v>
      </c>
      <c r="S87">
        <f>100-S86</f>
        <v>40</v>
      </c>
      <c r="T87">
        <f t="shared" si="60"/>
        <v>-60</v>
      </c>
      <c r="Y87" s="26"/>
      <c r="Z87" s="26"/>
      <c r="AB87" s="26" t="str">
        <f t="shared" ca="1" si="43"/>
        <v>USW G-2</v>
      </c>
      <c r="AC87">
        <f t="shared" ca="1" si="57"/>
        <v>81</v>
      </c>
      <c r="AD87" t="str">
        <f ca="1">IF(AND(AT87&lt;1,MAX(AW87:BH87)&gt;dNULL),DATA!$D95,"")</f>
        <v>USW G-2</v>
      </c>
      <c r="AE87" s="7">
        <f ca="1">IF(LEN(DATA!D95)&gt;0,SUMPRODUCT(OFFSET(DATA!$R$6,AE$5,0,1,10),DATA!$R95:$AA95),"")</f>
        <v>0.37092481703260149</v>
      </c>
      <c r="AF87" s="7">
        <f ca="1">IF(LEN(DATA!E95)&gt;0,SUMPRODUCT(OFFSET(DATA!$R$6,AF$5,0,1,10),DATA!$R95:$AA95),"")</f>
        <v>3.413951957880882E-2</v>
      </c>
      <c r="AG87" s="7">
        <f ca="1">IF(LEN(DATA!F95)&gt;0,SUMPRODUCT(OFFSET(DATA!$R$6,AG$5,0,1,10),DATA!$R95:$AA95),"")</f>
        <v>2.2153134605344147</v>
      </c>
      <c r="AH87" s="7">
        <f ca="1">IF(LEN(DATA!G95)&gt;0,SUMPRODUCT(OFFSET(DATA!$R$6,AH$5,0,1,10),DATA!$R95:$AA95),"")</f>
        <v>0.24001945504661268</v>
      </c>
      <c r="AI87" s="7">
        <f ca="1">IF(LEN(DATA!H95)&gt;0,SUMPRODUCT(OFFSET(DATA!$R$6,AI$5,0,1,10),DATA!$R95:$AA95),"")</f>
        <v>0.28800963825989434</v>
      </c>
      <c r="AJ87" s="7">
        <f ca="1">IF(LEN(DATA!I95)&gt;0,SUMPRODUCT(OFFSET(DATA!$R$6,AJ$5,0,1,10),DATA!$R95:$AA95),"")</f>
        <v>1.9918032786885247</v>
      </c>
      <c r="AK87" s="7"/>
      <c r="AL87" s="7">
        <f t="shared" ca="1" si="44"/>
        <v>0.14155394593734585</v>
      </c>
      <c r="AM87" s="7">
        <f t="shared" ca="1" si="45"/>
        <v>1.3028472312654443E-2</v>
      </c>
      <c r="AN87" s="7">
        <f t="shared" ca="1" si="46"/>
        <v>9.5252151577281952E-2</v>
      </c>
      <c r="AO87" s="7">
        <f t="shared" ca="1" si="47"/>
        <v>0.11429714192927362</v>
      </c>
      <c r="AP87" s="7">
        <f t="shared" ca="1" si="48"/>
        <v>0.84541758174999981</v>
      </c>
      <c r="AQ87" s="7">
        <f t="shared" ca="1" si="49"/>
        <v>0.7904507064934444</v>
      </c>
      <c r="AS87">
        <f t="shared" si="50"/>
        <v>81</v>
      </c>
      <c r="AT87">
        <f t="shared" si="51"/>
        <v>0</v>
      </c>
      <c r="AU87">
        <f t="shared" ca="1" si="52"/>
        <v>0.85193181790632699</v>
      </c>
      <c r="AV87">
        <f t="shared" ca="1" si="53"/>
        <v>1.1282987995260943E-2</v>
      </c>
      <c r="AW87">
        <f ca="1">IF(AND($AT87&lt;3,OFFSET(DATA!$C$14,$AS87,0)=AW$6),$AV87,dNULL)</f>
        <v>-99</v>
      </c>
      <c r="AX87">
        <f ca="1">IF(AND($AT87&lt;3,OFFSET(DATA!$C$14,$AS87,0)=AX$6),$AV87,dNULL)</f>
        <v>-99</v>
      </c>
      <c r="AY87">
        <f ca="1">IF(AND($AT87&lt;3,OFFSET(DATA!$C$14,$AS87,0)=AY$6),$AV87,dNULL)</f>
        <v>-99</v>
      </c>
      <c r="AZ87">
        <f ca="1">IF(AND($AT87&lt;3,OFFSET(DATA!$C$14,$AS87,0)=AZ$6),$AV87,dNULL)</f>
        <v>-99</v>
      </c>
      <c r="BA87">
        <f ca="1">IF(AND($AT87&lt;3,OFFSET(DATA!$C$14,$AS87,0)=BA$6),$AV87,dNULL)</f>
        <v>-99</v>
      </c>
      <c r="BB87">
        <f ca="1">IF(AND($AT87&lt;3,OFFSET(DATA!$C$14,$AS87,0)=BB$6),$AV87,dNULL)</f>
        <v>-99</v>
      </c>
      <c r="BC87">
        <f ca="1">IF(AND($AT87&lt;3,OFFSET(DATA!$C$14,$AS87,0)=BC$6),$AV87,dNULL)</f>
        <v>1.1282987995260943E-2</v>
      </c>
      <c r="BD87">
        <f ca="1">IF(AND($AT87&lt;3,OFFSET(DATA!$C$14,$AS87,0)=BD$6),$AV87,dNULL)</f>
        <v>-99</v>
      </c>
      <c r="BE87">
        <f ca="1">IF(AND($AT87&lt;3,OFFSET(DATA!$C$14,$AS87,0)=BE$6),$AV87,dNULL)</f>
        <v>-99</v>
      </c>
      <c r="BF87">
        <f ca="1">IF(AND($AT87&lt;3,OFFSET(DATA!$C$14,$AS87,0)=BF$6),$AV87,dNULL)</f>
        <v>-99</v>
      </c>
      <c r="BG87">
        <f ca="1">IF(AND($AT87&lt;3,OFFSET(DATA!$C$14,$AS87,0)=BG$6),$AV87,dNULL)</f>
        <v>-99</v>
      </c>
      <c r="BH87">
        <f ca="1">IF(AND($AT87&lt;3,OFFSET(DATA!$C$14,$AS87,0)=BH$6),$AV87,dNULL)</f>
        <v>-99</v>
      </c>
      <c r="BU87">
        <f t="shared" si="58"/>
        <v>1</v>
      </c>
      <c r="BV87">
        <f t="shared" si="59"/>
        <v>0.90000000000000047</v>
      </c>
      <c r="BW87">
        <f t="shared" ca="1" si="54"/>
        <v>0.2</v>
      </c>
      <c r="BX87">
        <f t="shared" ca="1" si="55"/>
        <v>-0.2</v>
      </c>
    </row>
    <row r="88" spans="13:76" x14ac:dyDescent="0.25">
      <c r="N88">
        <f>IF(N85&lt;1-$N$5,N85+$N$5,dNULL)</f>
        <v>-98.399999999999991</v>
      </c>
      <c r="O88">
        <v>0</v>
      </c>
      <c r="Q88">
        <f>N196-NumberOFF*COS(T88*PI()/180)</f>
        <v>1.0125</v>
      </c>
      <c r="R88">
        <f>O196+SIN(T88*PI()/180)*NumberOFF</f>
        <v>0.36806079660838636</v>
      </c>
      <c r="S88">
        <f>S86+$S$82</f>
        <v>80</v>
      </c>
      <c r="T88">
        <f t="shared" si="60"/>
        <v>-60</v>
      </c>
      <c r="Y88" s="26"/>
      <c r="Z88" s="26"/>
      <c r="AB88" s="26" t="str">
        <f t="shared" ca="1" si="43"/>
        <v>USW G-4</v>
      </c>
      <c r="AC88">
        <f t="shared" ca="1" si="57"/>
        <v>82</v>
      </c>
      <c r="AD88" t="str">
        <f ca="1">IF(AND(AT88&lt;1,MAX(AW88:BH88)&gt;dNULL),DATA!$D96,"")</f>
        <v>USW G-4</v>
      </c>
      <c r="AE88" s="7">
        <f ca="1">IF(LEN(DATA!D96)&gt;0,SUMPRODUCT(OFFSET(DATA!$R$6,AE$5,0,1,10),DATA!$R96:$AA96),"")</f>
        <v>0.64870259481037928</v>
      </c>
      <c r="AF88" s="7">
        <f ca="1">IF(LEN(DATA!E96)&gt;0,SUMPRODUCT(OFFSET(DATA!$R$6,AF$5,0,1,10),DATA!$R96:$AA96),"")</f>
        <v>1.6452780519907863E-2</v>
      </c>
      <c r="AG88" s="7">
        <f ca="1">IF(LEN(DATA!F96)&gt;0,SUMPRODUCT(OFFSET(DATA!$R$6,AG$5,0,1,10),DATA!$R96:$AA96),"")</f>
        <v>2.5330628694332771</v>
      </c>
      <c r="AH88" s="7">
        <f ca="1">IF(LEN(DATA!G96)&gt;0,SUMPRODUCT(OFFSET(DATA!$R$6,AH$5,0,1,10),DATA!$R96:$AA96),"")</f>
        <v>0.29800753914085842</v>
      </c>
      <c r="AI88" s="7">
        <f ca="1">IF(LEN(DATA!H96)&gt;0,SUMPRODUCT(OFFSET(DATA!$R$6,AI$5,0,1,10),DATA!$R96:$AA96),"")</f>
        <v>0.39557950315214407</v>
      </c>
      <c r="AJ88" s="7">
        <f ca="1">IF(LEN(DATA!I96)&gt;0,SUMPRODUCT(OFFSET(DATA!$R$6,AJ$5,0,1,10),DATA!$R96:$AA96),"")</f>
        <v>2.278688524590164</v>
      </c>
      <c r="AK88" s="7"/>
      <c r="AL88" s="7">
        <f t="shared" ca="1" si="44"/>
        <v>0.20283249771102976</v>
      </c>
      <c r="AM88" s="7">
        <f t="shared" ca="1" si="45"/>
        <v>5.1443582835055002E-3</v>
      </c>
      <c r="AN88" s="7">
        <f t="shared" ca="1" si="46"/>
        <v>0.10026241929289205</v>
      </c>
      <c r="AO88" s="7">
        <f t="shared" ca="1" si="47"/>
        <v>0.13308978062453433</v>
      </c>
      <c r="AP88" s="7">
        <f t="shared" ca="1" si="48"/>
        <v>0.7920231440054647</v>
      </c>
      <c r="AQ88" s="7">
        <f t="shared" ca="1" si="49"/>
        <v>0.7666478000825736</v>
      </c>
      <c r="AS88">
        <f t="shared" si="50"/>
        <v>82</v>
      </c>
      <c r="AT88">
        <f t="shared" si="51"/>
        <v>0</v>
      </c>
      <c r="AU88">
        <f t="shared" ca="1" si="52"/>
        <v>0.79459532314721748</v>
      </c>
      <c r="AV88">
        <f t="shared" ca="1" si="53"/>
        <v>4.4551449596846723E-3</v>
      </c>
      <c r="AW88">
        <f ca="1">IF(AND($AT88&lt;3,OFFSET(DATA!$C$14,$AS88,0)=AW$6),$AV88,dNULL)</f>
        <v>-99</v>
      </c>
      <c r="AX88">
        <f ca="1">IF(AND($AT88&lt;3,OFFSET(DATA!$C$14,$AS88,0)=AX$6),$AV88,dNULL)</f>
        <v>-99</v>
      </c>
      <c r="AY88">
        <f ca="1">IF(AND($AT88&lt;3,OFFSET(DATA!$C$14,$AS88,0)=AY$6),$AV88,dNULL)</f>
        <v>-99</v>
      </c>
      <c r="AZ88">
        <f ca="1">IF(AND($AT88&lt;3,OFFSET(DATA!$C$14,$AS88,0)=AZ$6),$AV88,dNULL)</f>
        <v>-99</v>
      </c>
      <c r="BA88">
        <f ca="1">IF(AND($AT88&lt;3,OFFSET(DATA!$C$14,$AS88,0)=BA$6),$AV88,dNULL)</f>
        <v>-99</v>
      </c>
      <c r="BB88">
        <f ca="1">IF(AND($AT88&lt;3,OFFSET(DATA!$C$14,$AS88,0)=BB$6),$AV88,dNULL)</f>
        <v>-99</v>
      </c>
      <c r="BC88">
        <f ca="1">IF(AND($AT88&lt;3,OFFSET(DATA!$C$14,$AS88,0)=BC$6),$AV88,dNULL)</f>
        <v>4.4551449596846723E-3</v>
      </c>
      <c r="BD88">
        <f ca="1">IF(AND($AT88&lt;3,OFFSET(DATA!$C$14,$AS88,0)=BD$6),$AV88,dNULL)</f>
        <v>-99</v>
      </c>
      <c r="BE88">
        <f ca="1">IF(AND($AT88&lt;3,OFFSET(DATA!$C$14,$AS88,0)=BE$6),$AV88,dNULL)</f>
        <v>-99</v>
      </c>
      <c r="BF88">
        <f ca="1">IF(AND($AT88&lt;3,OFFSET(DATA!$C$14,$AS88,0)=BF$6),$AV88,dNULL)</f>
        <v>-99</v>
      </c>
      <c r="BG88">
        <f ca="1">IF(AND($AT88&lt;3,OFFSET(DATA!$C$14,$AS88,0)=BG$6),$AV88,dNULL)</f>
        <v>-99</v>
      </c>
      <c r="BH88">
        <f ca="1">IF(AND($AT88&lt;3,OFFSET(DATA!$C$14,$AS88,0)=BH$6),$AV88,dNULL)</f>
        <v>-99</v>
      </c>
      <c r="BU88">
        <f t="shared" si="58"/>
        <v>1</v>
      </c>
      <c r="BV88">
        <f t="shared" si="59"/>
        <v>0.90000000000000047</v>
      </c>
      <c r="BW88">
        <f t="shared" ca="1" si="54"/>
        <v>1.0961801801539259</v>
      </c>
      <c r="BX88">
        <f t="shared" ca="1" si="55"/>
        <v>-1.2738466860813484</v>
      </c>
    </row>
    <row r="89" spans="13:76" x14ac:dyDescent="0.25">
      <c r="N89">
        <f>N88+(1-N88)/2</f>
        <v>-48.699999999999996</v>
      </c>
      <c r="O89">
        <f>O88+(1-N88)*ApexCAT</f>
        <v>86.082925136173188</v>
      </c>
      <c r="Q89">
        <f>N197+NumberOFF*COS(T89*PI()/180)</f>
        <v>1.5875000000000001</v>
      </c>
      <c r="R89">
        <f>O197-SIN(T89*PI()/180)*NumberOFF</f>
        <v>1.3639900109604908</v>
      </c>
      <c r="S89">
        <f>100-S88</f>
        <v>20</v>
      </c>
      <c r="T89">
        <f t="shared" si="60"/>
        <v>-60</v>
      </c>
      <c r="Y89" s="26"/>
      <c r="Z89" s="26"/>
      <c r="AB89" s="26" t="str">
        <f t="shared" ca="1" si="43"/>
        <v>USW H-1 HTH</v>
      </c>
      <c r="AC89">
        <f t="shared" ca="1" si="57"/>
        <v>83</v>
      </c>
      <c r="AD89" t="str">
        <f ca="1">IF(AND(AT89&lt;1,MAX(AW89:BH89)&gt;dNULL),DATA!$D97,"")</f>
        <v>USW H-1 HTH</v>
      </c>
      <c r="AE89" s="7">
        <f ca="1">IF(LEN(DATA!D97)&gt;0,SUMPRODUCT(OFFSET(DATA!$R$6,AE$5,0,1,10),DATA!$R97:$AA97),"")</f>
        <v>0.21998902195608785</v>
      </c>
      <c r="AF89" s="7">
        <f ca="1">IF(LEN(DATA!E97)&gt;0,SUMPRODUCT(OFFSET(DATA!$R$6,AF$5,0,1,10),DATA!$R97:$AA97),"")</f>
        <v>0</v>
      </c>
      <c r="AG89" s="7">
        <f ca="1">IF(LEN(DATA!F97)&gt;0,SUMPRODUCT(OFFSET(DATA!$R$6,AG$5,0,1,10),DATA!$R97:$AA97),"")</f>
        <v>2.279993862206537</v>
      </c>
      <c r="AH89" s="7">
        <f ca="1">IF(LEN(DATA!G97)&gt;0,SUMPRODUCT(OFFSET(DATA!$R$6,AH$5,0,1,10),DATA!$R97:$AA97),"")</f>
        <v>0.16</v>
      </c>
      <c r="AI89" s="7">
        <f ca="1">IF(LEN(DATA!H97)&gt;0,SUMPRODUCT(OFFSET(DATA!$R$6,AI$5,0,1,10),DATA!$R97:$AA97),"")</f>
        <v>0.38</v>
      </c>
      <c r="AJ89" s="7">
        <f ca="1">IF(LEN(DATA!I97)&gt;0,SUMPRODUCT(OFFSET(DATA!$R$6,AJ$5,0,1,10),DATA!$R97:$AA97),"")</f>
        <v>1.88</v>
      </c>
      <c r="AK89" s="7"/>
      <c r="AL89" s="7">
        <f t="shared" ca="1" si="44"/>
        <v>8.7996211233971583E-2</v>
      </c>
      <c r="AM89" s="7">
        <f t="shared" ca="1" si="45"/>
        <v>0</v>
      </c>
      <c r="AN89" s="7">
        <f t="shared" ca="1" si="46"/>
        <v>6.6115702479338845E-2</v>
      </c>
      <c r="AO89" s="7">
        <f t="shared" ca="1" si="47"/>
        <v>0.15702479338842976</v>
      </c>
      <c r="AP89" s="7">
        <f t="shared" ca="1" si="48"/>
        <v>0.91200378876602839</v>
      </c>
      <c r="AQ89" s="7">
        <f t="shared" ca="1" si="49"/>
        <v>0.77685950413223137</v>
      </c>
      <c r="AS89">
        <f t="shared" si="50"/>
        <v>83</v>
      </c>
      <c r="AT89">
        <f t="shared" si="51"/>
        <v>0</v>
      </c>
      <c r="AU89">
        <f t="shared" ca="1" si="52"/>
        <v>0.91200378876602839</v>
      </c>
      <c r="AV89">
        <f t="shared" ca="1" si="53"/>
        <v>0</v>
      </c>
      <c r="AW89">
        <f ca="1">IF(AND($AT89&lt;3,OFFSET(DATA!$C$14,$AS89,0)=AW$6),$AV89,dNULL)</f>
        <v>-99</v>
      </c>
      <c r="AX89">
        <f ca="1">IF(AND($AT89&lt;3,OFFSET(DATA!$C$14,$AS89,0)=AX$6),$AV89,dNULL)</f>
        <v>-99</v>
      </c>
      <c r="AY89">
        <f ca="1">IF(AND($AT89&lt;3,OFFSET(DATA!$C$14,$AS89,0)=AY$6),$AV89,dNULL)</f>
        <v>-99</v>
      </c>
      <c r="AZ89">
        <f ca="1">IF(AND($AT89&lt;3,OFFSET(DATA!$C$14,$AS89,0)=AZ$6),$AV89,dNULL)</f>
        <v>-99</v>
      </c>
      <c r="BA89">
        <f ca="1">IF(AND($AT89&lt;3,OFFSET(DATA!$C$14,$AS89,0)=BA$6),$AV89,dNULL)</f>
        <v>-99</v>
      </c>
      <c r="BB89">
        <f ca="1">IF(AND($AT89&lt;3,OFFSET(DATA!$C$14,$AS89,0)=BB$6),$AV89,dNULL)</f>
        <v>-99</v>
      </c>
      <c r="BC89">
        <f ca="1">IF(AND($AT89&lt;3,OFFSET(DATA!$C$14,$AS89,0)=BC$6),$AV89,dNULL)</f>
        <v>0</v>
      </c>
      <c r="BD89">
        <f ca="1">IF(AND($AT89&lt;3,OFFSET(DATA!$C$14,$AS89,0)=BD$6),$AV89,dNULL)</f>
        <v>-99</v>
      </c>
      <c r="BE89">
        <f ca="1">IF(AND($AT89&lt;3,OFFSET(DATA!$C$14,$AS89,0)=BE$6),$AV89,dNULL)</f>
        <v>-99</v>
      </c>
      <c r="BF89">
        <f ca="1">IF(AND($AT89&lt;3,OFFSET(DATA!$C$14,$AS89,0)=BF$6),$AV89,dNULL)</f>
        <v>-99</v>
      </c>
      <c r="BG89">
        <f ca="1">IF(AND($AT89&lt;3,OFFSET(DATA!$C$14,$AS89,0)=BG$6),$AV89,dNULL)</f>
        <v>-99</v>
      </c>
      <c r="BH89">
        <f ca="1">IF(AND($AT89&lt;3,OFFSET(DATA!$C$14,$AS89,0)=BH$6),$AV89,dNULL)</f>
        <v>-99</v>
      </c>
      <c r="BU89">
        <f t="shared" si="58"/>
        <v>1</v>
      </c>
      <c r="BV89">
        <f t="shared" si="59"/>
        <v>0.92000000000000048</v>
      </c>
      <c r="BW89">
        <f t="shared" ca="1" si="54"/>
        <v>0.2</v>
      </c>
      <c r="BX89">
        <f t="shared" ca="1" si="55"/>
        <v>-0.2</v>
      </c>
    </row>
    <row r="90" spans="13:76" x14ac:dyDescent="0.25">
      <c r="Q90">
        <f>N199-NumberOFF*COS(T90*PI()/180)</f>
        <v>-48.887500000000003</v>
      </c>
      <c r="R90">
        <f>O199+SIN(T90*PI()/180)*NumberOFF</f>
        <v>86.797396094295365</v>
      </c>
      <c r="S90">
        <f>S88+$S$82</f>
        <v>100</v>
      </c>
      <c r="T90">
        <f t="shared" si="60"/>
        <v>-60</v>
      </c>
      <c r="Y90" s="26"/>
      <c r="Z90" s="26"/>
      <c r="AB90" s="26" t="str">
        <f t="shared" ca="1" si="43"/>
        <v>USW H-4 HTH</v>
      </c>
      <c r="AC90">
        <f t="shared" ca="1" si="57"/>
        <v>84</v>
      </c>
      <c r="AD90" t="str">
        <f ca="1">IF(AND(AT90&lt;1,MAX(AW90:BH90)&gt;dNULL),DATA!$D98,"")</f>
        <v>USW H-4 HTH</v>
      </c>
      <c r="AE90" s="7">
        <f ca="1">IF(LEN(DATA!D98)&gt;0,SUMPRODUCT(OFFSET(DATA!$R$6,AE$5,0,1,10),DATA!$R98:$AA98),"")</f>
        <v>0.84830339321357284</v>
      </c>
      <c r="AF90" s="7">
        <f ca="1">IF(LEN(DATA!E98)&gt;0,SUMPRODUCT(OFFSET(DATA!$R$6,AF$5,0,1,10),DATA!$R98:$AA98),"")</f>
        <v>2.4679170779861793E-2</v>
      </c>
      <c r="AG90" s="7">
        <f ca="1">IF(LEN(DATA!F98)&gt;0,SUMPRODUCT(OFFSET(DATA!$R$6,AG$5,0,1,10),DATA!$R98:$AA98),"")</f>
        <v>3.2418098483778102</v>
      </c>
      <c r="AH90" s="7">
        <f ca="1">IF(LEN(DATA!G98)&gt;0,SUMPRODUCT(OFFSET(DATA!$R$6,AH$5,0,1,10),DATA!$R98:$AA98),"")</f>
        <v>0.447276723197158</v>
      </c>
      <c r="AI90" s="7">
        <f ca="1">IF(LEN(DATA!H98)&gt;0,SUMPRODUCT(OFFSET(DATA!$R$6,AI$5,0,1,10),DATA!$R98:$AA98),"")</f>
        <v>0.54131932010293393</v>
      </c>
      <c r="AJ90" s="7">
        <f ca="1">IF(LEN(DATA!I98)&gt;0,SUMPRODUCT(OFFSET(DATA!$R$6,AJ$5,0,1,10),DATA!$R98:$AA98),"")</f>
        <v>2.8360655737704916</v>
      </c>
      <c r="AK90" s="7"/>
      <c r="AL90" s="7">
        <f t="shared" ca="1" si="44"/>
        <v>0.20615946278677963</v>
      </c>
      <c r="AM90" s="7">
        <f t="shared" ca="1" si="45"/>
        <v>5.9976709166817592E-3</v>
      </c>
      <c r="AN90" s="7">
        <f t="shared" ca="1" si="46"/>
        <v>0.11694543674160117</v>
      </c>
      <c r="AO90" s="7">
        <f t="shared" ca="1" si="47"/>
        <v>0.1415339118333678</v>
      </c>
      <c r="AP90" s="7">
        <f t="shared" ca="1" si="48"/>
        <v>0.78784286629653855</v>
      </c>
      <c r="AQ90" s="7">
        <f t="shared" ca="1" si="49"/>
        <v>0.74152065142503099</v>
      </c>
      <c r="AS90">
        <f t="shared" si="50"/>
        <v>84</v>
      </c>
      <c r="AT90">
        <f t="shared" si="51"/>
        <v>0</v>
      </c>
      <c r="AU90">
        <f t="shared" ca="1" si="52"/>
        <v>0.79084170175487944</v>
      </c>
      <c r="AV90">
        <f t="shared" ca="1" si="53"/>
        <v>5.1941353773855047E-3</v>
      </c>
      <c r="AW90">
        <f ca="1">IF(AND($AT90&lt;3,OFFSET(DATA!$C$14,$AS90,0)=AW$6),$AV90,dNULL)</f>
        <v>-99</v>
      </c>
      <c r="AX90">
        <f ca="1">IF(AND($AT90&lt;3,OFFSET(DATA!$C$14,$AS90,0)=AX$6),$AV90,dNULL)</f>
        <v>-99</v>
      </c>
      <c r="AY90">
        <f ca="1">IF(AND($AT90&lt;3,OFFSET(DATA!$C$14,$AS90,0)=AY$6),$AV90,dNULL)</f>
        <v>-99</v>
      </c>
      <c r="AZ90">
        <f ca="1">IF(AND($AT90&lt;3,OFFSET(DATA!$C$14,$AS90,0)=AZ$6),$AV90,dNULL)</f>
        <v>-99</v>
      </c>
      <c r="BA90">
        <f ca="1">IF(AND($AT90&lt;3,OFFSET(DATA!$C$14,$AS90,0)=BA$6),$AV90,dNULL)</f>
        <v>-99</v>
      </c>
      <c r="BB90">
        <f ca="1">IF(AND($AT90&lt;3,OFFSET(DATA!$C$14,$AS90,0)=BB$6),$AV90,dNULL)</f>
        <v>-99</v>
      </c>
      <c r="BC90">
        <f ca="1">IF(AND($AT90&lt;3,OFFSET(DATA!$C$14,$AS90,0)=BC$6),$AV90,dNULL)</f>
        <v>5.1941353773855047E-3</v>
      </c>
      <c r="BD90">
        <f ca="1">IF(AND($AT90&lt;3,OFFSET(DATA!$C$14,$AS90,0)=BD$6),$AV90,dNULL)</f>
        <v>-99</v>
      </c>
      <c r="BE90">
        <f ca="1">IF(AND($AT90&lt;3,OFFSET(DATA!$C$14,$AS90,0)=BE$6),$AV90,dNULL)</f>
        <v>-99</v>
      </c>
      <c r="BF90">
        <f ca="1">IF(AND($AT90&lt;3,OFFSET(DATA!$C$14,$AS90,0)=BF$6),$AV90,dNULL)</f>
        <v>-99</v>
      </c>
      <c r="BG90">
        <f ca="1">IF(AND($AT90&lt;3,OFFSET(DATA!$C$14,$AS90,0)=BG$6),$AV90,dNULL)</f>
        <v>-99</v>
      </c>
      <c r="BH90">
        <f ca="1">IF(AND($AT90&lt;3,OFFSET(DATA!$C$14,$AS90,0)=BH$6),$AV90,dNULL)</f>
        <v>-99</v>
      </c>
      <c r="BU90">
        <f t="shared" si="58"/>
        <v>1</v>
      </c>
      <c r="BV90">
        <f t="shared" si="59"/>
        <v>0.92000000000000048</v>
      </c>
      <c r="BW90">
        <f t="shared" ca="1" si="54"/>
        <v>1.0364623617393312</v>
      </c>
      <c r="BX90">
        <f t="shared" ca="1" si="55"/>
        <v>-1.2380699024137098</v>
      </c>
    </row>
    <row r="91" spans="13:76" x14ac:dyDescent="0.25">
      <c r="N91">
        <f>IF(N88&lt;1-$N$5,N88+$N$5,dNULL)</f>
        <v>-98.199999999999989</v>
      </c>
      <c r="O91">
        <v>0</v>
      </c>
      <c r="Q91">
        <f>N200+NumberOFF*COS(T91*PI()/180)</f>
        <v>-48.3125</v>
      </c>
      <c r="R91">
        <f>O200-SIN(T91*PI()/180)*NumberOFF</f>
        <v>87.793325308647468</v>
      </c>
      <c r="S91">
        <f>100-S90</f>
        <v>0</v>
      </c>
      <c r="T91">
        <f t="shared" si="60"/>
        <v>-60</v>
      </c>
      <c r="Y91" s="26"/>
      <c r="Z91" s="26"/>
      <c r="AB91" s="26" t="str">
        <f t="shared" ca="1" si="43"/>
        <v>USW H-5 HTH</v>
      </c>
      <c r="AC91">
        <f t="shared" ca="1" si="57"/>
        <v>85</v>
      </c>
      <c r="AD91" t="str">
        <f ca="1">IF(AND(AT91&lt;1,MAX(AW91:BH91)&gt;dNULL),DATA!$D99,"")</f>
        <v>USW H-5 HTH</v>
      </c>
      <c r="AE91" s="7">
        <f ca="1">IF(LEN(DATA!D99)&gt;0,SUMPRODUCT(OFFSET(DATA!$R$6,AE$5,0,1,10),DATA!$R99:$AA99),"")</f>
        <v>9.4810379241516959E-2</v>
      </c>
      <c r="AF91" s="7">
        <f ca="1">IF(LEN(DATA!E99)&gt;0,SUMPRODUCT(OFFSET(DATA!$R$6,AF$5,0,1,10),DATA!$R99:$AA99),"")</f>
        <v>8.2263902599539324E-4</v>
      </c>
      <c r="AG91" s="7">
        <f ca="1">IF(LEN(DATA!F99)&gt;0,SUMPRODUCT(OFFSET(DATA!$R$6,AG$5,0,1,10),DATA!$R99:$AA99),"")</f>
        <v>2.6635553524137952</v>
      </c>
      <c r="AH91" s="7">
        <f ca="1">IF(LEN(DATA!G99)&gt;0,SUMPRODUCT(OFFSET(DATA!$R$6,AH$5,0,1,10),DATA!$R99:$AA99),"")</f>
        <v>0.24574919808450846</v>
      </c>
      <c r="AI91" s="7">
        <f ca="1">IF(LEN(DATA!H99)&gt;0,SUMPRODUCT(OFFSET(DATA!$R$6,AI$5,0,1,10),DATA!$R99:$AA99),"")</f>
        <v>0.33311958160180549</v>
      </c>
      <c r="AJ91" s="7">
        <f ca="1">IF(LEN(DATA!I99)&gt;0,SUMPRODUCT(OFFSET(DATA!$R$6,AJ$5,0,1,10),DATA!$R99:$AA99),"")</f>
        <v>2.0655737704918034</v>
      </c>
      <c r="AK91" s="7"/>
      <c r="AL91" s="7">
        <f t="shared" ca="1" si="44"/>
        <v>3.436169137597013E-2</v>
      </c>
      <c r="AM91" s="7">
        <f t="shared" ca="1" si="45"/>
        <v>2.9814529328139514E-4</v>
      </c>
      <c r="AN91" s="7">
        <f t="shared" ca="1" si="46"/>
        <v>9.2930435591408844E-2</v>
      </c>
      <c r="AO91" s="7">
        <f t="shared" ca="1" si="47"/>
        <v>0.12596967991585528</v>
      </c>
      <c r="AP91" s="7">
        <f t="shared" ca="1" si="48"/>
        <v>0.96534016333074846</v>
      </c>
      <c r="AQ91" s="7">
        <f t="shared" ca="1" si="49"/>
        <v>0.78109988449273593</v>
      </c>
      <c r="AS91">
        <f t="shared" si="50"/>
        <v>85</v>
      </c>
      <c r="AT91">
        <f t="shared" si="51"/>
        <v>0</v>
      </c>
      <c r="AU91">
        <f t="shared" ca="1" si="52"/>
        <v>0.96548923597738923</v>
      </c>
      <c r="AV91">
        <f t="shared" ca="1" si="53"/>
        <v>2.5820139800045009E-4</v>
      </c>
      <c r="AW91">
        <f ca="1">IF(AND($AT91&lt;3,OFFSET(DATA!$C$14,$AS91,0)=AW$6),$AV91,dNULL)</f>
        <v>-99</v>
      </c>
      <c r="AX91">
        <f ca="1">IF(AND($AT91&lt;3,OFFSET(DATA!$C$14,$AS91,0)=AX$6),$AV91,dNULL)</f>
        <v>-99</v>
      </c>
      <c r="AY91">
        <f ca="1">IF(AND($AT91&lt;3,OFFSET(DATA!$C$14,$AS91,0)=AY$6),$AV91,dNULL)</f>
        <v>-99</v>
      </c>
      <c r="AZ91">
        <f ca="1">IF(AND($AT91&lt;3,OFFSET(DATA!$C$14,$AS91,0)=AZ$6),$AV91,dNULL)</f>
        <v>-99</v>
      </c>
      <c r="BA91">
        <f ca="1">IF(AND($AT91&lt;3,OFFSET(DATA!$C$14,$AS91,0)=BA$6),$AV91,dNULL)</f>
        <v>-99</v>
      </c>
      <c r="BB91">
        <f ca="1">IF(AND($AT91&lt;3,OFFSET(DATA!$C$14,$AS91,0)=BB$6),$AV91,dNULL)</f>
        <v>-99</v>
      </c>
      <c r="BC91">
        <f ca="1">IF(AND($AT91&lt;3,OFFSET(DATA!$C$14,$AS91,0)=BC$6),$AV91,dNULL)</f>
        <v>2.5820139800045009E-4</v>
      </c>
      <c r="BD91">
        <f ca="1">IF(AND($AT91&lt;3,OFFSET(DATA!$C$14,$AS91,0)=BD$6),$AV91,dNULL)</f>
        <v>-99</v>
      </c>
      <c r="BE91">
        <f ca="1">IF(AND($AT91&lt;3,OFFSET(DATA!$C$14,$AS91,0)=BE$6),$AV91,dNULL)</f>
        <v>-99</v>
      </c>
      <c r="BF91">
        <f ca="1">IF(AND($AT91&lt;3,OFFSET(DATA!$C$14,$AS91,0)=BF$6),$AV91,dNULL)</f>
        <v>-99</v>
      </c>
      <c r="BG91">
        <f ca="1">IF(AND($AT91&lt;3,OFFSET(DATA!$C$14,$AS91,0)=BG$6),$AV91,dNULL)</f>
        <v>-99</v>
      </c>
      <c r="BH91">
        <f ca="1">IF(AND($AT91&lt;3,OFFSET(DATA!$C$14,$AS91,0)=BH$6),$AV91,dNULL)</f>
        <v>-99</v>
      </c>
      <c r="BU91">
        <f t="shared" si="58"/>
        <v>1</v>
      </c>
      <c r="BV91">
        <f t="shared" si="59"/>
        <v>0.9400000000000005</v>
      </c>
      <c r="BW91">
        <f t="shared" ca="1" si="54"/>
        <v>0.2</v>
      </c>
      <c r="BX91">
        <f t="shared" ca="1" si="55"/>
        <v>-0.2</v>
      </c>
    </row>
    <row r="92" spans="13:76" x14ac:dyDescent="0.25">
      <c r="N92">
        <f>N91+(1-N91)/2</f>
        <v>-48.599999999999994</v>
      </c>
      <c r="O92">
        <f>O91+(1-N91)*ApexCAT</f>
        <v>85.909720055416301</v>
      </c>
      <c r="Q92">
        <f>N202-NumberOFF*COS(T92*PI()/180)</f>
        <v>-48.787500000000001</v>
      </c>
      <c r="R92">
        <f>O202+SIN(T92*PI()/180)*NumberOFF</f>
        <v>86.624191013538479</v>
      </c>
      <c r="S92">
        <f>S90+$S$82</f>
        <v>120</v>
      </c>
      <c r="T92">
        <f t="shared" si="60"/>
        <v>-60</v>
      </c>
      <c r="Y92" s="26"/>
      <c r="Z92" s="26"/>
      <c r="AB92" s="26" t="str">
        <f t="shared" ca="1" si="43"/>
        <v>USW H-6 HTH</v>
      </c>
      <c r="AC92">
        <f t="shared" ca="1" si="57"/>
        <v>86</v>
      </c>
      <c r="AD92" t="str">
        <f ca="1">IF(AND(AT92&lt;1,MAX(AW92:BH92)&gt;dNULL),DATA!$D100,"")</f>
        <v>USW H-6 HTH</v>
      </c>
      <c r="AE92" s="7">
        <f ca="1">IF(LEN(DATA!D100)&gt;0,SUMPRODUCT(OFFSET(DATA!$R$6,AE$5,0,1,10),DATA!$R100:$AA100),"")</f>
        <v>0.20459081836327345</v>
      </c>
      <c r="AF92" s="7">
        <f ca="1">IF(LEN(DATA!E100)&gt;0,SUMPRODUCT(OFFSET(DATA!$R$6,AF$5,0,1,10),DATA!$R100:$AA100),"")</f>
        <v>8.2263902599539317E-3</v>
      </c>
      <c r="AG92" s="7">
        <f ca="1">IF(LEN(DATA!F100)&gt;0,SUMPRODUCT(OFFSET(DATA!$R$6,AG$5,0,1,10),DATA!$R100:$AA100),"")</f>
        <v>3.7740308933674505</v>
      </c>
      <c r="AH92" s="7">
        <f ca="1">IF(LEN(DATA!G100)&gt;0,SUMPRODUCT(OFFSET(DATA!$R$6,AH$5,0,1,10),DATA!$R100:$AA100),"")</f>
        <v>0.46175757245091831</v>
      </c>
      <c r="AI92" s="7">
        <f ca="1">IF(LEN(DATA!H100)&gt;0,SUMPRODUCT(OFFSET(DATA!$R$6,AI$5,0,1,10),DATA!$R100:$AA100),"")</f>
        <v>0.60377924165327246</v>
      </c>
      <c r="AJ92" s="7">
        <f ca="1">IF(LEN(DATA!I100)&gt;0,SUMPRODUCT(OFFSET(DATA!$R$6,AJ$5,0,1,10),DATA!$R100:$AA100),"")</f>
        <v>2.9836065573770494</v>
      </c>
      <c r="AK92" s="7"/>
      <c r="AL92" s="7">
        <f t="shared" ca="1" si="44"/>
        <v>5.131643170983087E-2</v>
      </c>
      <c r="AM92" s="7">
        <f t="shared" ca="1" si="45"/>
        <v>2.0633819121040511E-3</v>
      </c>
      <c r="AN92" s="7">
        <f t="shared" ca="1" si="46"/>
        <v>0.1140383360350118</v>
      </c>
      <c r="AO92" s="7">
        <f t="shared" ca="1" si="47"/>
        <v>0.14911283357012881</v>
      </c>
      <c r="AP92" s="7">
        <f t="shared" ca="1" si="48"/>
        <v>0.94662018637806511</v>
      </c>
      <c r="AQ92" s="7">
        <f t="shared" ca="1" si="49"/>
        <v>0.73684883039485938</v>
      </c>
      <c r="AS92">
        <f t="shared" si="50"/>
        <v>86</v>
      </c>
      <c r="AT92">
        <f t="shared" si="51"/>
        <v>0</v>
      </c>
      <c r="AU92">
        <f t="shared" ca="1" si="52"/>
        <v>0.94765187733411704</v>
      </c>
      <c r="AV92">
        <f t="shared" ca="1" si="53"/>
        <v>1.7869411535914178E-3</v>
      </c>
      <c r="AW92">
        <f ca="1">IF(AND($AT92&lt;3,OFFSET(DATA!$C$14,$AS92,0)=AW$6),$AV92,dNULL)</f>
        <v>-99</v>
      </c>
      <c r="AX92">
        <f ca="1">IF(AND($AT92&lt;3,OFFSET(DATA!$C$14,$AS92,0)=AX$6),$AV92,dNULL)</f>
        <v>-99</v>
      </c>
      <c r="AY92">
        <f ca="1">IF(AND($AT92&lt;3,OFFSET(DATA!$C$14,$AS92,0)=AY$6),$AV92,dNULL)</f>
        <v>-99</v>
      </c>
      <c r="AZ92">
        <f ca="1">IF(AND($AT92&lt;3,OFFSET(DATA!$C$14,$AS92,0)=AZ$6),$AV92,dNULL)</f>
        <v>-99</v>
      </c>
      <c r="BA92">
        <f ca="1">IF(AND($AT92&lt;3,OFFSET(DATA!$C$14,$AS92,0)=BA$6),$AV92,dNULL)</f>
        <v>-99</v>
      </c>
      <c r="BB92">
        <f ca="1">IF(AND($AT92&lt;3,OFFSET(DATA!$C$14,$AS92,0)=BB$6),$AV92,dNULL)</f>
        <v>-99</v>
      </c>
      <c r="BC92">
        <f ca="1">IF(AND($AT92&lt;3,OFFSET(DATA!$C$14,$AS92,0)=BC$6),$AV92,dNULL)</f>
        <v>1.7869411535914178E-3</v>
      </c>
      <c r="BD92">
        <f ca="1">IF(AND($AT92&lt;3,OFFSET(DATA!$C$14,$AS92,0)=BD$6),$AV92,dNULL)</f>
        <v>-99</v>
      </c>
      <c r="BE92">
        <f ca="1">IF(AND($AT92&lt;3,OFFSET(DATA!$C$14,$AS92,0)=BE$6),$AV92,dNULL)</f>
        <v>-99</v>
      </c>
      <c r="BF92">
        <f ca="1">IF(AND($AT92&lt;3,OFFSET(DATA!$C$14,$AS92,0)=BF$6),$AV92,dNULL)</f>
        <v>-99</v>
      </c>
      <c r="BG92">
        <f ca="1">IF(AND($AT92&lt;3,OFFSET(DATA!$C$14,$AS92,0)=BG$6),$AV92,dNULL)</f>
        <v>-99</v>
      </c>
      <c r="BH92">
        <f ca="1">IF(AND($AT92&lt;3,OFFSET(DATA!$C$14,$AS92,0)=BH$6),$AV92,dNULL)</f>
        <v>-99</v>
      </c>
      <c r="BU92">
        <f t="shared" si="58"/>
        <v>1</v>
      </c>
      <c r="BV92">
        <f t="shared" si="59"/>
        <v>0.9400000000000005</v>
      </c>
      <c r="BW92">
        <f t="shared" ca="1" si="54"/>
        <v>0.97674454332473681</v>
      </c>
      <c r="BX92">
        <f t="shared" ca="1" si="55"/>
        <v>-1.2022931187460715</v>
      </c>
    </row>
    <row r="93" spans="13:76" x14ac:dyDescent="0.25">
      <c r="Q93">
        <f>N203+NumberOFF*COS(T93*PI()/180)</f>
        <v>-48.212499999999999</v>
      </c>
      <c r="R93">
        <f>O203-SIN(T93*PI()/180)*NumberOFF</f>
        <v>87.620120227890581</v>
      </c>
      <c r="S93">
        <f>100-S92</f>
        <v>-20</v>
      </c>
      <c r="T93">
        <f t="shared" si="60"/>
        <v>-60</v>
      </c>
      <c r="Y93" s="26"/>
      <c r="Z93" s="26"/>
      <c r="AB93" s="26" t="str">
        <f t="shared" ca="1" si="43"/>
        <v>USW VH-1</v>
      </c>
      <c r="AC93">
        <f t="shared" ca="1" si="57"/>
        <v>87</v>
      </c>
      <c r="AD93" t="str">
        <f ca="1">IF(AND(AT93&lt;1,MAX(AW93:BH93)&gt;dNULL),DATA!$D101,"")</f>
        <v>USW VH-1</v>
      </c>
      <c r="AE93" s="7">
        <f ca="1">IF(LEN(DATA!D101)&gt;0,SUMPRODUCT(OFFSET(DATA!$R$6,AE$5,0,1,10),DATA!$R101:$AA101),"")</f>
        <v>0.49900199600798406</v>
      </c>
      <c r="AF93" s="7">
        <f ca="1">IF(LEN(DATA!E101)&gt;0,SUMPRODUCT(OFFSET(DATA!$R$6,AF$5,0,1,10),DATA!$R101:$AA101),"")</f>
        <v>0.12339585389930897</v>
      </c>
      <c r="AG93" s="7">
        <f ca="1">IF(LEN(DATA!F101)&gt;0,SUMPRODUCT(OFFSET(DATA!$R$6,AG$5,0,1,10),DATA!$R101:$AA101),"")</f>
        <v>3.4848929167377003</v>
      </c>
      <c r="AH93" s="7">
        <f ca="1">IF(LEN(DATA!G101)&gt;0,SUMPRODUCT(OFFSET(DATA!$R$6,AH$5,0,1,10),DATA!$R101:$AA101),"")</f>
        <v>0.42418080805499458</v>
      </c>
      <c r="AI93" s="7">
        <f ca="1">IF(LEN(DATA!H101)&gt;0,SUMPRODUCT(OFFSET(DATA!$R$6,AI$5,0,1,10),DATA!$R101:$AA101),"")</f>
        <v>0.9160788494049652</v>
      </c>
      <c r="AJ93" s="7">
        <f ca="1">IF(LEN(DATA!I101)&gt;0,SUMPRODUCT(OFFSET(DATA!$R$6,AJ$5,0,1,10),DATA!$R101:$AA101),"")</f>
        <v>2.7049180327868854</v>
      </c>
      <c r="AK93" s="7"/>
      <c r="AL93" s="7">
        <f t="shared" ca="1" si="44"/>
        <v>0.12149176290618199</v>
      </c>
      <c r="AM93" s="7">
        <f t="shared" ca="1" si="45"/>
        <v>3.00431259703836E-2</v>
      </c>
      <c r="AN93" s="7">
        <f t="shared" ca="1" si="46"/>
        <v>0.10486085916020915</v>
      </c>
      <c r="AO93" s="7">
        <f t="shared" ca="1" si="47"/>
        <v>0.22646195533355276</v>
      </c>
      <c r="AP93" s="7">
        <f t="shared" ca="1" si="48"/>
        <v>0.84846511112343437</v>
      </c>
      <c r="AQ93" s="7">
        <f t="shared" ca="1" si="49"/>
        <v>0.66867718550623811</v>
      </c>
      <c r="AS93">
        <f t="shared" si="50"/>
        <v>87</v>
      </c>
      <c r="AT93">
        <f t="shared" si="51"/>
        <v>0</v>
      </c>
      <c r="AU93">
        <f t="shared" ca="1" si="52"/>
        <v>0.86348667410862623</v>
      </c>
      <c r="AV93">
        <f t="shared" ca="1" si="53"/>
        <v>2.601811029944821E-2</v>
      </c>
      <c r="AW93">
        <f ca="1">IF(AND($AT93&lt;3,OFFSET(DATA!$C$14,$AS93,0)=AW$6),$AV93,dNULL)</f>
        <v>-99</v>
      </c>
      <c r="AX93">
        <f ca="1">IF(AND($AT93&lt;3,OFFSET(DATA!$C$14,$AS93,0)=AX$6),$AV93,dNULL)</f>
        <v>-99</v>
      </c>
      <c r="AY93">
        <f ca="1">IF(AND($AT93&lt;3,OFFSET(DATA!$C$14,$AS93,0)=AY$6),$AV93,dNULL)</f>
        <v>-99</v>
      </c>
      <c r="AZ93">
        <f ca="1">IF(AND($AT93&lt;3,OFFSET(DATA!$C$14,$AS93,0)=AZ$6),$AV93,dNULL)</f>
        <v>-99</v>
      </c>
      <c r="BA93">
        <f ca="1">IF(AND($AT93&lt;3,OFFSET(DATA!$C$14,$AS93,0)=BA$6),$AV93,dNULL)</f>
        <v>-99</v>
      </c>
      <c r="BB93">
        <f ca="1">IF(AND($AT93&lt;3,OFFSET(DATA!$C$14,$AS93,0)=BB$6),$AV93,dNULL)</f>
        <v>-99</v>
      </c>
      <c r="BC93">
        <f ca="1">IF(AND($AT93&lt;3,OFFSET(DATA!$C$14,$AS93,0)=BC$6),$AV93,dNULL)</f>
        <v>2.601811029944821E-2</v>
      </c>
      <c r="BD93">
        <f ca="1">IF(AND($AT93&lt;3,OFFSET(DATA!$C$14,$AS93,0)=BD$6),$AV93,dNULL)</f>
        <v>-99</v>
      </c>
      <c r="BE93">
        <f ca="1">IF(AND($AT93&lt;3,OFFSET(DATA!$C$14,$AS93,0)=BE$6),$AV93,dNULL)</f>
        <v>-99</v>
      </c>
      <c r="BF93">
        <f ca="1">IF(AND($AT93&lt;3,OFFSET(DATA!$C$14,$AS93,0)=BF$6),$AV93,dNULL)</f>
        <v>-99</v>
      </c>
      <c r="BG93">
        <f ca="1">IF(AND($AT93&lt;3,OFFSET(DATA!$C$14,$AS93,0)=BG$6),$AV93,dNULL)</f>
        <v>-99</v>
      </c>
      <c r="BH93">
        <f ca="1">IF(AND($AT93&lt;3,OFFSET(DATA!$C$14,$AS93,0)=BH$6),$AV93,dNULL)</f>
        <v>-99</v>
      </c>
      <c r="BU93">
        <f t="shared" si="58"/>
        <v>1</v>
      </c>
      <c r="BV93">
        <f t="shared" si="59"/>
        <v>0.96000000000000052</v>
      </c>
      <c r="BW93">
        <f t="shared" ca="1" si="54"/>
        <v>0.2</v>
      </c>
      <c r="BX93">
        <f t="shared" ca="1" si="55"/>
        <v>-0.2</v>
      </c>
    </row>
    <row r="94" spans="13:76" x14ac:dyDescent="0.25">
      <c r="N94">
        <f>IF(N91&lt;1-$N$5,N91+$N$5,dNULL)</f>
        <v>-97.999999999999986</v>
      </c>
      <c r="O94">
        <v>0</v>
      </c>
      <c r="Q94">
        <f>N205-NumberOFF*COS(T94*PI()/180)</f>
        <v>-48.6875</v>
      </c>
      <c r="R94">
        <f>O205+SIN(T94*PI()/180)*NumberOFF</f>
        <v>86.450985932781578</v>
      </c>
      <c r="S94">
        <f>S92+$S$82</f>
        <v>140</v>
      </c>
      <c r="T94">
        <f t="shared" si="60"/>
        <v>-60</v>
      </c>
      <c r="Y94" s="26"/>
      <c r="Z94" s="26"/>
      <c r="AB94" s="26" t="str">
        <f t="shared" ca="1" si="43"/>
        <v>Well U3CN5</v>
      </c>
      <c r="AC94">
        <f t="shared" ca="1" si="57"/>
        <v>88</v>
      </c>
      <c r="AD94" t="str">
        <f ca="1">IF(AND(AT94&lt;1,MAX(AW94:BH94)&gt;dNULL),DATA!$D102,"")</f>
        <v>Well U3CN5</v>
      </c>
      <c r="AE94" s="7">
        <f ca="1">IF(LEN(DATA!D102)&gt;0,SUMPRODUCT(OFFSET(DATA!$R$6,AE$5,0,1,10),DATA!$R102:$AA102),"")</f>
        <v>2.0459081836327346</v>
      </c>
      <c r="AF94" s="7">
        <f ca="1">IF(LEN(DATA!E102)&gt;0,SUMPRODUCT(OFFSET(DATA!$R$6,AF$5,0,1,10),DATA!$R102:$AA102),"")</f>
        <v>1.3984863441921684</v>
      </c>
      <c r="AG94" s="7">
        <f ca="1">IF(LEN(DATA!F102)&gt;0,SUMPRODUCT(OFFSET(DATA!$R$6,AG$5,0,1,10),DATA!$R102:$AA102),"")</f>
        <v>2.5969338461223415</v>
      </c>
      <c r="AH94" s="7">
        <f ca="1">IF(LEN(DATA!G102)&gt;0,SUMPRODUCT(OFFSET(DATA!$R$6,AH$5,0,1,10),DATA!$R102:$AA102),"")</f>
        <v>0.94471225597978925</v>
      </c>
      <c r="AI94" s="7">
        <f ca="1">IF(LEN(DATA!H102)&gt;0,SUMPRODUCT(OFFSET(DATA!$R$6,AI$5,0,1,10),DATA!$R102:$AA102),"")</f>
        <v>0.85361892785462667</v>
      </c>
      <c r="AJ94" s="7">
        <f ca="1">IF(LEN(DATA!I102)&gt;0,SUMPRODUCT(OFFSET(DATA!$R$6,AJ$5,0,1,10),DATA!$R102:$AA102),"")</f>
        <v>4.4262295081967213</v>
      </c>
      <c r="AK94" s="7"/>
      <c r="AL94" s="7">
        <f t="shared" ca="1" si="44"/>
        <v>0.3386520409080151</v>
      </c>
      <c r="AM94" s="7">
        <f t="shared" ca="1" si="45"/>
        <v>0.23148656348875707</v>
      </c>
      <c r="AN94" s="7">
        <f t="shared" ca="1" si="46"/>
        <v>0.15177171574360859</v>
      </c>
      <c r="AO94" s="7">
        <f t="shared" ca="1" si="47"/>
        <v>0.13713721659866765</v>
      </c>
      <c r="AP94" s="7">
        <f t="shared" ca="1" si="48"/>
        <v>0.42986139560322778</v>
      </c>
      <c r="AQ94" s="7">
        <f t="shared" ca="1" si="49"/>
        <v>0.71109106765772379</v>
      </c>
      <c r="AS94">
        <f t="shared" si="50"/>
        <v>88</v>
      </c>
      <c r="AT94">
        <f t="shared" si="51"/>
        <v>0</v>
      </c>
      <c r="AU94">
        <f t="shared" ca="1" si="52"/>
        <v>0.54560467734760631</v>
      </c>
      <c r="AV94">
        <f t="shared" ca="1" si="53"/>
        <v>0.20047324461602292</v>
      </c>
      <c r="AW94">
        <f ca="1">IF(AND($AT94&lt;3,OFFSET(DATA!$C$14,$AS94,0)=AW$6),$AV94,dNULL)</f>
        <v>-99</v>
      </c>
      <c r="AX94">
        <f ca="1">IF(AND($AT94&lt;3,OFFSET(DATA!$C$14,$AS94,0)=AX$6),$AV94,dNULL)</f>
        <v>0.20047324461602292</v>
      </c>
      <c r="AY94">
        <f ca="1">IF(AND($AT94&lt;3,OFFSET(DATA!$C$14,$AS94,0)=AY$6),$AV94,dNULL)</f>
        <v>-99</v>
      </c>
      <c r="AZ94">
        <f ca="1">IF(AND($AT94&lt;3,OFFSET(DATA!$C$14,$AS94,0)=AZ$6),$AV94,dNULL)</f>
        <v>-99</v>
      </c>
      <c r="BA94">
        <f ca="1">IF(AND($AT94&lt;3,OFFSET(DATA!$C$14,$AS94,0)=BA$6),$AV94,dNULL)</f>
        <v>-99</v>
      </c>
      <c r="BB94">
        <f ca="1">IF(AND($AT94&lt;3,OFFSET(DATA!$C$14,$AS94,0)=BB$6),$AV94,dNULL)</f>
        <v>-99</v>
      </c>
      <c r="BC94">
        <f ca="1">IF(AND($AT94&lt;3,OFFSET(DATA!$C$14,$AS94,0)=BC$6),$AV94,dNULL)</f>
        <v>-99</v>
      </c>
      <c r="BD94">
        <f ca="1">IF(AND($AT94&lt;3,OFFSET(DATA!$C$14,$AS94,0)=BD$6),$AV94,dNULL)</f>
        <v>-99</v>
      </c>
      <c r="BE94">
        <f ca="1">IF(AND($AT94&lt;3,OFFSET(DATA!$C$14,$AS94,0)=BE$6),$AV94,dNULL)</f>
        <v>-99</v>
      </c>
      <c r="BF94">
        <f ca="1">IF(AND($AT94&lt;3,OFFSET(DATA!$C$14,$AS94,0)=BF$6),$AV94,dNULL)</f>
        <v>-99</v>
      </c>
      <c r="BG94">
        <f ca="1">IF(AND($AT94&lt;3,OFFSET(DATA!$C$14,$AS94,0)=BG$6),$AV94,dNULL)</f>
        <v>-99</v>
      </c>
      <c r="BH94">
        <f ca="1">IF(AND($AT94&lt;3,OFFSET(DATA!$C$14,$AS94,0)=BH$6),$AV94,dNULL)</f>
        <v>-99</v>
      </c>
      <c r="BU94">
        <f t="shared" si="58"/>
        <v>1</v>
      </c>
      <c r="BV94">
        <f t="shared" si="59"/>
        <v>0.96000000000000052</v>
      </c>
      <c r="BW94">
        <f t="shared" ca="1" si="54"/>
        <v>0.91702672491014248</v>
      </c>
      <c r="BX94">
        <f t="shared" ca="1" si="55"/>
        <v>-1.1665163350784331</v>
      </c>
    </row>
    <row r="95" spans="13:76" x14ac:dyDescent="0.25">
      <c r="N95">
        <f>N94+(1-N94)/2</f>
        <v>-48.499999999999993</v>
      </c>
      <c r="O95">
        <f>O94+(1-N94)*ApexCAT</f>
        <v>85.736514974659414</v>
      </c>
      <c r="Q95">
        <f>N206+NumberOFF*COS(T95*PI()/180)</f>
        <v>-48.112499999999997</v>
      </c>
      <c r="R95">
        <f>O206-SIN(T95*PI()/180)*NumberOFF</f>
        <v>87.44691514713368</v>
      </c>
      <c r="S95">
        <f>100-S94</f>
        <v>-40</v>
      </c>
      <c r="T95">
        <f t="shared" si="60"/>
        <v>-60</v>
      </c>
      <c r="Y95" s="26"/>
      <c r="Z95" s="26"/>
      <c r="AB95" s="26" t="str">
        <f t="shared" ca="1" si="43"/>
        <v>WW-3</v>
      </c>
      <c r="AC95">
        <f t="shared" ca="1" si="57"/>
        <v>89</v>
      </c>
      <c r="AD95" t="str">
        <f ca="1">IF(AND(AT95&lt;1,MAX(AW95:BH95)&gt;dNULL),DATA!$D103,"")</f>
        <v>WW-3</v>
      </c>
      <c r="AE95" s="7">
        <f ca="1">IF(LEN(DATA!D103)&gt;0,SUMPRODUCT(OFFSET(DATA!$R$6,AE$5,0,1,10),DATA!$R103:$AA103),"")</f>
        <v>1.0086968919304249</v>
      </c>
      <c r="AF95" s="7">
        <f ca="1">IF(LEN(DATA!E103)&gt;0,SUMPRODUCT(OFFSET(DATA!$R$6,AF$5,0,1,10),DATA!$R103:$AA103),"")</f>
        <v>1.0224227894514173</v>
      </c>
      <c r="AG95" s="7">
        <f ca="1">IF(LEN(DATA!F103)&gt;0,SUMPRODUCT(OFFSET(DATA!$R$6,AG$5,0,1,10),DATA!$R103:$AA103),"")</f>
        <v>1.8849171555043407</v>
      </c>
      <c r="AH95" s="7">
        <f ca="1">IF(LEN(DATA!G103)&gt;0,SUMPRODUCT(OFFSET(DATA!$R$6,AH$5,0,1,10),DATA!$R103:$AA103),"")</f>
        <v>0.21005548328135931</v>
      </c>
      <c r="AI95" s="7">
        <f ca="1">IF(LEN(DATA!H103)&gt;0,SUMPRODUCT(OFFSET(DATA!$R$6,AI$5,0,1,10),DATA!$R103:$AA103),"")</f>
        <v>0.43424516887378217</v>
      </c>
      <c r="AJ95" s="7">
        <f ca="1">IF(LEN(DATA!I103)&gt;0,SUMPRODUCT(OFFSET(DATA!$R$6,AJ$5,0,1,10),DATA!$R103:$AA103),"")</f>
        <v>3.1850117096018735</v>
      </c>
      <c r="AK95" s="7"/>
      <c r="AL95" s="7">
        <f t="shared" ca="1" si="44"/>
        <v>0.25758105297407907</v>
      </c>
      <c r="AM95" s="7">
        <f t="shared" ca="1" si="45"/>
        <v>0.26108610108591107</v>
      </c>
      <c r="AN95" s="7">
        <f t="shared" ca="1" si="46"/>
        <v>5.4854622302208562E-2</v>
      </c>
      <c r="AO95" s="7">
        <f t="shared" ca="1" si="47"/>
        <v>0.11340029954478201</v>
      </c>
      <c r="AP95" s="7">
        <f t="shared" ca="1" si="48"/>
        <v>0.48133284594000991</v>
      </c>
      <c r="AQ95" s="7">
        <f t="shared" ca="1" si="49"/>
        <v>0.83174507815300935</v>
      </c>
      <c r="AS95">
        <f t="shared" si="50"/>
        <v>89</v>
      </c>
      <c r="AT95">
        <f t="shared" si="51"/>
        <v>0</v>
      </c>
      <c r="AU95">
        <f t="shared" ca="1" si="52"/>
        <v>0.61187589648296536</v>
      </c>
      <c r="AV95">
        <f t="shared" ca="1" si="53"/>
        <v>0.2261071961154309</v>
      </c>
      <c r="AW95">
        <f ca="1">IF(AND($AT95&lt;3,OFFSET(DATA!$C$14,$AS95,0)=AW$6),$AV95,dNULL)</f>
        <v>-99</v>
      </c>
      <c r="AX95">
        <f ca="1">IF(AND($AT95&lt;3,OFFSET(DATA!$C$14,$AS95,0)=AX$6),$AV95,dNULL)</f>
        <v>0.2261071961154309</v>
      </c>
      <c r="AY95">
        <f ca="1">IF(AND($AT95&lt;3,OFFSET(DATA!$C$14,$AS95,0)=AY$6),$AV95,dNULL)</f>
        <v>-99</v>
      </c>
      <c r="AZ95">
        <f ca="1">IF(AND($AT95&lt;3,OFFSET(DATA!$C$14,$AS95,0)=AZ$6),$AV95,dNULL)</f>
        <v>-99</v>
      </c>
      <c r="BA95">
        <f ca="1">IF(AND($AT95&lt;3,OFFSET(DATA!$C$14,$AS95,0)=BA$6),$AV95,dNULL)</f>
        <v>-99</v>
      </c>
      <c r="BB95">
        <f ca="1">IF(AND($AT95&lt;3,OFFSET(DATA!$C$14,$AS95,0)=BB$6),$AV95,dNULL)</f>
        <v>-99</v>
      </c>
      <c r="BC95">
        <f ca="1">IF(AND($AT95&lt;3,OFFSET(DATA!$C$14,$AS95,0)=BC$6),$AV95,dNULL)</f>
        <v>-99</v>
      </c>
      <c r="BD95">
        <f ca="1">IF(AND($AT95&lt;3,OFFSET(DATA!$C$14,$AS95,0)=BD$6),$AV95,dNULL)</f>
        <v>-99</v>
      </c>
      <c r="BE95">
        <f ca="1">IF(AND($AT95&lt;3,OFFSET(DATA!$C$14,$AS95,0)=BE$6),$AV95,dNULL)</f>
        <v>-99</v>
      </c>
      <c r="BF95">
        <f ca="1">IF(AND($AT95&lt;3,OFFSET(DATA!$C$14,$AS95,0)=BF$6),$AV95,dNULL)</f>
        <v>-99</v>
      </c>
      <c r="BG95">
        <f ca="1">IF(AND($AT95&lt;3,OFFSET(DATA!$C$14,$AS95,0)=BG$6),$AV95,dNULL)</f>
        <v>-99</v>
      </c>
      <c r="BH95">
        <f ca="1">IF(AND($AT95&lt;3,OFFSET(DATA!$C$14,$AS95,0)=BH$6),$AV95,dNULL)</f>
        <v>-99</v>
      </c>
      <c r="BU95">
        <f t="shared" si="58"/>
        <v>1</v>
      </c>
      <c r="BV95">
        <f t="shared" si="59"/>
        <v>0.98000000000000054</v>
      </c>
      <c r="BW95">
        <f t="shared" ca="1" si="54"/>
        <v>0.2</v>
      </c>
      <c r="BX95">
        <f t="shared" ca="1" si="55"/>
        <v>-0.2</v>
      </c>
    </row>
    <row r="96" spans="13:76" x14ac:dyDescent="0.25">
      <c r="M96" t="s">
        <v>71</v>
      </c>
      <c r="Q96">
        <f>N208-NumberOFF*COS(T96*PI()/180)</f>
        <v>-48.587499999999999</v>
      </c>
      <c r="R96">
        <f>O208+SIN(T96*PI()/180)*NumberOFF</f>
        <v>86.277780852024691</v>
      </c>
      <c r="S96">
        <f>S94+$S$82</f>
        <v>160</v>
      </c>
      <c r="T96">
        <f t="shared" si="60"/>
        <v>-60</v>
      </c>
      <c r="Y96" s="26"/>
      <c r="Z96" s="26"/>
      <c r="AB96" s="26" t="str">
        <f t="shared" ca="1" si="43"/>
        <v>WW-C-1</v>
      </c>
      <c r="AC96">
        <f t="shared" ca="1" si="57"/>
        <v>90</v>
      </c>
      <c r="AD96" t="str">
        <f ca="1">IF(AND(AT96&lt;1,MAX(AW96:BH96)&gt;dNULL),DATA!$D104,"")</f>
        <v>WW-C-1</v>
      </c>
      <c r="AE96" s="7">
        <f ca="1">IF(LEN(DATA!D104)&gt;0,SUMPRODUCT(OFFSET(DATA!$R$6,AE$5,0,1,10),DATA!$R104:$AA104),"")</f>
        <v>3.6926147704590822</v>
      </c>
      <c r="AF96" s="7">
        <f ca="1">IF(LEN(DATA!E104)&gt;0,SUMPRODUCT(OFFSET(DATA!$R$6,AF$5,0,1,10),DATA!$R104:$AA104),"")</f>
        <v>2.4679170779861797</v>
      </c>
      <c r="AG96" s="7">
        <f ca="1">IF(LEN(DATA!F104)&gt;0,SUMPRODUCT(OFFSET(DATA!$R$6,AG$5,0,1,10),DATA!$R104:$AA104),"")</f>
        <v>5.7082297542241482</v>
      </c>
      <c r="AH96" s="7">
        <f ca="1">IF(LEN(DATA!G104)&gt;0,SUMPRODUCT(OFFSET(DATA!$R$6,AH$5,0,1,10),DATA!$R104:$AA104),"")</f>
        <v>0.96050305941586811</v>
      </c>
      <c r="AI96" s="7">
        <f ca="1">IF(LEN(DATA!H104)&gt;0,SUMPRODUCT(OFFSET(DATA!$R$6,AI$5,0,1,10),DATA!$R104:$AA104),"")</f>
        <v>1.3949382479575605</v>
      </c>
      <c r="AJ96" s="7">
        <f ca="1">IF(LEN(DATA!I104)&gt;0,SUMPRODUCT(OFFSET(DATA!$R$6,AJ$5,0,1,10),DATA!$R104:$AA104),"")</f>
        <v>9.5737704918032787</v>
      </c>
      <c r="AK96" s="7"/>
      <c r="AL96" s="7">
        <f t="shared" ca="1" si="44"/>
        <v>0.31112047693573813</v>
      </c>
      <c r="AM96" s="7">
        <f t="shared" ca="1" si="45"/>
        <v>0.20793383173448518</v>
      </c>
      <c r="AN96" s="7">
        <f t="shared" ca="1" si="46"/>
        <v>8.0516892112030156E-2</v>
      </c>
      <c r="AO96" s="7">
        <f t="shared" ca="1" si="47"/>
        <v>0.11693465347424144</v>
      </c>
      <c r="AP96" s="7">
        <f t="shared" ca="1" si="48"/>
        <v>0.48094569132977677</v>
      </c>
      <c r="AQ96" s="7">
        <f t="shared" ca="1" si="49"/>
        <v>0.80254845441372835</v>
      </c>
      <c r="AS96">
        <f t="shared" si="50"/>
        <v>90</v>
      </c>
      <c r="AT96">
        <f t="shared" si="51"/>
        <v>0</v>
      </c>
      <c r="AU96">
        <f t="shared" ca="1" si="52"/>
        <v>0.58491260719701932</v>
      </c>
      <c r="AV96">
        <f t="shared" ca="1" si="53"/>
        <v>0.18007598058830304</v>
      </c>
      <c r="AW96">
        <f ca="1">IF(AND($AT96&lt;3,OFFSET(DATA!$C$14,$AS96,0)=AW$6),$AV96,dNULL)</f>
        <v>-99</v>
      </c>
      <c r="AX96">
        <f ca="1">IF(AND($AT96&lt;3,OFFSET(DATA!$C$14,$AS96,0)=AX$6),$AV96,dNULL)</f>
        <v>0.18007598058830304</v>
      </c>
      <c r="AY96">
        <f ca="1">IF(AND($AT96&lt;3,OFFSET(DATA!$C$14,$AS96,0)=AY$6),$AV96,dNULL)</f>
        <v>-99</v>
      </c>
      <c r="AZ96">
        <f ca="1">IF(AND($AT96&lt;3,OFFSET(DATA!$C$14,$AS96,0)=AZ$6),$AV96,dNULL)</f>
        <v>-99</v>
      </c>
      <c r="BA96">
        <f ca="1">IF(AND($AT96&lt;3,OFFSET(DATA!$C$14,$AS96,0)=BA$6),$AV96,dNULL)</f>
        <v>-99</v>
      </c>
      <c r="BB96">
        <f ca="1">IF(AND($AT96&lt;3,OFFSET(DATA!$C$14,$AS96,0)=BB$6),$AV96,dNULL)</f>
        <v>-99</v>
      </c>
      <c r="BC96">
        <f ca="1">IF(AND($AT96&lt;3,OFFSET(DATA!$C$14,$AS96,0)=BC$6),$AV96,dNULL)</f>
        <v>-99</v>
      </c>
      <c r="BD96">
        <f ca="1">IF(AND($AT96&lt;3,OFFSET(DATA!$C$14,$AS96,0)=BD$6),$AV96,dNULL)</f>
        <v>-99</v>
      </c>
      <c r="BE96">
        <f ca="1">IF(AND($AT96&lt;3,OFFSET(DATA!$C$14,$AS96,0)=BE$6),$AV96,dNULL)</f>
        <v>-99</v>
      </c>
      <c r="BF96">
        <f ca="1">IF(AND($AT96&lt;3,OFFSET(DATA!$C$14,$AS96,0)=BF$6),$AV96,dNULL)</f>
        <v>-99</v>
      </c>
      <c r="BG96">
        <f ca="1">IF(AND($AT96&lt;3,OFFSET(DATA!$C$14,$AS96,0)=BG$6),$AV96,dNULL)</f>
        <v>-99</v>
      </c>
      <c r="BH96">
        <f ca="1">IF(AND($AT96&lt;3,OFFSET(DATA!$C$14,$AS96,0)=BH$6),$AV96,dNULL)</f>
        <v>-99</v>
      </c>
      <c r="BU96">
        <f t="shared" si="58"/>
        <v>1</v>
      </c>
      <c r="BV96">
        <f t="shared" si="59"/>
        <v>0.98000000000000054</v>
      </c>
      <c r="BW96">
        <f t="shared" ca="1" si="54"/>
        <v>0.85730890649554814</v>
      </c>
      <c r="BX96">
        <f t="shared" ca="1" si="55"/>
        <v>-1.1307395514107945</v>
      </c>
    </row>
    <row r="97" spans="13:76" x14ac:dyDescent="0.25">
      <c r="M97" t="s">
        <v>68</v>
      </c>
      <c r="N97">
        <f>N7+1+dAnionOFF</f>
        <v>1.5</v>
      </c>
      <c r="O97">
        <f>O7</f>
        <v>0</v>
      </c>
      <c r="Q97">
        <f>N209+NumberOFF*COS(T97*PI()/180)</f>
        <v>-48.012499999999996</v>
      </c>
      <c r="R97">
        <f>O209-SIN(T97*PI()/180)*NumberOFF</f>
        <v>87.273710066376793</v>
      </c>
      <c r="S97">
        <f>100-S96</f>
        <v>-60</v>
      </c>
      <c r="T97">
        <f t="shared" si="60"/>
        <v>-60</v>
      </c>
      <c r="Y97" s="26"/>
      <c r="Z97" s="26"/>
      <c r="AB97" s="26" t="str">
        <f t="shared" ca="1" si="43"/>
        <v/>
      </c>
      <c r="AC97">
        <f t="shared" ca="1" si="57"/>
        <v>90</v>
      </c>
      <c r="AD97" t="str">
        <f ca="1">IF(AND(AT97&lt;1,MAX(AW97:BH97)&gt;dNULL),DATA!$D105,"")</f>
        <v/>
      </c>
      <c r="AE97" s="7" t="str">
        <f ca="1">IF(LEN(DATA!D105)&gt;0,SUMPRODUCT(OFFSET(DATA!$R$6,AE$5,0,1,10),DATA!$R105:$AA105),"")</f>
        <v/>
      </c>
      <c r="AF97" s="7" t="str">
        <f ca="1">IF(LEN(DATA!E105)&gt;0,SUMPRODUCT(OFFSET(DATA!$R$6,AF$5,0,1,10),DATA!$R105:$AA105),"")</f>
        <v/>
      </c>
      <c r="AG97" s="7" t="str">
        <f ca="1">IF(LEN(DATA!F105)&gt;0,SUMPRODUCT(OFFSET(DATA!$R$6,AG$5,0,1,10),DATA!$R105:$AA105),"")</f>
        <v/>
      </c>
      <c r="AH97" s="7" t="str">
        <f ca="1">IF(LEN(DATA!G105)&gt;0,SUMPRODUCT(OFFSET(DATA!$R$6,AH$5,0,1,10),DATA!$R105:$AA105),"")</f>
        <v/>
      </c>
      <c r="AI97" s="7" t="str">
        <f ca="1">IF(LEN(DATA!H105)&gt;0,SUMPRODUCT(OFFSET(DATA!$R$6,AI$5,0,1,10),DATA!$R105:$AA105),"")</f>
        <v/>
      </c>
      <c r="AJ97" s="7" t="str">
        <f ca="1">IF(LEN(DATA!I105)&gt;0,SUMPRODUCT(OFFSET(DATA!$R$6,AJ$5,0,1,10),DATA!$R105:$AA105),"")</f>
        <v/>
      </c>
      <c r="AK97" s="7"/>
      <c r="AL97" s="7" t="e">
        <f t="shared" ca="1" si="44"/>
        <v>#DIV/0!</v>
      </c>
      <c r="AM97" s="7" t="e">
        <f t="shared" ca="1" si="45"/>
        <v>#DIV/0!</v>
      </c>
      <c r="AN97" s="7" t="e">
        <f t="shared" ca="1" si="46"/>
        <v>#DIV/0!</v>
      </c>
      <c r="AO97" s="7" t="e">
        <f t="shared" ca="1" si="47"/>
        <v>#DIV/0!</v>
      </c>
      <c r="AP97" s="7" t="e">
        <f t="shared" ca="1" si="48"/>
        <v>#DIV/0!</v>
      </c>
      <c r="AQ97" s="7" t="e">
        <f t="shared" ca="1" si="49"/>
        <v>#DIV/0!</v>
      </c>
      <c r="AS97">
        <f t="shared" si="50"/>
        <v>1</v>
      </c>
      <c r="AT97">
        <f t="shared" si="51"/>
        <v>1</v>
      </c>
      <c r="AU97">
        <f t="shared" ca="1" si="52"/>
        <v>1.5008730350396755</v>
      </c>
      <c r="AV97">
        <f t="shared" ca="1" si="53"/>
        <v>0.18341119545009668</v>
      </c>
      <c r="AW97">
        <f ca="1">IF(AND($AT97&lt;3,OFFSET(DATA!$C$14,$AS97,0)=AW$6),$AV97,dNULL)</f>
        <v>-99</v>
      </c>
      <c r="AX97">
        <f ca="1">IF(AND($AT97&lt;3,OFFSET(DATA!$C$14,$AS97,0)=AX$6),$AV97,dNULL)</f>
        <v>0.18341119545009668</v>
      </c>
      <c r="AY97">
        <f ca="1">IF(AND($AT97&lt;3,OFFSET(DATA!$C$14,$AS97,0)=AY$6),$AV97,dNULL)</f>
        <v>-99</v>
      </c>
      <c r="AZ97">
        <f ca="1">IF(AND($AT97&lt;3,OFFSET(DATA!$C$14,$AS97,0)=AZ$6),$AV97,dNULL)</f>
        <v>-99</v>
      </c>
      <c r="BA97">
        <f ca="1">IF(AND($AT97&lt;3,OFFSET(DATA!$C$14,$AS97,0)=BA$6),$AV97,dNULL)</f>
        <v>-99</v>
      </c>
      <c r="BB97">
        <f ca="1">IF(AND($AT97&lt;3,OFFSET(DATA!$C$14,$AS97,0)=BB$6),$AV97,dNULL)</f>
        <v>-99</v>
      </c>
      <c r="BC97">
        <f ca="1">IF(AND($AT97&lt;3,OFFSET(DATA!$C$14,$AS97,0)=BC$6),$AV97,dNULL)</f>
        <v>-99</v>
      </c>
      <c r="BD97">
        <f ca="1">IF(AND($AT97&lt;3,OFFSET(DATA!$C$14,$AS97,0)=BD$6),$AV97,dNULL)</f>
        <v>-99</v>
      </c>
      <c r="BE97">
        <f ca="1">IF(AND($AT97&lt;3,OFFSET(DATA!$C$14,$AS97,0)=BE$6),$AV97,dNULL)</f>
        <v>-99</v>
      </c>
      <c r="BF97">
        <f ca="1">IF(AND($AT97&lt;3,OFFSET(DATA!$C$14,$AS97,0)=BF$6),$AV97,dNULL)</f>
        <v>-99</v>
      </c>
      <c r="BG97">
        <f ca="1">IF(AND($AT97&lt;3,OFFSET(DATA!$C$14,$AS97,0)=BG$6),$AV97,dNULL)</f>
        <v>-99</v>
      </c>
      <c r="BH97">
        <f ca="1">IF(AND($AT97&lt;3,OFFSET(DATA!$C$14,$AS97,0)=BH$6),$AV97,dNULL)</f>
        <v>-99</v>
      </c>
      <c r="BU97">
        <f t="shared" si="58"/>
        <v>1</v>
      </c>
      <c r="BV97">
        <f t="shared" si="59"/>
        <v>1.0000000000000004</v>
      </c>
      <c r="BW97">
        <f t="shared" ca="1" si="54"/>
        <v>0.2</v>
      </c>
      <c r="BX97">
        <f t="shared" ca="1" si="55"/>
        <v>-0.2</v>
      </c>
    </row>
    <row r="98" spans="13:76" x14ac:dyDescent="0.25">
      <c r="N98">
        <f>N8+1+dAnionOFF</f>
        <v>1.4000000000000001</v>
      </c>
      <c r="O98">
        <f t="shared" ref="O98:O125" si="61">O8</f>
        <v>0.17320508075688773</v>
      </c>
      <c r="Q98">
        <f>N211-NumberOFF*COS(T98*PI()/180)</f>
        <v>-48.487499999999997</v>
      </c>
      <c r="R98">
        <f>O211+SIN(T98*PI()/180)*NumberOFF</f>
        <v>86.104575771267804</v>
      </c>
      <c r="S98">
        <f>S96+$S$82</f>
        <v>180</v>
      </c>
      <c r="T98">
        <f t="shared" si="60"/>
        <v>-60</v>
      </c>
      <c r="Y98" s="26"/>
      <c r="Z98" s="26"/>
      <c r="AB98" s="26" t="str">
        <f t="shared" ca="1" si="43"/>
        <v/>
      </c>
      <c r="AC98">
        <f t="shared" ca="1" si="57"/>
        <v>90</v>
      </c>
      <c r="AD98" t="str">
        <f ca="1">IF(AND(AT98&lt;1,MAX(AW98:BH98)&gt;dNULL),DATA!$D106,"")</f>
        <v/>
      </c>
      <c r="AE98" s="7" t="str">
        <f ca="1">IF(LEN(DATA!D106)&gt;0,SUMPRODUCT(OFFSET(DATA!$R$6,AE$5,0,1,10),DATA!$R106:$AA106),"")</f>
        <v/>
      </c>
      <c r="AF98" s="7" t="str">
        <f ca="1">IF(LEN(DATA!E106)&gt;0,SUMPRODUCT(OFFSET(DATA!$R$6,AF$5,0,1,10),DATA!$R106:$AA106),"")</f>
        <v/>
      </c>
      <c r="AG98" s="7" t="str">
        <f ca="1">IF(LEN(DATA!F106)&gt;0,SUMPRODUCT(OFFSET(DATA!$R$6,AG$5,0,1,10),DATA!$R106:$AA106),"")</f>
        <v/>
      </c>
      <c r="AH98" s="7" t="str">
        <f ca="1">IF(LEN(DATA!G106)&gt;0,SUMPRODUCT(OFFSET(DATA!$R$6,AH$5,0,1,10),DATA!$R106:$AA106),"")</f>
        <v/>
      </c>
      <c r="AI98" s="7" t="str">
        <f ca="1">IF(LEN(DATA!H106)&gt;0,SUMPRODUCT(OFFSET(DATA!$R$6,AI$5,0,1,10),DATA!$R106:$AA106),"")</f>
        <v/>
      </c>
      <c r="AJ98" s="7" t="str">
        <f ca="1">IF(LEN(DATA!I106)&gt;0,SUMPRODUCT(OFFSET(DATA!$R$6,AJ$5,0,1,10),DATA!$R106:$AA106),"")</f>
        <v/>
      </c>
      <c r="AK98" s="7"/>
      <c r="AL98" s="7" t="e">
        <f t="shared" ca="1" si="44"/>
        <v>#DIV/0!</v>
      </c>
      <c r="AM98" s="7" t="e">
        <f t="shared" ca="1" si="45"/>
        <v>#DIV/0!</v>
      </c>
      <c r="AN98" s="7" t="e">
        <f t="shared" ca="1" si="46"/>
        <v>#DIV/0!</v>
      </c>
      <c r="AO98" s="7" t="e">
        <f t="shared" ca="1" si="47"/>
        <v>#DIV/0!</v>
      </c>
      <c r="AP98" s="7" t="e">
        <f t="shared" ca="1" si="48"/>
        <v>#DIV/0!</v>
      </c>
      <c r="AQ98" s="7" t="e">
        <f t="shared" ca="1" si="49"/>
        <v>#DIV/0!</v>
      </c>
      <c r="AS98">
        <f t="shared" si="50"/>
        <v>2</v>
      </c>
      <c r="AT98">
        <f t="shared" si="51"/>
        <v>1</v>
      </c>
      <c r="AU98">
        <f t="shared" ca="1" si="52"/>
        <v>1.4730203182198172</v>
      </c>
      <c r="AV98">
        <f t="shared" ca="1" si="53"/>
        <v>0.15880445047374339</v>
      </c>
      <c r="AW98">
        <f ca="1">IF(AND($AT98&lt;3,OFFSET(DATA!$C$14,$AS98,0)=AW$6),$AV98,dNULL)</f>
        <v>-99</v>
      </c>
      <c r="AX98">
        <f ca="1">IF(AND($AT98&lt;3,OFFSET(DATA!$C$14,$AS98,0)=AX$6),$AV98,dNULL)</f>
        <v>0.15880445047374339</v>
      </c>
      <c r="AY98">
        <f ca="1">IF(AND($AT98&lt;3,OFFSET(DATA!$C$14,$AS98,0)=AY$6),$AV98,dNULL)</f>
        <v>-99</v>
      </c>
      <c r="AZ98">
        <f ca="1">IF(AND($AT98&lt;3,OFFSET(DATA!$C$14,$AS98,0)=AZ$6),$AV98,dNULL)</f>
        <v>-99</v>
      </c>
      <c r="BA98">
        <f ca="1">IF(AND($AT98&lt;3,OFFSET(DATA!$C$14,$AS98,0)=BA$6),$AV98,dNULL)</f>
        <v>-99</v>
      </c>
      <c r="BB98">
        <f ca="1">IF(AND($AT98&lt;3,OFFSET(DATA!$C$14,$AS98,0)=BB$6),$AV98,dNULL)</f>
        <v>-99</v>
      </c>
      <c r="BC98">
        <f ca="1">IF(AND($AT98&lt;3,OFFSET(DATA!$C$14,$AS98,0)=BC$6),$AV98,dNULL)</f>
        <v>-99</v>
      </c>
      <c r="BD98">
        <f ca="1">IF(AND($AT98&lt;3,OFFSET(DATA!$C$14,$AS98,0)=BD$6),$AV98,dNULL)</f>
        <v>-99</v>
      </c>
      <c r="BE98">
        <f ca="1">IF(AND($AT98&lt;3,OFFSET(DATA!$C$14,$AS98,0)=BE$6),$AV98,dNULL)</f>
        <v>-99</v>
      </c>
      <c r="BF98">
        <f ca="1">IF(AND($AT98&lt;3,OFFSET(DATA!$C$14,$AS98,0)=BF$6),$AV98,dNULL)</f>
        <v>-99</v>
      </c>
      <c r="BG98">
        <f ca="1">IF(AND($AT98&lt;3,OFFSET(DATA!$C$14,$AS98,0)=BG$6),$AV98,dNULL)</f>
        <v>-99</v>
      </c>
      <c r="BH98">
        <f ca="1">IF(AND($AT98&lt;3,OFFSET(DATA!$C$14,$AS98,0)=BH$6),$AV98,dNULL)</f>
        <v>-99</v>
      </c>
      <c r="BU98">
        <f t="shared" si="58"/>
        <v>1</v>
      </c>
      <c r="BV98">
        <f t="shared" si="59"/>
        <v>1.0000000000000004</v>
      </c>
      <c r="BW98">
        <f t="shared" ca="1" si="54"/>
        <v>0.79759108808095425</v>
      </c>
      <c r="BX98">
        <f t="shared" ca="1" si="55"/>
        <v>-1.0949627677431564</v>
      </c>
    </row>
    <row r="99" spans="13:76" x14ac:dyDescent="0.25">
      <c r="Q99">
        <f>N212+NumberOFF*COS(T99*PI()/180)</f>
        <v>-47.912499999999994</v>
      </c>
      <c r="R99">
        <f>O212-SIN(T99*PI()/180)*NumberOFF</f>
        <v>87.100504985619907</v>
      </c>
      <c r="S99">
        <f>100-S98</f>
        <v>-80</v>
      </c>
      <c r="T99">
        <f t="shared" si="60"/>
        <v>-60</v>
      </c>
      <c r="Y99" s="26"/>
      <c r="Z99" s="26"/>
      <c r="AB99" s="26" t="str">
        <f t="shared" ca="1" si="43"/>
        <v/>
      </c>
      <c r="AC99">
        <f t="shared" ca="1" si="57"/>
        <v>90</v>
      </c>
      <c r="AD99" t="str">
        <f ca="1">IF(AND(AT99&lt;1,MAX(AW99:BH99)&gt;dNULL),DATA!$D107,"")</f>
        <v/>
      </c>
      <c r="AE99" s="7" t="str">
        <f ca="1">IF(LEN(DATA!D107)&gt;0,SUMPRODUCT(OFFSET(DATA!$R$6,AE$5,0,1,10),DATA!$R107:$AA107),"")</f>
        <v/>
      </c>
      <c r="AF99" s="7" t="str">
        <f ca="1">IF(LEN(DATA!E107)&gt;0,SUMPRODUCT(OFFSET(DATA!$R$6,AF$5,0,1,10),DATA!$R107:$AA107),"")</f>
        <v/>
      </c>
      <c r="AG99" s="7" t="str">
        <f ca="1">IF(LEN(DATA!F107)&gt;0,SUMPRODUCT(OFFSET(DATA!$R$6,AG$5,0,1,10),DATA!$R107:$AA107),"")</f>
        <v/>
      </c>
      <c r="AH99" s="7" t="str">
        <f ca="1">IF(LEN(DATA!G107)&gt;0,SUMPRODUCT(OFFSET(DATA!$R$6,AH$5,0,1,10),DATA!$R107:$AA107),"")</f>
        <v/>
      </c>
      <c r="AI99" s="7" t="str">
        <f ca="1">IF(LEN(DATA!H107)&gt;0,SUMPRODUCT(OFFSET(DATA!$R$6,AI$5,0,1,10),DATA!$R107:$AA107),"")</f>
        <v/>
      </c>
      <c r="AJ99" s="7" t="str">
        <f ca="1">IF(LEN(DATA!I107)&gt;0,SUMPRODUCT(OFFSET(DATA!$R$6,AJ$5,0,1,10),DATA!$R107:$AA107),"")</f>
        <v/>
      </c>
      <c r="AK99" s="7"/>
      <c r="AL99" s="7" t="e">
        <f t="shared" ca="1" si="44"/>
        <v>#DIV/0!</v>
      </c>
      <c r="AM99" s="7" t="e">
        <f t="shared" ca="1" si="45"/>
        <v>#DIV/0!</v>
      </c>
      <c r="AN99" s="7" t="e">
        <f t="shared" ca="1" si="46"/>
        <v>#DIV/0!</v>
      </c>
      <c r="AO99" s="7" t="e">
        <f t="shared" ca="1" si="47"/>
        <v>#DIV/0!</v>
      </c>
      <c r="AP99" s="7" t="e">
        <f t="shared" ca="1" si="48"/>
        <v>#DIV/0!</v>
      </c>
      <c r="AQ99" s="7" t="e">
        <f t="shared" ca="1" si="49"/>
        <v>#DIV/0!</v>
      </c>
      <c r="AS99">
        <f t="shared" si="50"/>
        <v>3</v>
      </c>
      <c r="AT99">
        <f t="shared" si="51"/>
        <v>1</v>
      </c>
      <c r="AU99">
        <f t="shared" ca="1" si="52"/>
        <v>1.4836932469510691</v>
      </c>
      <c r="AV99">
        <f t="shared" ca="1" si="53"/>
        <v>0.17331070814368854</v>
      </c>
      <c r="AW99">
        <f ca="1">IF(AND($AT99&lt;3,OFFSET(DATA!$C$14,$AS99,0)=AW$6),$AV99,dNULL)</f>
        <v>-99</v>
      </c>
      <c r="AX99">
        <f ca="1">IF(AND($AT99&lt;3,OFFSET(DATA!$C$14,$AS99,0)=AX$6),$AV99,dNULL)</f>
        <v>-99</v>
      </c>
      <c r="AY99">
        <f ca="1">IF(AND($AT99&lt;3,OFFSET(DATA!$C$14,$AS99,0)=AY$6),$AV99,dNULL)</f>
        <v>0.17331070814368854</v>
      </c>
      <c r="AZ99">
        <f ca="1">IF(AND($AT99&lt;3,OFFSET(DATA!$C$14,$AS99,0)=AZ$6),$AV99,dNULL)</f>
        <v>-99</v>
      </c>
      <c r="BA99">
        <f ca="1">IF(AND($AT99&lt;3,OFFSET(DATA!$C$14,$AS99,0)=BA$6),$AV99,dNULL)</f>
        <v>-99</v>
      </c>
      <c r="BB99">
        <f ca="1">IF(AND($AT99&lt;3,OFFSET(DATA!$C$14,$AS99,0)=BB$6),$AV99,dNULL)</f>
        <v>-99</v>
      </c>
      <c r="BC99">
        <f ca="1">IF(AND($AT99&lt;3,OFFSET(DATA!$C$14,$AS99,0)=BC$6),$AV99,dNULL)</f>
        <v>-99</v>
      </c>
      <c r="BD99">
        <f ca="1">IF(AND($AT99&lt;3,OFFSET(DATA!$C$14,$AS99,0)=BD$6),$AV99,dNULL)</f>
        <v>-99</v>
      </c>
      <c r="BE99">
        <f ca="1">IF(AND($AT99&lt;3,OFFSET(DATA!$C$14,$AS99,0)=BE$6),$AV99,dNULL)</f>
        <v>-99</v>
      </c>
      <c r="BF99">
        <f ca="1">IF(AND($AT99&lt;3,OFFSET(DATA!$C$14,$AS99,0)=BF$6),$AV99,dNULL)</f>
        <v>-99</v>
      </c>
      <c r="BG99">
        <f ca="1">IF(AND($AT99&lt;3,OFFSET(DATA!$C$14,$AS99,0)=BG$6),$AV99,dNULL)</f>
        <v>-99</v>
      </c>
      <c r="BH99">
        <f ca="1">IF(AND($AT99&lt;3,OFFSET(DATA!$C$14,$AS99,0)=BH$6),$AV99,dNULL)</f>
        <v>-99</v>
      </c>
      <c r="BU99">
        <f t="shared" si="58"/>
        <v>1</v>
      </c>
      <c r="BV99">
        <f t="shared" si="59"/>
        <v>1.0200000000000005</v>
      </c>
      <c r="BW99">
        <f t="shared" ca="1" si="54"/>
        <v>0.2</v>
      </c>
      <c r="BX99">
        <f t="shared" ca="1" si="55"/>
        <v>-0.2</v>
      </c>
    </row>
    <row r="100" spans="13:76" x14ac:dyDescent="0.25">
      <c r="N100">
        <f>N10+1+dAnionOFF</f>
        <v>1.7</v>
      </c>
      <c r="O100">
        <f t="shared" si="61"/>
        <v>0</v>
      </c>
      <c r="Q100">
        <f>N214-NumberOFF*COS(T100*PI()/180)</f>
        <v>-48.387499999999996</v>
      </c>
      <c r="R100">
        <f>O214+SIN(T100*PI()/180)*NumberOFF</f>
        <v>85.931370690510917</v>
      </c>
      <c r="S100">
        <f>S98+$S$82</f>
        <v>200</v>
      </c>
      <c r="T100">
        <f t="shared" si="60"/>
        <v>-60</v>
      </c>
      <c r="Y100" s="26"/>
      <c r="Z100" s="26"/>
      <c r="AB100" s="26" t="str">
        <f t="shared" ca="1" si="43"/>
        <v/>
      </c>
      <c r="AC100">
        <f t="shared" ca="1" si="57"/>
        <v>90</v>
      </c>
      <c r="AD100" t="str">
        <f ca="1">IF(AND(AT100&lt;1,MAX(AW100:BH100)&gt;dNULL),DATA!$D108,"")</f>
        <v/>
      </c>
      <c r="AE100" s="7" t="str">
        <f ca="1">IF(LEN(DATA!D108)&gt;0,SUMPRODUCT(OFFSET(DATA!$R$6,AE$5,0,1,10),DATA!$R108:$AA108),"")</f>
        <v/>
      </c>
      <c r="AF100" s="7" t="str">
        <f ca="1">IF(LEN(DATA!E108)&gt;0,SUMPRODUCT(OFFSET(DATA!$R$6,AF$5,0,1,10),DATA!$R108:$AA108),"")</f>
        <v/>
      </c>
      <c r="AG100" s="7" t="str">
        <f ca="1">IF(LEN(DATA!F108)&gt;0,SUMPRODUCT(OFFSET(DATA!$R$6,AG$5,0,1,10),DATA!$R108:$AA108),"")</f>
        <v/>
      </c>
      <c r="AH100" s="7" t="str">
        <f ca="1">IF(LEN(DATA!G108)&gt;0,SUMPRODUCT(OFFSET(DATA!$R$6,AH$5,0,1,10),DATA!$R108:$AA108),"")</f>
        <v/>
      </c>
      <c r="AI100" s="7" t="str">
        <f ca="1">IF(LEN(DATA!H108)&gt;0,SUMPRODUCT(OFFSET(DATA!$R$6,AI$5,0,1,10),DATA!$R108:$AA108),"")</f>
        <v/>
      </c>
      <c r="AJ100" s="7" t="str">
        <f ca="1">IF(LEN(DATA!I108)&gt;0,SUMPRODUCT(OFFSET(DATA!$R$6,AJ$5,0,1,10),DATA!$R108:$AA108),"")</f>
        <v/>
      </c>
      <c r="AK100" s="7"/>
      <c r="AL100" s="7" t="e">
        <f t="shared" ca="1" si="44"/>
        <v>#DIV/0!</v>
      </c>
      <c r="AM100" s="7" t="e">
        <f t="shared" ca="1" si="45"/>
        <v>#DIV/0!</v>
      </c>
      <c r="AN100" s="7" t="e">
        <f t="shared" ca="1" si="46"/>
        <v>#DIV/0!</v>
      </c>
      <c r="AO100" s="7" t="e">
        <f t="shared" ca="1" si="47"/>
        <v>#DIV/0!</v>
      </c>
      <c r="AP100" s="7" t="e">
        <f t="shared" ca="1" si="48"/>
        <v>#DIV/0!</v>
      </c>
      <c r="AQ100" s="7" t="e">
        <f t="shared" ca="1" si="49"/>
        <v>#DIV/0!</v>
      </c>
      <c r="AS100">
        <f t="shared" si="50"/>
        <v>4</v>
      </c>
      <c r="AT100">
        <f t="shared" si="51"/>
        <v>1</v>
      </c>
      <c r="AU100">
        <f t="shared" ca="1" si="52"/>
        <v>1.4610495282826081</v>
      </c>
      <c r="AV100">
        <f t="shared" ca="1" si="53"/>
        <v>0.15328778953758743</v>
      </c>
      <c r="AW100">
        <f ca="1">IF(AND($AT100&lt;3,OFFSET(DATA!$C$14,$AS100,0)=AW$6),$AV100,dNULL)</f>
        <v>-99</v>
      </c>
      <c r="AX100">
        <f ca="1">IF(AND($AT100&lt;3,OFFSET(DATA!$C$14,$AS100,0)=AX$6),$AV100,dNULL)</f>
        <v>-99</v>
      </c>
      <c r="AY100">
        <f ca="1">IF(AND($AT100&lt;3,OFFSET(DATA!$C$14,$AS100,0)=AY$6),$AV100,dNULL)</f>
        <v>0.15328778953758743</v>
      </c>
      <c r="AZ100">
        <f ca="1">IF(AND($AT100&lt;3,OFFSET(DATA!$C$14,$AS100,0)=AZ$6),$AV100,dNULL)</f>
        <v>-99</v>
      </c>
      <c r="BA100">
        <f ca="1">IF(AND($AT100&lt;3,OFFSET(DATA!$C$14,$AS100,0)=BA$6),$AV100,dNULL)</f>
        <v>-99</v>
      </c>
      <c r="BB100">
        <f ca="1">IF(AND($AT100&lt;3,OFFSET(DATA!$C$14,$AS100,0)=BB$6),$AV100,dNULL)</f>
        <v>-99</v>
      </c>
      <c r="BC100">
        <f ca="1">IF(AND($AT100&lt;3,OFFSET(DATA!$C$14,$AS100,0)=BC$6),$AV100,dNULL)</f>
        <v>-99</v>
      </c>
      <c r="BD100">
        <f ca="1">IF(AND($AT100&lt;3,OFFSET(DATA!$C$14,$AS100,0)=BD$6),$AV100,dNULL)</f>
        <v>-99</v>
      </c>
      <c r="BE100">
        <f ca="1">IF(AND($AT100&lt;3,OFFSET(DATA!$C$14,$AS100,0)=BE$6),$AV100,dNULL)</f>
        <v>-99</v>
      </c>
      <c r="BF100">
        <f ca="1">IF(AND($AT100&lt;3,OFFSET(DATA!$C$14,$AS100,0)=BF$6),$AV100,dNULL)</f>
        <v>-99</v>
      </c>
      <c r="BG100">
        <f ca="1">IF(AND($AT100&lt;3,OFFSET(DATA!$C$14,$AS100,0)=BG$6),$AV100,dNULL)</f>
        <v>-99</v>
      </c>
      <c r="BH100">
        <f ca="1">IF(AND($AT100&lt;3,OFFSET(DATA!$C$14,$AS100,0)=BH$6),$AV100,dNULL)</f>
        <v>-99</v>
      </c>
      <c r="BU100">
        <f t="shared" si="58"/>
        <v>1</v>
      </c>
      <c r="BV100">
        <f t="shared" si="59"/>
        <v>1.0200000000000005</v>
      </c>
      <c r="BW100">
        <f t="shared" ca="1" si="54"/>
        <v>0.73787326966635991</v>
      </c>
      <c r="BX100">
        <f t="shared" ca="1" si="55"/>
        <v>-1.059185984075518</v>
      </c>
    </row>
    <row r="101" spans="13:76" x14ac:dyDescent="0.25">
      <c r="N101">
        <f>N11+1+dAnionOFF</f>
        <v>1.5</v>
      </c>
      <c r="O101">
        <f t="shared" si="61"/>
        <v>0.34641016151377546</v>
      </c>
      <c r="Q101">
        <f>N215+NumberOFF*COS(T101*PI()/180)</f>
        <v>-47.812499999999993</v>
      </c>
      <c r="R101">
        <f>O215-SIN(T101*PI()/180)*NumberOFF</f>
        <v>86.92729990486302</v>
      </c>
      <c r="S101">
        <f>100-S100</f>
        <v>-100</v>
      </c>
      <c r="T101">
        <f t="shared" si="60"/>
        <v>-60</v>
      </c>
      <c r="Y101" s="26"/>
      <c r="Z101" s="26"/>
      <c r="AB101" s="26" t="str">
        <f t="shared" ca="1" si="43"/>
        <v/>
      </c>
      <c r="AC101">
        <f t="shared" ca="1" si="57"/>
        <v>90</v>
      </c>
      <c r="AD101" t="str">
        <f ca="1">IF(AND(AT101&lt;1,MAX(AW101:BH101)&gt;dNULL),DATA!$D109,"")</f>
        <v/>
      </c>
      <c r="AE101" s="7" t="str">
        <f ca="1">IF(LEN(DATA!D109)&gt;0,SUMPRODUCT(OFFSET(DATA!$R$6,AE$5,0,1,10),DATA!$R109:$AA109),"")</f>
        <v/>
      </c>
      <c r="AF101" s="7" t="str">
        <f ca="1">IF(LEN(DATA!E109)&gt;0,SUMPRODUCT(OFFSET(DATA!$R$6,AF$5,0,1,10),DATA!$R109:$AA109),"")</f>
        <v/>
      </c>
      <c r="AG101" s="7" t="str">
        <f ca="1">IF(LEN(DATA!F109)&gt;0,SUMPRODUCT(OFFSET(DATA!$R$6,AG$5,0,1,10),DATA!$R109:$AA109),"")</f>
        <v/>
      </c>
      <c r="AH101" s="7" t="str">
        <f ca="1">IF(LEN(DATA!G109)&gt;0,SUMPRODUCT(OFFSET(DATA!$R$6,AH$5,0,1,10),DATA!$R109:$AA109),"")</f>
        <v/>
      </c>
      <c r="AI101" s="7" t="str">
        <f ca="1">IF(LEN(DATA!H109)&gt;0,SUMPRODUCT(OFFSET(DATA!$R$6,AI$5,0,1,10),DATA!$R109:$AA109),"")</f>
        <v/>
      </c>
      <c r="AJ101" s="7" t="str">
        <f ca="1">IF(LEN(DATA!I109)&gt;0,SUMPRODUCT(OFFSET(DATA!$R$6,AJ$5,0,1,10),DATA!$R109:$AA109),"")</f>
        <v/>
      </c>
      <c r="AK101" s="7"/>
      <c r="AL101" s="7" t="e">
        <f t="shared" ca="1" si="44"/>
        <v>#DIV/0!</v>
      </c>
      <c r="AM101" s="7" t="e">
        <f t="shared" ca="1" si="45"/>
        <v>#DIV/0!</v>
      </c>
      <c r="AN101" s="7" t="e">
        <f t="shared" ca="1" si="46"/>
        <v>#DIV/0!</v>
      </c>
      <c r="AO101" s="7" t="e">
        <f t="shared" ca="1" si="47"/>
        <v>#DIV/0!</v>
      </c>
      <c r="AP101" s="7" t="e">
        <f t="shared" ca="1" si="48"/>
        <v>#DIV/0!</v>
      </c>
      <c r="AQ101" s="7" t="e">
        <f t="shared" ca="1" si="49"/>
        <v>#DIV/0!</v>
      </c>
      <c r="AS101">
        <f t="shared" si="50"/>
        <v>5</v>
      </c>
      <c r="AT101">
        <f t="shared" si="51"/>
        <v>1</v>
      </c>
      <c r="AU101">
        <f t="shared" ca="1" si="52"/>
        <v>1.469680406560395</v>
      </c>
      <c r="AV101">
        <f t="shared" ca="1" si="53"/>
        <v>0.16206577228453509</v>
      </c>
      <c r="AW101">
        <f ca="1">IF(AND($AT101&lt;3,OFFSET(DATA!$C$14,$AS101,0)=AW$6),$AV101,dNULL)</f>
        <v>-99</v>
      </c>
      <c r="AX101">
        <f ca="1">IF(AND($AT101&lt;3,OFFSET(DATA!$C$14,$AS101,0)=AX$6),$AV101,dNULL)</f>
        <v>-99</v>
      </c>
      <c r="AY101">
        <f ca="1">IF(AND($AT101&lt;3,OFFSET(DATA!$C$14,$AS101,0)=AY$6),$AV101,dNULL)</f>
        <v>0.16206577228453509</v>
      </c>
      <c r="AZ101">
        <f ca="1">IF(AND($AT101&lt;3,OFFSET(DATA!$C$14,$AS101,0)=AZ$6),$AV101,dNULL)</f>
        <v>-99</v>
      </c>
      <c r="BA101">
        <f ca="1">IF(AND($AT101&lt;3,OFFSET(DATA!$C$14,$AS101,0)=BA$6),$AV101,dNULL)</f>
        <v>-99</v>
      </c>
      <c r="BB101">
        <f ca="1">IF(AND($AT101&lt;3,OFFSET(DATA!$C$14,$AS101,0)=BB$6),$AV101,dNULL)</f>
        <v>-99</v>
      </c>
      <c r="BC101">
        <f ca="1">IF(AND($AT101&lt;3,OFFSET(DATA!$C$14,$AS101,0)=BC$6),$AV101,dNULL)</f>
        <v>-99</v>
      </c>
      <c r="BD101">
        <f ca="1">IF(AND($AT101&lt;3,OFFSET(DATA!$C$14,$AS101,0)=BD$6),$AV101,dNULL)</f>
        <v>-99</v>
      </c>
      <c r="BE101">
        <f ca="1">IF(AND($AT101&lt;3,OFFSET(DATA!$C$14,$AS101,0)=BE$6),$AV101,dNULL)</f>
        <v>-99</v>
      </c>
      <c r="BF101">
        <f ca="1">IF(AND($AT101&lt;3,OFFSET(DATA!$C$14,$AS101,0)=BF$6),$AV101,dNULL)</f>
        <v>-99</v>
      </c>
      <c r="BG101">
        <f ca="1">IF(AND($AT101&lt;3,OFFSET(DATA!$C$14,$AS101,0)=BG$6),$AV101,dNULL)</f>
        <v>-99</v>
      </c>
      <c r="BH101">
        <f ca="1">IF(AND($AT101&lt;3,OFFSET(DATA!$C$14,$AS101,0)=BH$6),$AV101,dNULL)</f>
        <v>-99</v>
      </c>
      <c r="BU101">
        <f t="shared" si="58"/>
        <v>1</v>
      </c>
      <c r="BV101">
        <f t="shared" si="59"/>
        <v>1.0400000000000005</v>
      </c>
      <c r="BW101">
        <f t="shared" ca="1" si="54"/>
        <v>0.2</v>
      </c>
      <c r="BX101">
        <f t="shared" ca="1" si="55"/>
        <v>-0.2</v>
      </c>
    </row>
    <row r="102" spans="13:76" x14ac:dyDescent="0.25">
      <c r="Y102" s="26"/>
      <c r="Z102" s="26"/>
      <c r="AB102" s="26" t="str">
        <f t="shared" ca="1" si="43"/>
        <v/>
      </c>
      <c r="AC102">
        <f t="shared" ca="1" si="57"/>
        <v>90</v>
      </c>
      <c r="AD102" t="str">
        <f ca="1">IF(AND(AT102&lt;1,MAX(AW102:BH102)&gt;dNULL),DATA!$D110,"")</f>
        <v/>
      </c>
      <c r="AE102" s="7" t="str">
        <f ca="1">IF(LEN(DATA!D110)&gt;0,SUMPRODUCT(OFFSET(DATA!$R$6,AE$5,0,1,10),DATA!$R110:$AA110),"")</f>
        <v/>
      </c>
      <c r="AF102" s="7" t="str">
        <f ca="1">IF(LEN(DATA!E110)&gt;0,SUMPRODUCT(OFFSET(DATA!$R$6,AF$5,0,1,10),DATA!$R110:$AA110),"")</f>
        <v/>
      </c>
      <c r="AG102" s="7" t="str">
        <f ca="1">IF(LEN(DATA!F110)&gt;0,SUMPRODUCT(OFFSET(DATA!$R$6,AG$5,0,1,10),DATA!$R110:$AA110),"")</f>
        <v/>
      </c>
      <c r="AH102" s="7" t="str">
        <f ca="1">IF(LEN(DATA!G110)&gt;0,SUMPRODUCT(OFFSET(DATA!$R$6,AH$5,0,1,10),DATA!$R110:$AA110),"")</f>
        <v/>
      </c>
      <c r="AI102" s="7" t="str">
        <f ca="1">IF(LEN(DATA!H110)&gt;0,SUMPRODUCT(OFFSET(DATA!$R$6,AI$5,0,1,10),DATA!$R110:$AA110),"")</f>
        <v/>
      </c>
      <c r="AJ102" s="7" t="str">
        <f ca="1">IF(LEN(DATA!I110)&gt;0,SUMPRODUCT(OFFSET(DATA!$R$6,AJ$5,0,1,10),DATA!$R110:$AA110),"")</f>
        <v/>
      </c>
      <c r="AK102" s="7"/>
      <c r="AL102" s="7" t="e">
        <f t="shared" ca="1" si="44"/>
        <v>#DIV/0!</v>
      </c>
      <c r="AM102" s="7" t="e">
        <f t="shared" ca="1" si="45"/>
        <v>#DIV/0!</v>
      </c>
      <c r="AN102" s="7" t="e">
        <f t="shared" ca="1" si="46"/>
        <v>#DIV/0!</v>
      </c>
      <c r="AO102" s="7" t="e">
        <f t="shared" ca="1" si="47"/>
        <v>#DIV/0!</v>
      </c>
      <c r="AP102" s="7" t="e">
        <f t="shared" ca="1" si="48"/>
        <v>#DIV/0!</v>
      </c>
      <c r="AQ102" s="7" t="e">
        <f t="shared" ca="1" si="49"/>
        <v>#DIV/0!</v>
      </c>
      <c r="AS102">
        <f t="shared" si="50"/>
        <v>6</v>
      </c>
      <c r="AT102">
        <f t="shared" si="51"/>
        <v>1</v>
      </c>
      <c r="AU102">
        <f t="shared" ca="1" si="52"/>
        <v>1.4551155115511551</v>
      </c>
      <c r="AV102">
        <f t="shared" ca="1" si="53"/>
        <v>0.17149017896721558</v>
      </c>
      <c r="AW102">
        <f ca="1">IF(AND($AT102&lt;3,OFFSET(DATA!$C$14,$AS102,0)=AW$6),$AV102,dNULL)</f>
        <v>-99</v>
      </c>
      <c r="AX102">
        <f ca="1">IF(AND($AT102&lt;3,OFFSET(DATA!$C$14,$AS102,0)=AX$6),$AV102,dNULL)</f>
        <v>-99</v>
      </c>
      <c r="AY102">
        <f ca="1">IF(AND($AT102&lt;3,OFFSET(DATA!$C$14,$AS102,0)=AY$6),$AV102,dNULL)</f>
        <v>0.17149017896721558</v>
      </c>
      <c r="AZ102">
        <f ca="1">IF(AND($AT102&lt;3,OFFSET(DATA!$C$14,$AS102,0)=AZ$6),$AV102,dNULL)</f>
        <v>-99</v>
      </c>
      <c r="BA102">
        <f ca="1">IF(AND($AT102&lt;3,OFFSET(DATA!$C$14,$AS102,0)=BA$6),$AV102,dNULL)</f>
        <v>-99</v>
      </c>
      <c r="BB102">
        <f ca="1">IF(AND($AT102&lt;3,OFFSET(DATA!$C$14,$AS102,0)=BB$6),$AV102,dNULL)</f>
        <v>-99</v>
      </c>
      <c r="BC102">
        <f ca="1">IF(AND($AT102&lt;3,OFFSET(DATA!$C$14,$AS102,0)=BC$6),$AV102,dNULL)</f>
        <v>-99</v>
      </c>
      <c r="BD102">
        <f ca="1">IF(AND($AT102&lt;3,OFFSET(DATA!$C$14,$AS102,0)=BD$6),$AV102,dNULL)</f>
        <v>-99</v>
      </c>
      <c r="BE102">
        <f ca="1">IF(AND($AT102&lt;3,OFFSET(DATA!$C$14,$AS102,0)=BE$6),$AV102,dNULL)</f>
        <v>-99</v>
      </c>
      <c r="BF102">
        <f ca="1">IF(AND($AT102&lt;3,OFFSET(DATA!$C$14,$AS102,0)=BF$6),$AV102,dNULL)</f>
        <v>-99</v>
      </c>
      <c r="BG102">
        <f ca="1">IF(AND($AT102&lt;3,OFFSET(DATA!$C$14,$AS102,0)=BG$6),$AV102,dNULL)</f>
        <v>-99</v>
      </c>
      <c r="BH102">
        <f ca="1">IF(AND($AT102&lt;3,OFFSET(DATA!$C$14,$AS102,0)=BH$6),$AV102,dNULL)</f>
        <v>-99</v>
      </c>
      <c r="BU102">
        <f t="shared" si="58"/>
        <v>1</v>
      </c>
      <c r="BV102">
        <f t="shared" si="59"/>
        <v>1.0400000000000005</v>
      </c>
      <c r="BW102">
        <f t="shared" ca="1" si="54"/>
        <v>0.67815545125176557</v>
      </c>
      <c r="BX102">
        <f t="shared" ca="1" si="55"/>
        <v>-1.0234092004078794</v>
      </c>
    </row>
    <row r="103" spans="13:76" x14ac:dyDescent="0.25">
      <c r="N103">
        <f>N13+1+dAnionOFF</f>
        <v>1.9000000000000001</v>
      </c>
      <c r="O103">
        <f t="shared" si="61"/>
        <v>0</v>
      </c>
      <c r="Q103">
        <f>N217+NumberOFF*COS(T103*PI()/180)</f>
        <v>1.2875000000000003</v>
      </c>
      <c r="R103">
        <f>O217-SIN(T103*PI()/180)*NumberOFF</f>
        <v>0.36806079660838642</v>
      </c>
      <c r="S103">
        <f>S83</f>
        <v>80</v>
      </c>
      <c r="T103">
        <v>60</v>
      </c>
      <c r="Y103" s="26"/>
      <c r="Z103" s="26"/>
      <c r="AB103" s="26" t="str">
        <f t="shared" ca="1" si="43"/>
        <v/>
      </c>
      <c r="AC103">
        <f t="shared" ca="1" si="57"/>
        <v>90</v>
      </c>
      <c r="AD103" t="str">
        <f ca="1">IF(AND(AT103&lt;1,MAX(AW103:BH103)&gt;dNULL),DATA!$D111,"")</f>
        <v/>
      </c>
      <c r="AE103" s="7" t="str">
        <f ca="1">IF(LEN(DATA!D111)&gt;0,SUMPRODUCT(OFFSET(DATA!$R$6,AE$5,0,1,10),DATA!$R111:$AA111),"")</f>
        <v/>
      </c>
      <c r="AF103" s="7" t="str">
        <f ca="1">IF(LEN(DATA!E111)&gt;0,SUMPRODUCT(OFFSET(DATA!$R$6,AF$5,0,1,10),DATA!$R111:$AA111),"")</f>
        <v/>
      </c>
      <c r="AG103" s="7" t="str">
        <f ca="1">IF(LEN(DATA!F111)&gt;0,SUMPRODUCT(OFFSET(DATA!$R$6,AG$5,0,1,10),DATA!$R111:$AA111),"")</f>
        <v/>
      </c>
      <c r="AH103" s="7" t="str">
        <f ca="1">IF(LEN(DATA!G111)&gt;0,SUMPRODUCT(OFFSET(DATA!$R$6,AH$5,0,1,10),DATA!$R111:$AA111),"")</f>
        <v/>
      </c>
      <c r="AI103" s="7" t="str">
        <f ca="1">IF(LEN(DATA!H111)&gt;0,SUMPRODUCT(OFFSET(DATA!$R$6,AI$5,0,1,10),DATA!$R111:$AA111),"")</f>
        <v/>
      </c>
      <c r="AJ103" s="7" t="str">
        <f ca="1">IF(LEN(DATA!I111)&gt;0,SUMPRODUCT(OFFSET(DATA!$R$6,AJ$5,0,1,10),DATA!$R111:$AA111),"")</f>
        <v/>
      </c>
      <c r="AK103" s="7"/>
      <c r="AL103" s="7" t="e">
        <f t="shared" ca="1" si="44"/>
        <v>#DIV/0!</v>
      </c>
      <c r="AM103" s="7" t="e">
        <f t="shared" ca="1" si="45"/>
        <v>#DIV/0!</v>
      </c>
      <c r="AN103" s="7" t="e">
        <f t="shared" ca="1" si="46"/>
        <v>#DIV/0!</v>
      </c>
      <c r="AO103" s="7" t="e">
        <f t="shared" ca="1" si="47"/>
        <v>#DIV/0!</v>
      </c>
      <c r="AP103" s="7" t="e">
        <f t="shared" ca="1" si="48"/>
        <v>#DIV/0!</v>
      </c>
      <c r="AQ103" s="7" t="e">
        <f t="shared" ca="1" si="49"/>
        <v>#DIV/0!</v>
      </c>
      <c r="AS103">
        <f t="shared" si="50"/>
        <v>7</v>
      </c>
      <c r="AT103">
        <f t="shared" si="51"/>
        <v>1</v>
      </c>
      <c r="AU103">
        <f t="shared" ca="1" si="52"/>
        <v>1.5506203473945408</v>
      </c>
      <c r="AV103">
        <f t="shared" ca="1" si="53"/>
        <v>0.28795881912435423</v>
      </c>
      <c r="AW103">
        <f ca="1">IF(AND($AT103&lt;3,OFFSET(DATA!$C$14,$AS103,0)=AW$6),$AV103,dNULL)</f>
        <v>-99</v>
      </c>
      <c r="AX103">
        <f ca="1">IF(AND($AT103&lt;3,OFFSET(DATA!$C$14,$AS103,0)=AX$6),$AV103,dNULL)</f>
        <v>-99</v>
      </c>
      <c r="AY103">
        <f ca="1">IF(AND($AT103&lt;3,OFFSET(DATA!$C$14,$AS103,0)=AY$6),$AV103,dNULL)</f>
        <v>0.28795881912435423</v>
      </c>
      <c r="AZ103">
        <f ca="1">IF(AND($AT103&lt;3,OFFSET(DATA!$C$14,$AS103,0)=AZ$6),$AV103,dNULL)</f>
        <v>-99</v>
      </c>
      <c r="BA103">
        <f ca="1">IF(AND($AT103&lt;3,OFFSET(DATA!$C$14,$AS103,0)=BA$6),$AV103,dNULL)</f>
        <v>-99</v>
      </c>
      <c r="BB103">
        <f ca="1">IF(AND($AT103&lt;3,OFFSET(DATA!$C$14,$AS103,0)=BB$6),$AV103,dNULL)</f>
        <v>-99</v>
      </c>
      <c r="BC103">
        <f ca="1">IF(AND($AT103&lt;3,OFFSET(DATA!$C$14,$AS103,0)=BC$6),$AV103,dNULL)</f>
        <v>-99</v>
      </c>
      <c r="BD103">
        <f ca="1">IF(AND($AT103&lt;3,OFFSET(DATA!$C$14,$AS103,0)=BD$6),$AV103,dNULL)</f>
        <v>-99</v>
      </c>
      <c r="BE103">
        <f ca="1">IF(AND($AT103&lt;3,OFFSET(DATA!$C$14,$AS103,0)=BE$6),$AV103,dNULL)</f>
        <v>-99</v>
      </c>
      <c r="BF103">
        <f ca="1">IF(AND($AT103&lt;3,OFFSET(DATA!$C$14,$AS103,0)=BF$6),$AV103,dNULL)</f>
        <v>-99</v>
      </c>
      <c r="BG103">
        <f ca="1">IF(AND($AT103&lt;3,OFFSET(DATA!$C$14,$AS103,0)=BG$6),$AV103,dNULL)</f>
        <v>-99</v>
      </c>
      <c r="BH103">
        <f ca="1">IF(AND($AT103&lt;3,OFFSET(DATA!$C$14,$AS103,0)=BH$6),$AV103,dNULL)</f>
        <v>-99</v>
      </c>
      <c r="BU103">
        <f t="shared" si="58"/>
        <v>1</v>
      </c>
      <c r="BV103">
        <f t="shared" si="59"/>
        <v>1.0600000000000005</v>
      </c>
      <c r="BW103">
        <f t="shared" ca="1" si="54"/>
        <v>0.2</v>
      </c>
      <c r="BX103">
        <f t="shared" ca="1" si="55"/>
        <v>-0.2</v>
      </c>
    </row>
    <row r="104" spans="13:76" x14ac:dyDescent="0.25">
      <c r="N104">
        <f>N14+1+dAnionOFF</f>
        <v>1.6</v>
      </c>
      <c r="O104">
        <f t="shared" si="61"/>
        <v>0.51961524227066325</v>
      </c>
      <c r="Q104">
        <f>N218-NumberOFF*COS(T104*PI()/180)</f>
        <v>0.71250000000000024</v>
      </c>
      <c r="R104">
        <f>O218+SIN(T104*PI()/180)*NumberOFF</f>
        <v>1.363990010960491</v>
      </c>
      <c r="S104">
        <f>S82</f>
        <v>20</v>
      </c>
      <c r="T104">
        <v>60</v>
      </c>
      <c r="Y104" s="26"/>
      <c r="Z104" s="26"/>
      <c r="AB104" s="26" t="str">
        <f t="shared" ca="1" si="43"/>
        <v/>
      </c>
      <c r="AC104">
        <f t="shared" ca="1" si="57"/>
        <v>90</v>
      </c>
      <c r="AD104" t="str">
        <f ca="1">IF(AND(AT104&lt;1,MAX(AW104:BH104)&gt;dNULL),DATA!$D112,"")</f>
        <v/>
      </c>
      <c r="AE104" s="7" t="str">
        <f ca="1">IF(LEN(DATA!D112)&gt;0,SUMPRODUCT(OFFSET(DATA!$R$6,AE$5,0,1,10),DATA!$R112:$AA112),"")</f>
        <v/>
      </c>
      <c r="AF104" s="7" t="str">
        <f ca="1">IF(LEN(DATA!E112)&gt;0,SUMPRODUCT(OFFSET(DATA!$R$6,AF$5,0,1,10),DATA!$R112:$AA112),"")</f>
        <v/>
      </c>
      <c r="AG104" s="7" t="str">
        <f ca="1">IF(LEN(DATA!F112)&gt;0,SUMPRODUCT(OFFSET(DATA!$R$6,AG$5,0,1,10),DATA!$R112:$AA112),"")</f>
        <v/>
      </c>
      <c r="AH104" s="7" t="str">
        <f ca="1">IF(LEN(DATA!G112)&gt;0,SUMPRODUCT(OFFSET(DATA!$R$6,AH$5,0,1,10),DATA!$R112:$AA112),"")</f>
        <v/>
      </c>
      <c r="AI104" s="7" t="str">
        <f ca="1">IF(LEN(DATA!H112)&gt;0,SUMPRODUCT(OFFSET(DATA!$R$6,AI$5,0,1,10),DATA!$R112:$AA112),"")</f>
        <v/>
      </c>
      <c r="AJ104" s="7" t="str">
        <f ca="1">IF(LEN(DATA!I112)&gt;0,SUMPRODUCT(OFFSET(DATA!$R$6,AJ$5,0,1,10),DATA!$R112:$AA112),"")</f>
        <v/>
      </c>
      <c r="AK104" s="7"/>
      <c r="AL104" s="7" t="e">
        <f t="shared" ca="1" si="44"/>
        <v>#DIV/0!</v>
      </c>
      <c r="AM104" s="7" t="e">
        <f t="shared" ca="1" si="45"/>
        <v>#DIV/0!</v>
      </c>
      <c r="AN104" s="7" t="e">
        <f t="shared" ca="1" si="46"/>
        <v>#DIV/0!</v>
      </c>
      <c r="AO104" s="7" t="e">
        <f t="shared" ca="1" si="47"/>
        <v>#DIV/0!</v>
      </c>
      <c r="AP104" s="7" t="e">
        <f t="shared" ca="1" si="48"/>
        <v>#DIV/0!</v>
      </c>
      <c r="AQ104" s="7" t="e">
        <f t="shared" ca="1" si="49"/>
        <v>#DIV/0!</v>
      </c>
      <c r="AS104">
        <f t="shared" si="50"/>
        <v>8</v>
      </c>
      <c r="AT104">
        <f t="shared" si="51"/>
        <v>1</v>
      </c>
      <c r="AU104">
        <f t="shared" ca="1" si="52"/>
        <v>1.5554835927185113</v>
      </c>
      <c r="AV104">
        <f t="shared" ca="1" si="53"/>
        <v>0.30055109411507125</v>
      </c>
      <c r="AW104">
        <f ca="1">IF(AND($AT104&lt;3,OFFSET(DATA!$C$14,$AS104,0)=AW$6),$AV104,dNULL)</f>
        <v>-99</v>
      </c>
      <c r="AX104">
        <f ca="1">IF(AND($AT104&lt;3,OFFSET(DATA!$C$14,$AS104,0)=AX$6),$AV104,dNULL)</f>
        <v>-99</v>
      </c>
      <c r="AY104">
        <f ca="1">IF(AND($AT104&lt;3,OFFSET(DATA!$C$14,$AS104,0)=AY$6),$AV104,dNULL)</f>
        <v>0.30055109411507125</v>
      </c>
      <c r="AZ104">
        <f ca="1">IF(AND($AT104&lt;3,OFFSET(DATA!$C$14,$AS104,0)=AZ$6),$AV104,dNULL)</f>
        <v>-99</v>
      </c>
      <c r="BA104">
        <f ca="1">IF(AND($AT104&lt;3,OFFSET(DATA!$C$14,$AS104,0)=BA$6),$AV104,dNULL)</f>
        <v>-99</v>
      </c>
      <c r="BB104">
        <f ca="1">IF(AND($AT104&lt;3,OFFSET(DATA!$C$14,$AS104,0)=BB$6),$AV104,dNULL)</f>
        <v>-99</v>
      </c>
      <c r="BC104">
        <f ca="1">IF(AND($AT104&lt;3,OFFSET(DATA!$C$14,$AS104,0)=BC$6),$AV104,dNULL)</f>
        <v>-99</v>
      </c>
      <c r="BD104">
        <f ca="1">IF(AND($AT104&lt;3,OFFSET(DATA!$C$14,$AS104,0)=BD$6),$AV104,dNULL)</f>
        <v>-99</v>
      </c>
      <c r="BE104">
        <f ca="1">IF(AND($AT104&lt;3,OFFSET(DATA!$C$14,$AS104,0)=BE$6),$AV104,dNULL)</f>
        <v>-99</v>
      </c>
      <c r="BF104">
        <f ca="1">IF(AND($AT104&lt;3,OFFSET(DATA!$C$14,$AS104,0)=BF$6),$AV104,dNULL)</f>
        <v>-99</v>
      </c>
      <c r="BG104">
        <f ca="1">IF(AND($AT104&lt;3,OFFSET(DATA!$C$14,$AS104,0)=BG$6),$AV104,dNULL)</f>
        <v>-99</v>
      </c>
      <c r="BH104">
        <f ca="1">IF(AND($AT104&lt;3,OFFSET(DATA!$C$14,$AS104,0)=BH$6),$AV104,dNULL)</f>
        <v>-99</v>
      </c>
      <c r="BU104">
        <f t="shared" si="58"/>
        <v>1</v>
      </c>
      <c r="BV104">
        <f t="shared" si="59"/>
        <v>1.0600000000000005</v>
      </c>
      <c r="BW104">
        <f t="shared" ca="1" si="54"/>
        <v>0.61843763283717079</v>
      </c>
      <c r="BX104">
        <f t="shared" ca="1" si="55"/>
        <v>-0.98763241674024105</v>
      </c>
    </row>
    <row r="105" spans="13:76" x14ac:dyDescent="0.25">
      <c r="Q105">
        <f>N220+NumberOFF*COS(T106*PI()/180)</f>
        <v>1.3875000000000002</v>
      </c>
      <c r="R105">
        <f>O220-SIN(T106*PI()/180)*NumberOFF</f>
        <v>0.54126587736527421</v>
      </c>
      <c r="S105">
        <f>S85</f>
        <v>60</v>
      </c>
      <c r="T105">
        <v>60</v>
      </c>
      <c r="Y105" s="26"/>
      <c r="Z105" s="26"/>
      <c r="AB105" s="26" t="str">
        <f t="shared" ca="1" si="43"/>
        <v/>
      </c>
      <c r="AC105">
        <f t="shared" ca="1" si="57"/>
        <v>90</v>
      </c>
      <c r="AD105" t="str">
        <f ca="1">IF(AND(AT105&lt;1,MAX(AW105:BH105)&gt;dNULL),DATA!$D113,"")</f>
        <v/>
      </c>
      <c r="AE105" s="7" t="str">
        <f ca="1">IF(LEN(DATA!D113)&gt;0,SUMPRODUCT(OFFSET(DATA!$R$6,AE$5,0,1,10),DATA!$R113:$AA113),"")</f>
        <v/>
      </c>
      <c r="AF105" s="7" t="str">
        <f ca="1">IF(LEN(DATA!E113)&gt;0,SUMPRODUCT(OFFSET(DATA!$R$6,AF$5,0,1,10),DATA!$R113:$AA113),"")</f>
        <v/>
      </c>
      <c r="AG105" s="7" t="str">
        <f ca="1">IF(LEN(DATA!F113)&gt;0,SUMPRODUCT(OFFSET(DATA!$R$6,AG$5,0,1,10),DATA!$R113:$AA113),"")</f>
        <v/>
      </c>
      <c r="AH105" s="7" t="str">
        <f ca="1">IF(LEN(DATA!G113)&gt;0,SUMPRODUCT(OFFSET(DATA!$R$6,AH$5,0,1,10),DATA!$R113:$AA113),"")</f>
        <v/>
      </c>
      <c r="AI105" s="7" t="str">
        <f ca="1">IF(LEN(DATA!H113)&gt;0,SUMPRODUCT(OFFSET(DATA!$R$6,AI$5,0,1,10),DATA!$R113:$AA113),"")</f>
        <v/>
      </c>
      <c r="AJ105" s="7" t="str">
        <f ca="1">IF(LEN(DATA!I113)&gt;0,SUMPRODUCT(OFFSET(DATA!$R$6,AJ$5,0,1,10),DATA!$R113:$AA113),"")</f>
        <v/>
      </c>
      <c r="AK105" s="7"/>
      <c r="AL105" s="7" t="e">
        <f t="shared" ca="1" si="44"/>
        <v>#DIV/0!</v>
      </c>
      <c r="AM105" s="7" t="e">
        <f t="shared" ca="1" si="45"/>
        <v>#DIV/0!</v>
      </c>
      <c r="AN105" s="7" t="e">
        <f t="shared" ca="1" si="46"/>
        <v>#DIV/0!</v>
      </c>
      <c r="AO105" s="7" t="e">
        <f t="shared" ca="1" si="47"/>
        <v>#DIV/0!</v>
      </c>
      <c r="AP105" s="7" t="e">
        <f t="shared" ca="1" si="48"/>
        <v>#DIV/0!</v>
      </c>
      <c r="AQ105" s="7" t="e">
        <f t="shared" ca="1" si="49"/>
        <v>#DIV/0!</v>
      </c>
      <c r="AS105">
        <f t="shared" si="50"/>
        <v>9</v>
      </c>
      <c r="AT105">
        <f t="shared" si="51"/>
        <v>1</v>
      </c>
      <c r="AU105">
        <f t="shared" ca="1" si="52"/>
        <v>1.4700038287520671</v>
      </c>
      <c r="AV105">
        <f t="shared" ca="1" si="53"/>
        <v>0.15234700110446397</v>
      </c>
      <c r="AW105">
        <f ca="1">IF(AND($AT105&lt;3,OFFSET(DATA!$C$14,$AS105,0)=AW$6),$AV105,dNULL)</f>
        <v>-99</v>
      </c>
      <c r="AX105">
        <f ca="1">IF(AND($AT105&lt;3,OFFSET(DATA!$C$14,$AS105,0)=AX$6),$AV105,dNULL)</f>
        <v>-99</v>
      </c>
      <c r="AY105">
        <f ca="1">IF(AND($AT105&lt;3,OFFSET(DATA!$C$14,$AS105,0)=AY$6),$AV105,dNULL)</f>
        <v>0.15234700110446397</v>
      </c>
      <c r="AZ105">
        <f ca="1">IF(AND($AT105&lt;3,OFFSET(DATA!$C$14,$AS105,0)=AZ$6),$AV105,dNULL)</f>
        <v>-99</v>
      </c>
      <c r="BA105">
        <f ca="1">IF(AND($AT105&lt;3,OFFSET(DATA!$C$14,$AS105,0)=BA$6),$AV105,dNULL)</f>
        <v>-99</v>
      </c>
      <c r="BB105">
        <f ca="1">IF(AND($AT105&lt;3,OFFSET(DATA!$C$14,$AS105,0)=BB$6),$AV105,dNULL)</f>
        <v>-99</v>
      </c>
      <c r="BC105">
        <f ca="1">IF(AND($AT105&lt;3,OFFSET(DATA!$C$14,$AS105,0)=BC$6),$AV105,dNULL)</f>
        <v>-99</v>
      </c>
      <c r="BD105">
        <f ca="1">IF(AND($AT105&lt;3,OFFSET(DATA!$C$14,$AS105,0)=BD$6),$AV105,dNULL)</f>
        <v>-99</v>
      </c>
      <c r="BE105">
        <f ca="1">IF(AND($AT105&lt;3,OFFSET(DATA!$C$14,$AS105,0)=BE$6),$AV105,dNULL)</f>
        <v>-99</v>
      </c>
      <c r="BF105">
        <f ca="1">IF(AND($AT105&lt;3,OFFSET(DATA!$C$14,$AS105,0)=BF$6),$AV105,dNULL)</f>
        <v>-99</v>
      </c>
      <c r="BG105">
        <f ca="1">IF(AND($AT105&lt;3,OFFSET(DATA!$C$14,$AS105,0)=BG$6),$AV105,dNULL)</f>
        <v>-99</v>
      </c>
      <c r="BH105">
        <f ca="1">IF(AND($AT105&lt;3,OFFSET(DATA!$C$14,$AS105,0)=BH$6),$AV105,dNULL)</f>
        <v>-99</v>
      </c>
      <c r="BU105">
        <f t="shared" si="58"/>
        <v>1</v>
      </c>
      <c r="BV105">
        <f t="shared" si="59"/>
        <v>1.0800000000000005</v>
      </c>
      <c r="BW105">
        <f t="shared" ca="1" si="54"/>
        <v>0.2</v>
      </c>
      <c r="BX105">
        <f t="shared" ca="1" si="55"/>
        <v>-0.2</v>
      </c>
    </row>
    <row r="106" spans="13:76" x14ac:dyDescent="0.25">
      <c r="N106">
        <f>N16+1+dAnionOFF</f>
        <v>2.1</v>
      </c>
      <c r="O106">
        <f t="shared" si="61"/>
        <v>0</v>
      </c>
      <c r="Q106">
        <f>N221-NumberOFF*COS(T107*PI()/180)</f>
        <v>0.81250000000000011</v>
      </c>
      <c r="R106">
        <f>O221+SIN(T107*PI()/180)*NumberOFF</f>
        <v>1.5371950917173787</v>
      </c>
      <c r="S106">
        <f>S84</f>
        <v>40</v>
      </c>
      <c r="T106">
        <v>60</v>
      </c>
      <c r="Y106" s="26"/>
      <c r="Z106" s="26"/>
      <c r="AB106" s="26" t="str">
        <f t="shared" ca="1" si="43"/>
        <v/>
      </c>
      <c r="AC106">
        <f t="shared" ca="1" si="57"/>
        <v>90</v>
      </c>
      <c r="AD106" t="str">
        <f ca="1">IF(AND(AT106&lt;1,MAX(AW106:BH106)&gt;dNULL),DATA!$D114,"")</f>
        <v/>
      </c>
      <c r="AE106" s="7" t="str">
        <f ca="1">IF(LEN(DATA!D114)&gt;0,SUMPRODUCT(OFFSET(DATA!$R$6,AE$5,0,1,10),DATA!$R114:$AA114),"")</f>
        <v/>
      </c>
      <c r="AF106" s="7" t="str">
        <f ca="1">IF(LEN(DATA!E114)&gt;0,SUMPRODUCT(OFFSET(DATA!$R$6,AF$5,0,1,10),DATA!$R114:$AA114),"")</f>
        <v/>
      </c>
      <c r="AG106" s="7" t="str">
        <f ca="1">IF(LEN(DATA!F114)&gt;0,SUMPRODUCT(OFFSET(DATA!$R$6,AG$5,0,1,10),DATA!$R114:$AA114),"")</f>
        <v/>
      </c>
      <c r="AH106" s="7" t="str">
        <f ca="1">IF(LEN(DATA!G114)&gt;0,SUMPRODUCT(OFFSET(DATA!$R$6,AH$5,0,1,10),DATA!$R114:$AA114),"")</f>
        <v/>
      </c>
      <c r="AI106" s="7" t="str">
        <f ca="1">IF(LEN(DATA!H114)&gt;0,SUMPRODUCT(OFFSET(DATA!$R$6,AI$5,0,1,10),DATA!$R114:$AA114),"")</f>
        <v/>
      </c>
      <c r="AJ106" s="7" t="str">
        <f ca="1">IF(LEN(DATA!I114)&gt;0,SUMPRODUCT(OFFSET(DATA!$R$6,AJ$5,0,1,10),DATA!$R114:$AA114),"")</f>
        <v/>
      </c>
      <c r="AK106" s="7"/>
      <c r="AL106" s="7" t="e">
        <f t="shared" ca="1" si="44"/>
        <v>#DIV/0!</v>
      </c>
      <c r="AM106" s="7" t="e">
        <f t="shared" ca="1" si="45"/>
        <v>#DIV/0!</v>
      </c>
      <c r="AN106" s="7" t="e">
        <f t="shared" ca="1" si="46"/>
        <v>#DIV/0!</v>
      </c>
      <c r="AO106" s="7" t="e">
        <f t="shared" ca="1" si="47"/>
        <v>#DIV/0!</v>
      </c>
      <c r="AP106" s="7" t="e">
        <f t="shared" ca="1" si="48"/>
        <v>#DIV/0!</v>
      </c>
      <c r="AQ106" s="7" t="e">
        <f t="shared" ca="1" si="49"/>
        <v>#DIV/0!</v>
      </c>
      <c r="AS106">
        <f t="shared" si="50"/>
        <v>10</v>
      </c>
      <c r="AT106">
        <f t="shared" si="51"/>
        <v>1</v>
      </c>
      <c r="AU106">
        <f t="shared" ca="1" si="52"/>
        <v>1.5204777249453694</v>
      </c>
      <c r="AV106">
        <f t="shared" ca="1" si="53"/>
        <v>0.265996502563909</v>
      </c>
      <c r="AW106">
        <f ca="1">IF(AND($AT106&lt;3,OFFSET(DATA!$C$14,$AS106,0)=AW$6),$AV106,dNULL)</f>
        <v>-99</v>
      </c>
      <c r="AX106">
        <f ca="1">IF(AND($AT106&lt;3,OFFSET(DATA!$C$14,$AS106,0)=AX$6),$AV106,dNULL)</f>
        <v>-99</v>
      </c>
      <c r="AY106">
        <f ca="1">IF(AND($AT106&lt;3,OFFSET(DATA!$C$14,$AS106,0)=AY$6),$AV106,dNULL)</f>
        <v>0.265996502563909</v>
      </c>
      <c r="AZ106">
        <f ca="1">IF(AND($AT106&lt;3,OFFSET(DATA!$C$14,$AS106,0)=AZ$6),$AV106,dNULL)</f>
        <v>-99</v>
      </c>
      <c r="BA106">
        <f ca="1">IF(AND($AT106&lt;3,OFFSET(DATA!$C$14,$AS106,0)=BA$6),$AV106,dNULL)</f>
        <v>-99</v>
      </c>
      <c r="BB106">
        <f ca="1">IF(AND($AT106&lt;3,OFFSET(DATA!$C$14,$AS106,0)=BB$6),$AV106,dNULL)</f>
        <v>-99</v>
      </c>
      <c r="BC106">
        <f ca="1">IF(AND($AT106&lt;3,OFFSET(DATA!$C$14,$AS106,0)=BC$6),$AV106,dNULL)</f>
        <v>-99</v>
      </c>
      <c r="BD106">
        <f ca="1">IF(AND($AT106&lt;3,OFFSET(DATA!$C$14,$AS106,0)=BD$6),$AV106,dNULL)</f>
        <v>-99</v>
      </c>
      <c r="BE106">
        <f ca="1">IF(AND($AT106&lt;3,OFFSET(DATA!$C$14,$AS106,0)=BE$6),$AV106,dNULL)</f>
        <v>-99</v>
      </c>
      <c r="BF106">
        <f ca="1">IF(AND($AT106&lt;3,OFFSET(DATA!$C$14,$AS106,0)=BF$6),$AV106,dNULL)</f>
        <v>-99</v>
      </c>
      <c r="BG106">
        <f ca="1">IF(AND($AT106&lt;3,OFFSET(DATA!$C$14,$AS106,0)=BG$6),$AV106,dNULL)</f>
        <v>-99</v>
      </c>
      <c r="BH106">
        <f ca="1">IF(AND($AT106&lt;3,OFFSET(DATA!$C$14,$AS106,0)=BH$6),$AV106,dNULL)</f>
        <v>-99</v>
      </c>
      <c r="BU106">
        <f t="shared" si="58"/>
        <v>1</v>
      </c>
      <c r="BV106">
        <f t="shared" si="59"/>
        <v>1.0800000000000005</v>
      </c>
      <c r="BW106">
        <f t="shared" ca="1" si="54"/>
        <v>0.55871981442257646</v>
      </c>
      <c r="BX106">
        <f t="shared" ca="1" si="55"/>
        <v>-0.95185563307260268</v>
      </c>
    </row>
    <row r="107" spans="13:76" x14ac:dyDescent="0.25">
      <c r="N107">
        <f>N17+1+dAnionOFF</f>
        <v>1.7</v>
      </c>
      <c r="O107">
        <f t="shared" si="61"/>
        <v>0.69282032302755092</v>
      </c>
      <c r="Q107">
        <f>N223+NumberOFF*COS(T109*PI()/180)</f>
        <v>1.4875000000000003</v>
      </c>
      <c r="R107">
        <f>O223-SIN(T109*PI()/180)*NumberOFF</f>
        <v>0.71447095812216188</v>
      </c>
      <c r="S107">
        <f>S87</f>
        <v>40</v>
      </c>
      <c r="T107">
        <v>60</v>
      </c>
      <c r="Y107" s="26"/>
      <c r="Z107" s="26"/>
      <c r="AB107" s="26" t="str">
        <f t="shared" ca="1" si="43"/>
        <v/>
      </c>
      <c r="AC107">
        <f t="shared" ca="1" si="57"/>
        <v>90</v>
      </c>
      <c r="AD107" t="str">
        <f ca="1">IF(AND(AT107&lt;1,MAX(AW107:BH107)&gt;dNULL),DATA!$D115,"")</f>
        <v/>
      </c>
      <c r="AE107" s="7" t="str">
        <f ca="1">IF(LEN(DATA!D115)&gt;0,SUMPRODUCT(OFFSET(DATA!$R$6,AE$5,0,1,10),DATA!$R115:$AA115),"")</f>
        <v/>
      </c>
      <c r="AF107" s="7" t="str">
        <f ca="1">IF(LEN(DATA!E115)&gt;0,SUMPRODUCT(OFFSET(DATA!$R$6,AF$5,0,1,10),DATA!$R115:$AA115),"")</f>
        <v/>
      </c>
      <c r="AG107" s="7" t="str">
        <f ca="1">IF(LEN(DATA!F115)&gt;0,SUMPRODUCT(OFFSET(DATA!$R$6,AG$5,0,1,10),DATA!$R115:$AA115),"")</f>
        <v/>
      </c>
      <c r="AH107" s="7" t="str">
        <f ca="1">IF(LEN(DATA!G115)&gt;0,SUMPRODUCT(OFFSET(DATA!$R$6,AH$5,0,1,10),DATA!$R115:$AA115),"")</f>
        <v/>
      </c>
      <c r="AI107" s="7" t="str">
        <f ca="1">IF(LEN(DATA!H115)&gt;0,SUMPRODUCT(OFFSET(DATA!$R$6,AI$5,0,1,10),DATA!$R115:$AA115),"")</f>
        <v/>
      </c>
      <c r="AJ107" s="7" t="str">
        <f ca="1">IF(LEN(DATA!I115)&gt;0,SUMPRODUCT(OFFSET(DATA!$R$6,AJ$5,0,1,10),DATA!$R115:$AA115),"")</f>
        <v/>
      </c>
      <c r="AK107" s="7"/>
      <c r="AL107" s="7" t="e">
        <f t="shared" ca="1" si="44"/>
        <v>#DIV/0!</v>
      </c>
      <c r="AM107" s="7" t="e">
        <f t="shared" ca="1" si="45"/>
        <v>#DIV/0!</v>
      </c>
      <c r="AN107" s="7" t="e">
        <f t="shared" ca="1" si="46"/>
        <v>#DIV/0!</v>
      </c>
      <c r="AO107" s="7" t="e">
        <f t="shared" ca="1" si="47"/>
        <v>#DIV/0!</v>
      </c>
      <c r="AP107" s="7" t="e">
        <f t="shared" ca="1" si="48"/>
        <v>#DIV/0!</v>
      </c>
      <c r="AQ107" s="7" t="e">
        <f t="shared" ca="1" si="49"/>
        <v>#DIV/0!</v>
      </c>
      <c r="AS107">
        <f t="shared" si="50"/>
        <v>11</v>
      </c>
      <c r="AT107">
        <f t="shared" si="51"/>
        <v>1</v>
      </c>
      <c r="AU107">
        <f t="shared" ca="1" si="52"/>
        <v>1.4904895829356486</v>
      </c>
      <c r="AV107">
        <f t="shared" ca="1" si="53"/>
        <v>0.1946384564751919</v>
      </c>
      <c r="AW107">
        <f ca="1">IF(AND($AT107&lt;3,OFFSET(DATA!$C$14,$AS107,0)=AW$6),$AV107,dNULL)</f>
        <v>-99</v>
      </c>
      <c r="AX107">
        <f ca="1">IF(AND($AT107&lt;3,OFFSET(DATA!$C$14,$AS107,0)=AX$6),$AV107,dNULL)</f>
        <v>-99</v>
      </c>
      <c r="AY107">
        <f ca="1">IF(AND($AT107&lt;3,OFFSET(DATA!$C$14,$AS107,0)=AY$6),$AV107,dNULL)</f>
        <v>0.1946384564751919</v>
      </c>
      <c r="AZ107">
        <f ca="1">IF(AND($AT107&lt;3,OFFSET(DATA!$C$14,$AS107,0)=AZ$6),$AV107,dNULL)</f>
        <v>-99</v>
      </c>
      <c r="BA107">
        <f ca="1">IF(AND($AT107&lt;3,OFFSET(DATA!$C$14,$AS107,0)=BA$6),$AV107,dNULL)</f>
        <v>-99</v>
      </c>
      <c r="BB107">
        <f ca="1">IF(AND($AT107&lt;3,OFFSET(DATA!$C$14,$AS107,0)=BB$6),$AV107,dNULL)</f>
        <v>-99</v>
      </c>
      <c r="BC107">
        <f ca="1">IF(AND($AT107&lt;3,OFFSET(DATA!$C$14,$AS107,0)=BC$6),$AV107,dNULL)</f>
        <v>-99</v>
      </c>
      <c r="BD107">
        <f ca="1">IF(AND($AT107&lt;3,OFFSET(DATA!$C$14,$AS107,0)=BD$6),$AV107,dNULL)</f>
        <v>-99</v>
      </c>
      <c r="BE107">
        <f ca="1">IF(AND($AT107&lt;3,OFFSET(DATA!$C$14,$AS107,0)=BE$6),$AV107,dNULL)</f>
        <v>-99</v>
      </c>
      <c r="BF107">
        <f ca="1">IF(AND($AT107&lt;3,OFFSET(DATA!$C$14,$AS107,0)=BF$6),$AV107,dNULL)</f>
        <v>-99</v>
      </c>
      <c r="BG107">
        <f ca="1">IF(AND($AT107&lt;3,OFFSET(DATA!$C$14,$AS107,0)=BG$6),$AV107,dNULL)</f>
        <v>-99</v>
      </c>
      <c r="BH107">
        <f ca="1">IF(AND($AT107&lt;3,OFFSET(DATA!$C$14,$AS107,0)=BH$6),$AV107,dNULL)</f>
        <v>-99</v>
      </c>
      <c r="BU107">
        <f t="shared" si="58"/>
        <v>2</v>
      </c>
      <c r="BV107">
        <f t="shared" si="59"/>
        <v>1.1000000000000005</v>
      </c>
      <c r="BW107">
        <f t="shared" ca="1" si="54"/>
        <v>0.2</v>
      </c>
      <c r="BX107">
        <f t="shared" ca="1" si="55"/>
        <v>-0.2</v>
      </c>
    </row>
    <row r="108" spans="13:76" x14ac:dyDescent="0.25">
      <c r="Q108">
        <f>N224-NumberOFF*COS(T110*PI()/180)</f>
        <v>0.9125000000000002</v>
      </c>
      <c r="R108">
        <f>O224+SIN(T110*PI()/180)*NumberOFF</f>
        <v>1.7104001724742663</v>
      </c>
      <c r="S108">
        <f>S86</f>
        <v>60</v>
      </c>
      <c r="T108">
        <v>60</v>
      </c>
      <c r="Y108" s="26"/>
      <c r="Z108" s="26"/>
      <c r="AB108" s="26" t="str">
        <f t="shared" ca="1" si="43"/>
        <v/>
      </c>
      <c r="AC108">
        <f t="shared" ca="1" si="57"/>
        <v>90</v>
      </c>
      <c r="AD108" t="str">
        <f ca="1">IF(AND(AT108&lt;1,MAX(AW108:BH108)&gt;dNULL),DATA!$D116,"")</f>
        <v/>
      </c>
      <c r="AE108" s="7" t="str">
        <f ca="1">IF(LEN(DATA!D116)&gt;0,SUMPRODUCT(OFFSET(DATA!$R$6,AE$5,0,1,10),DATA!$R116:$AA116),"")</f>
        <v/>
      </c>
      <c r="AF108" s="7" t="str">
        <f ca="1">IF(LEN(DATA!E116)&gt;0,SUMPRODUCT(OFFSET(DATA!$R$6,AF$5,0,1,10),DATA!$R116:$AA116),"")</f>
        <v/>
      </c>
      <c r="AG108" s="7" t="str">
        <f ca="1">IF(LEN(DATA!F116)&gt;0,SUMPRODUCT(OFFSET(DATA!$R$6,AG$5,0,1,10),DATA!$R116:$AA116),"")</f>
        <v/>
      </c>
      <c r="AH108" s="7" t="str">
        <f ca="1">IF(LEN(DATA!G116)&gt;0,SUMPRODUCT(OFFSET(DATA!$R$6,AH$5,0,1,10),DATA!$R116:$AA116),"")</f>
        <v/>
      </c>
      <c r="AI108" s="7" t="str">
        <f ca="1">IF(LEN(DATA!H116)&gt;0,SUMPRODUCT(OFFSET(DATA!$R$6,AI$5,0,1,10),DATA!$R116:$AA116),"")</f>
        <v/>
      </c>
      <c r="AJ108" s="7" t="str">
        <f ca="1">IF(LEN(DATA!I116)&gt;0,SUMPRODUCT(OFFSET(DATA!$R$6,AJ$5,0,1,10),DATA!$R116:$AA116),"")</f>
        <v/>
      </c>
      <c r="AK108" s="7"/>
      <c r="AL108" s="7" t="e">
        <f t="shared" ca="1" si="44"/>
        <v>#DIV/0!</v>
      </c>
      <c r="AM108" s="7" t="e">
        <f t="shared" ca="1" si="45"/>
        <v>#DIV/0!</v>
      </c>
      <c r="AN108" s="7" t="e">
        <f t="shared" ca="1" si="46"/>
        <v>#DIV/0!</v>
      </c>
      <c r="AO108" s="7" t="e">
        <f t="shared" ca="1" si="47"/>
        <v>#DIV/0!</v>
      </c>
      <c r="AP108" s="7" t="e">
        <f t="shared" ca="1" si="48"/>
        <v>#DIV/0!</v>
      </c>
      <c r="AQ108" s="7" t="e">
        <f t="shared" ca="1" si="49"/>
        <v>#DIV/0!</v>
      </c>
      <c r="AS108">
        <f t="shared" si="50"/>
        <v>12</v>
      </c>
      <c r="AT108">
        <f t="shared" si="51"/>
        <v>1</v>
      </c>
      <c r="AU108">
        <f t="shared" ca="1" si="52"/>
        <v>1.4807092091591862</v>
      </c>
      <c r="AV108">
        <f t="shared" ca="1" si="53"/>
        <v>0.1599131175421093</v>
      </c>
      <c r="AW108">
        <f ca="1">IF(AND($AT108&lt;3,OFFSET(DATA!$C$14,$AS108,0)=AW$6),$AV108,dNULL)</f>
        <v>-99</v>
      </c>
      <c r="AX108">
        <f ca="1">IF(AND($AT108&lt;3,OFFSET(DATA!$C$14,$AS108,0)=AX$6),$AV108,dNULL)</f>
        <v>-99</v>
      </c>
      <c r="AY108">
        <f ca="1">IF(AND($AT108&lt;3,OFFSET(DATA!$C$14,$AS108,0)=AY$6),$AV108,dNULL)</f>
        <v>0.1599131175421093</v>
      </c>
      <c r="AZ108">
        <f ca="1">IF(AND($AT108&lt;3,OFFSET(DATA!$C$14,$AS108,0)=AZ$6),$AV108,dNULL)</f>
        <v>-99</v>
      </c>
      <c r="BA108">
        <f ca="1">IF(AND($AT108&lt;3,OFFSET(DATA!$C$14,$AS108,0)=BA$6),$AV108,dNULL)</f>
        <v>-99</v>
      </c>
      <c r="BB108">
        <f ca="1">IF(AND($AT108&lt;3,OFFSET(DATA!$C$14,$AS108,0)=BB$6),$AV108,dNULL)</f>
        <v>-99</v>
      </c>
      <c r="BC108">
        <f ca="1">IF(AND($AT108&lt;3,OFFSET(DATA!$C$14,$AS108,0)=BC$6),$AV108,dNULL)</f>
        <v>-99</v>
      </c>
      <c r="BD108">
        <f ca="1">IF(AND($AT108&lt;3,OFFSET(DATA!$C$14,$AS108,0)=BD$6),$AV108,dNULL)</f>
        <v>-99</v>
      </c>
      <c r="BE108">
        <f ca="1">IF(AND($AT108&lt;3,OFFSET(DATA!$C$14,$AS108,0)=BE$6),$AV108,dNULL)</f>
        <v>-99</v>
      </c>
      <c r="BF108">
        <f ca="1">IF(AND($AT108&lt;3,OFFSET(DATA!$C$14,$AS108,0)=BF$6),$AV108,dNULL)</f>
        <v>-99</v>
      </c>
      <c r="BG108">
        <f ca="1">IF(AND($AT108&lt;3,OFFSET(DATA!$C$14,$AS108,0)=BG$6),$AV108,dNULL)</f>
        <v>-99</v>
      </c>
      <c r="BH108">
        <f ca="1">IF(AND($AT108&lt;3,OFFSET(DATA!$C$14,$AS108,0)=BH$6),$AV108,dNULL)</f>
        <v>-99</v>
      </c>
      <c r="BU108">
        <f t="shared" si="58"/>
        <v>2</v>
      </c>
      <c r="BV108">
        <f t="shared" si="59"/>
        <v>1.1000000000000005</v>
      </c>
      <c r="BW108">
        <f t="shared" ca="1" si="54"/>
        <v>0.49900199600798389</v>
      </c>
      <c r="BX108">
        <f t="shared" ca="1" si="55"/>
        <v>-0.91607884940496498</v>
      </c>
    </row>
    <row r="109" spans="13:76" x14ac:dyDescent="0.25">
      <c r="N109">
        <f>N19+1+dAnionOFF</f>
        <v>-97.7</v>
      </c>
      <c r="O109">
        <f t="shared" si="61"/>
        <v>0</v>
      </c>
      <c r="Q109">
        <f>N226+NumberOFF*COS(T112*PI()/180)</f>
        <v>1.5875000000000001</v>
      </c>
      <c r="R109">
        <f>O226-SIN(T112*PI()/180)*NumberOFF</f>
        <v>0.88767603887904956</v>
      </c>
      <c r="S109">
        <f>S89</f>
        <v>20</v>
      </c>
      <c r="T109">
        <v>60</v>
      </c>
      <c r="Y109" s="26"/>
      <c r="Z109" s="26"/>
      <c r="AB109" s="26" t="str">
        <f t="shared" ca="1" si="43"/>
        <v/>
      </c>
      <c r="AC109">
        <f t="shared" ca="1" si="57"/>
        <v>90</v>
      </c>
      <c r="AD109" t="str">
        <f ca="1">IF(AND(AT109&lt;1,MAX(AW109:BH109)&gt;dNULL),DATA!$D117,"")</f>
        <v/>
      </c>
      <c r="AE109" s="7" t="str">
        <f ca="1">IF(LEN(DATA!D117)&gt;0,SUMPRODUCT(OFFSET(DATA!$R$6,AE$5,0,1,10),DATA!$R117:$AA117),"")</f>
        <v/>
      </c>
      <c r="AF109" s="7" t="str">
        <f ca="1">IF(LEN(DATA!E117)&gt;0,SUMPRODUCT(OFFSET(DATA!$R$6,AF$5,0,1,10),DATA!$R117:$AA117),"")</f>
        <v/>
      </c>
      <c r="AG109" s="7" t="str">
        <f ca="1">IF(LEN(DATA!F117)&gt;0,SUMPRODUCT(OFFSET(DATA!$R$6,AG$5,0,1,10),DATA!$R117:$AA117),"")</f>
        <v/>
      </c>
      <c r="AH109" s="7" t="str">
        <f ca="1">IF(LEN(DATA!G117)&gt;0,SUMPRODUCT(OFFSET(DATA!$R$6,AH$5,0,1,10),DATA!$R117:$AA117),"")</f>
        <v/>
      </c>
      <c r="AI109" s="7" t="str">
        <f ca="1">IF(LEN(DATA!H117)&gt;0,SUMPRODUCT(OFFSET(DATA!$R$6,AI$5,0,1,10),DATA!$R117:$AA117),"")</f>
        <v/>
      </c>
      <c r="AJ109" s="7" t="str">
        <f ca="1">IF(LEN(DATA!I117)&gt;0,SUMPRODUCT(OFFSET(DATA!$R$6,AJ$5,0,1,10),DATA!$R117:$AA117),"")</f>
        <v/>
      </c>
      <c r="AK109" s="7"/>
      <c r="AL109" s="7" t="e">
        <f t="shared" ca="1" si="44"/>
        <v>#DIV/0!</v>
      </c>
      <c r="AM109" s="7" t="e">
        <f t="shared" ca="1" si="45"/>
        <v>#DIV/0!</v>
      </c>
      <c r="AN109" s="7" t="e">
        <f t="shared" ca="1" si="46"/>
        <v>#DIV/0!</v>
      </c>
      <c r="AO109" s="7" t="e">
        <f t="shared" ca="1" si="47"/>
        <v>#DIV/0!</v>
      </c>
      <c r="AP109" s="7" t="e">
        <f t="shared" ca="1" si="48"/>
        <v>#DIV/0!</v>
      </c>
      <c r="AQ109" s="7" t="e">
        <f t="shared" ca="1" si="49"/>
        <v>#DIV/0!</v>
      </c>
      <c r="AS109">
        <f t="shared" si="50"/>
        <v>13</v>
      </c>
      <c r="AT109">
        <f t="shared" si="51"/>
        <v>1</v>
      </c>
      <c r="AU109">
        <f t="shared" ca="1" si="52"/>
        <v>1.5043532566358504</v>
      </c>
      <c r="AV109">
        <f t="shared" ca="1" si="53"/>
        <v>0.16580688022484111</v>
      </c>
      <c r="AW109">
        <f ca="1">IF(AND($AT109&lt;3,OFFSET(DATA!$C$14,$AS109,0)=AW$6),$AV109,dNULL)</f>
        <v>-99</v>
      </c>
      <c r="AX109">
        <f ca="1">IF(AND($AT109&lt;3,OFFSET(DATA!$C$14,$AS109,0)=AX$6),$AV109,dNULL)</f>
        <v>-99</v>
      </c>
      <c r="AY109">
        <f ca="1">IF(AND($AT109&lt;3,OFFSET(DATA!$C$14,$AS109,0)=AY$6),$AV109,dNULL)</f>
        <v>0.16580688022484111</v>
      </c>
      <c r="AZ109">
        <f ca="1">IF(AND($AT109&lt;3,OFFSET(DATA!$C$14,$AS109,0)=AZ$6),$AV109,dNULL)</f>
        <v>-99</v>
      </c>
      <c r="BA109">
        <f ca="1">IF(AND($AT109&lt;3,OFFSET(DATA!$C$14,$AS109,0)=BA$6),$AV109,dNULL)</f>
        <v>-99</v>
      </c>
      <c r="BB109">
        <f ca="1">IF(AND($AT109&lt;3,OFFSET(DATA!$C$14,$AS109,0)=BB$6),$AV109,dNULL)</f>
        <v>-99</v>
      </c>
      <c r="BC109">
        <f ca="1">IF(AND($AT109&lt;3,OFFSET(DATA!$C$14,$AS109,0)=BC$6),$AV109,dNULL)</f>
        <v>-99</v>
      </c>
      <c r="BD109">
        <f ca="1">IF(AND($AT109&lt;3,OFFSET(DATA!$C$14,$AS109,0)=BD$6),$AV109,dNULL)</f>
        <v>-99</v>
      </c>
      <c r="BE109">
        <f ca="1">IF(AND($AT109&lt;3,OFFSET(DATA!$C$14,$AS109,0)=BE$6),$AV109,dNULL)</f>
        <v>-99</v>
      </c>
      <c r="BF109">
        <f ca="1">IF(AND($AT109&lt;3,OFFSET(DATA!$C$14,$AS109,0)=BF$6),$AV109,dNULL)</f>
        <v>-99</v>
      </c>
      <c r="BG109">
        <f ca="1">IF(AND($AT109&lt;3,OFFSET(DATA!$C$14,$AS109,0)=BG$6),$AV109,dNULL)</f>
        <v>-99</v>
      </c>
      <c r="BH109">
        <f ca="1">IF(AND($AT109&lt;3,OFFSET(DATA!$C$14,$AS109,0)=BH$6),$AV109,dNULL)</f>
        <v>-99</v>
      </c>
      <c r="BU109">
        <f t="shared" si="58"/>
        <v>2</v>
      </c>
      <c r="BV109">
        <f t="shared" si="59"/>
        <v>1.1200000000000006</v>
      </c>
      <c r="BW109">
        <f t="shared" ca="1" si="54"/>
        <v>0.2</v>
      </c>
      <c r="BX109">
        <f t="shared" ca="1" si="55"/>
        <v>-0.2</v>
      </c>
    </row>
    <row r="110" spans="13:76" x14ac:dyDescent="0.25">
      <c r="N110">
        <f>N20+1+dAnionOFF</f>
        <v>-48.2</v>
      </c>
      <c r="O110">
        <f t="shared" si="61"/>
        <v>-85.736514974659414</v>
      </c>
      <c r="Q110">
        <f>N227-NumberOFF*COS(T113*PI()/180)</f>
        <v>1.0125</v>
      </c>
      <c r="R110">
        <f>O227+SIN(T113*PI()/180)*NumberOFF</f>
        <v>1.883605253231154</v>
      </c>
      <c r="S110">
        <f>S88</f>
        <v>80</v>
      </c>
      <c r="T110">
        <v>60</v>
      </c>
      <c r="Y110" s="26"/>
      <c r="Z110" s="26"/>
      <c r="AB110" s="26" t="str">
        <f t="shared" ca="1" si="43"/>
        <v/>
      </c>
      <c r="AC110">
        <f t="shared" ca="1" si="57"/>
        <v>90</v>
      </c>
      <c r="AD110" t="str">
        <f ca="1">IF(AND(AT110&lt;1,MAX(AW110:BH110)&gt;dNULL),DATA!$D118,"")</f>
        <v/>
      </c>
      <c r="AE110" s="7" t="str">
        <f ca="1">IF(LEN(DATA!D118)&gt;0,SUMPRODUCT(OFFSET(DATA!$R$6,AE$5,0,1,10),DATA!$R118:$AA118),"")</f>
        <v/>
      </c>
      <c r="AF110" s="7" t="str">
        <f ca="1">IF(LEN(DATA!E118)&gt;0,SUMPRODUCT(OFFSET(DATA!$R$6,AF$5,0,1,10),DATA!$R118:$AA118),"")</f>
        <v/>
      </c>
      <c r="AG110" s="7" t="str">
        <f ca="1">IF(LEN(DATA!F118)&gt;0,SUMPRODUCT(OFFSET(DATA!$R$6,AG$5,0,1,10),DATA!$R118:$AA118),"")</f>
        <v/>
      </c>
      <c r="AH110" s="7" t="str">
        <f ca="1">IF(LEN(DATA!G118)&gt;0,SUMPRODUCT(OFFSET(DATA!$R$6,AH$5,0,1,10),DATA!$R118:$AA118),"")</f>
        <v/>
      </c>
      <c r="AI110" s="7" t="str">
        <f ca="1">IF(LEN(DATA!H118)&gt;0,SUMPRODUCT(OFFSET(DATA!$R$6,AI$5,0,1,10),DATA!$R118:$AA118),"")</f>
        <v/>
      </c>
      <c r="AJ110" s="7" t="str">
        <f ca="1">IF(LEN(DATA!I118)&gt;0,SUMPRODUCT(OFFSET(DATA!$R$6,AJ$5,0,1,10),DATA!$R118:$AA118),"")</f>
        <v/>
      </c>
      <c r="AK110" s="7"/>
      <c r="AL110" s="7" t="e">
        <f t="shared" ca="1" si="44"/>
        <v>#DIV/0!</v>
      </c>
      <c r="AM110" s="7" t="e">
        <f t="shared" ca="1" si="45"/>
        <v>#DIV/0!</v>
      </c>
      <c r="AN110" s="7" t="e">
        <f t="shared" ca="1" si="46"/>
        <v>#DIV/0!</v>
      </c>
      <c r="AO110" s="7" t="e">
        <f t="shared" ca="1" si="47"/>
        <v>#DIV/0!</v>
      </c>
      <c r="AP110" s="7" t="e">
        <f t="shared" ca="1" si="48"/>
        <v>#DIV/0!</v>
      </c>
      <c r="AQ110" s="7" t="e">
        <f t="shared" ca="1" si="49"/>
        <v>#DIV/0!</v>
      </c>
      <c r="AS110">
        <f t="shared" si="50"/>
        <v>14</v>
      </c>
      <c r="AT110">
        <f t="shared" si="51"/>
        <v>1</v>
      </c>
      <c r="AU110">
        <f t="shared" ca="1" si="52"/>
        <v>1.4839594944293575</v>
      </c>
      <c r="AV110">
        <f t="shared" ca="1" si="53"/>
        <v>0.15381929528912586</v>
      </c>
      <c r="AW110">
        <f ca="1">IF(AND($AT110&lt;3,OFFSET(DATA!$C$14,$AS110,0)=AW$6),$AV110,dNULL)</f>
        <v>-99</v>
      </c>
      <c r="AX110">
        <f ca="1">IF(AND($AT110&lt;3,OFFSET(DATA!$C$14,$AS110,0)=AX$6),$AV110,dNULL)</f>
        <v>-99</v>
      </c>
      <c r="AY110">
        <f ca="1">IF(AND($AT110&lt;3,OFFSET(DATA!$C$14,$AS110,0)=AY$6),$AV110,dNULL)</f>
        <v>0.15381929528912586</v>
      </c>
      <c r="AZ110">
        <f ca="1">IF(AND($AT110&lt;3,OFFSET(DATA!$C$14,$AS110,0)=AZ$6),$AV110,dNULL)</f>
        <v>-99</v>
      </c>
      <c r="BA110">
        <f ca="1">IF(AND($AT110&lt;3,OFFSET(DATA!$C$14,$AS110,0)=BA$6),$AV110,dNULL)</f>
        <v>-99</v>
      </c>
      <c r="BB110">
        <f ca="1">IF(AND($AT110&lt;3,OFFSET(DATA!$C$14,$AS110,0)=BB$6),$AV110,dNULL)</f>
        <v>-99</v>
      </c>
      <c r="BC110">
        <f ca="1">IF(AND($AT110&lt;3,OFFSET(DATA!$C$14,$AS110,0)=BC$6),$AV110,dNULL)</f>
        <v>-99</v>
      </c>
      <c r="BD110">
        <f ca="1">IF(AND($AT110&lt;3,OFFSET(DATA!$C$14,$AS110,0)=BD$6),$AV110,dNULL)</f>
        <v>-99</v>
      </c>
      <c r="BE110">
        <f ca="1">IF(AND($AT110&lt;3,OFFSET(DATA!$C$14,$AS110,0)=BE$6),$AV110,dNULL)</f>
        <v>-99</v>
      </c>
      <c r="BF110">
        <f ca="1">IF(AND($AT110&lt;3,OFFSET(DATA!$C$14,$AS110,0)=BF$6),$AV110,dNULL)</f>
        <v>-99</v>
      </c>
      <c r="BG110">
        <f ca="1">IF(AND($AT110&lt;3,OFFSET(DATA!$C$14,$AS110,0)=BG$6),$AV110,dNULL)</f>
        <v>-99</v>
      </c>
      <c r="BH110">
        <f ca="1">IF(AND($AT110&lt;3,OFFSET(DATA!$C$14,$AS110,0)=BH$6),$AV110,dNULL)</f>
        <v>-99</v>
      </c>
      <c r="BU110">
        <f t="shared" si="58"/>
        <v>2</v>
      </c>
      <c r="BV110">
        <f t="shared" si="59"/>
        <v>1.1200000000000006</v>
      </c>
      <c r="BW110">
        <f t="shared" ca="1" si="54"/>
        <v>0.49149737778403435</v>
      </c>
      <c r="BX110">
        <f t="shared" ca="1" si="55"/>
        <v>-0.90625071671065982</v>
      </c>
    </row>
    <row r="111" spans="13:76" x14ac:dyDescent="0.25">
      <c r="Q111">
        <f>N229+NumberOFF*COS(T115*PI()/180)</f>
        <v>-48.3125</v>
      </c>
      <c r="R111">
        <f>O229-SIN(T115*PI()/180)*NumberOFF</f>
        <v>-85.541659258807911</v>
      </c>
      <c r="S111">
        <f>S91</f>
        <v>0</v>
      </c>
      <c r="T111">
        <v>60</v>
      </c>
      <c r="Y111" s="26"/>
      <c r="Z111" s="26"/>
      <c r="AB111" s="26" t="str">
        <f t="shared" ca="1" si="43"/>
        <v/>
      </c>
      <c r="AC111">
        <f t="shared" ca="1" si="57"/>
        <v>90</v>
      </c>
      <c r="AD111" t="str">
        <f ca="1">IF(AND(AT111&lt;1,MAX(AW111:BH111)&gt;dNULL),DATA!$D119,"")</f>
        <v/>
      </c>
      <c r="AE111" s="7" t="str">
        <f ca="1">IF(LEN(DATA!D119)&gt;0,SUMPRODUCT(OFFSET(DATA!$R$6,AE$5,0,1,10),DATA!$R119:$AA119),"")</f>
        <v/>
      </c>
      <c r="AF111" s="7" t="str">
        <f ca="1">IF(LEN(DATA!E119)&gt;0,SUMPRODUCT(OFFSET(DATA!$R$6,AF$5,0,1,10),DATA!$R119:$AA119),"")</f>
        <v/>
      </c>
      <c r="AG111" s="7" t="str">
        <f ca="1">IF(LEN(DATA!F119)&gt;0,SUMPRODUCT(OFFSET(DATA!$R$6,AG$5,0,1,10),DATA!$R119:$AA119),"")</f>
        <v/>
      </c>
      <c r="AH111" s="7" t="str">
        <f ca="1">IF(LEN(DATA!G119)&gt;0,SUMPRODUCT(OFFSET(DATA!$R$6,AH$5,0,1,10),DATA!$R119:$AA119),"")</f>
        <v/>
      </c>
      <c r="AI111" s="7" t="str">
        <f ca="1">IF(LEN(DATA!H119)&gt;0,SUMPRODUCT(OFFSET(DATA!$R$6,AI$5,0,1,10),DATA!$R119:$AA119),"")</f>
        <v/>
      </c>
      <c r="AJ111" s="7" t="str">
        <f ca="1">IF(LEN(DATA!I119)&gt;0,SUMPRODUCT(OFFSET(DATA!$R$6,AJ$5,0,1,10),DATA!$R119:$AA119),"")</f>
        <v/>
      </c>
      <c r="AK111" s="7"/>
      <c r="AL111" s="7" t="e">
        <f t="shared" ca="1" si="44"/>
        <v>#DIV/0!</v>
      </c>
      <c r="AM111" s="7" t="e">
        <f t="shared" ca="1" si="45"/>
        <v>#DIV/0!</v>
      </c>
      <c r="AN111" s="7" t="e">
        <f t="shared" ca="1" si="46"/>
        <v>#DIV/0!</v>
      </c>
      <c r="AO111" s="7" t="e">
        <f t="shared" ca="1" si="47"/>
        <v>#DIV/0!</v>
      </c>
      <c r="AP111" s="7" t="e">
        <f t="shared" ca="1" si="48"/>
        <v>#DIV/0!</v>
      </c>
      <c r="AQ111" s="7" t="e">
        <f t="shared" ca="1" si="49"/>
        <v>#DIV/0!</v>
      </c>
      <c r="AS111">
        <f t="shared" si="50"/>
        <v>15</v>
      </c>
      <c r="AT111">
        <f t="shared" si="51"/>
        <v>1</v>
      </c>
      <c r="AU111">
        <f t="shared" ca="1" si="52"/>
        <v>1.4710903552853341</v>
      </c>
      <c r="AV111">
        <f t="shared" ca="1" si="53"/>
        <v>0.14622133357848069</v>
      </c>
      <c r="AW111">
        <f ca="1">IF(AND($AT111&lt;3,OFFSET(DATA!$C$14,$AS111,0)=AW$6),$AV111,dNULL)</f>
        <v>-99</v>
      </c>
      <c r="AX111">
        <f ca="1">IF(AND($AT111&lt;3,OFFSET(DATA!$C$14,$AS111,0)=AX$6),$AV111,dNULL)</f>
        <v>-99</v>
      </c>
      <c r="AY111">
        <f ca="1">IF(AND($AT111&lt;3,OFFSET(DATA!$C$14,$AS111,0)=AY$6),$AV111,dNULL)</f>
        <v>0.14622133357848069</v>
      </c>
      <c r="AZ111">
        <f ca="1">IF(AND($AT111&lt;3,OFFSET(DATA!$C$14,$AS111,0)=AZ$6),$AV111,dNULL)</f>
        <v>-99</v>
      </c>
      <c r="BA111">
        <f ca="1">IF(AND($AT111&lt;3,OFFSET(DATA!$C$14,$AS111,0)=BA$6),$AV111,dNULL)</f>
        <v>-99</v>
      </c>
      <c r="BB111">
        <f ca="1">IF(AND($AT111&lt;3,OFFSET(DATA!$C$14,$AS111,0)=BB$6),$AV111,dNULL)</f>
        <v>-99</v>
      </c>
      <c r="BC111">
        <f ca="1">IF(AND($AT111&lt;3,OFFSET(DATA!$C$14,$AS111,0)=BC$6),$AV111,dNULL)</f>
        <v>-99</v>
      </c>
      <c r="BD111">
        <f ca="1">IF(AND($AT111&lt;3,OFFSET(DATA!$C$14,$AS111,0)=BD$6),$AV111,dNULL)</f>
        <v>-99</v>
      </c>
      <c r="BE111">
        <f ca="1">IF(AND($AT111&lt;3,OFFSET(DATA!$C$14,$AS111,0)=BE$6),$AV111,dNULL)</f>
        <v>-99</v>
      </c>
      <c r="BF111">
        <f ca="1">IF(AND($AT111&lt;3,OFFSET(DATA!$C$14,$AS111,0)=BF$6),$AV111,dNULL)</f>
        <v>-99</v>
      </c>
      <c r="BG111">
        <f ca="1">IF(AND($AT111&lt;3,OFFSET(DATA!$C$14,$AS111,0)=BG$6),$AV111,dNULL)</f>
        <v>-99</v>
      </c>
      <c r="BH111">
        <f ca="1">IF(AND($AT111&lt;3,OFFSET(DATA!$C$14,$AS111,0)=BH$6),$AV111,dNULL)</f>
        <v>-99</v>
      </c>
      <c r="BU111">
        <f t="shared" si="58"/>
        <v>2</v>
      </c>
      <c r="BV111">
        <f t="shared" si="59"/>
        <v>1.1400000000000006</v>
      </c>
      <c r="BW111">
        <f t="shared" ca="1" si="54"/>
        <v>0.2</v>
      </c>
      <c r="BX111">
        <f t="shared" ca="1" si="55"/>
        <v>-0.2</v>
      </c>
    </row>
    <row r="112" spans="13:76" x14ac:dyDescent="0.25">
      <c r="N112">
        <f>N22+1+dAnionOFF</f>
        <v>-97.5</v>
      </c>
      <c r="O112">
        <f t="shared" si="61"/>
        <v>0</v>
      </c>
      <c r="Q112">
        <f>N230-NumberOFF*COS(T116*PI()/180)</f>
        <v>-48.887500000000003</v>
      </c>
      <c r="R112">
        <f>O230+SIN(T116*PI()/180)*NumberOFF</f>
        <v>-84.545730044455809</v>
      </c>
      <c r="S112">
        <f>S90</f>
        <v>100</v>
      </c>
      <c r="T112">
        <v>60</v>
      </c>
      <c r="Y112" s="26"/>
      <c r="Z112" s="26"/>
      <c r="AB112" s="26" t="str">
        <f t="shared" ca="1" si="43"/>
        <v/>
      </c>
      <c r="AC112">
        <f t="shared" ca="1" si="57"/>
        <v>90</v>
      </c>
      <c r="AD112" t="str">
        <f ca="1">IF(AND(AT112&lt;1,MAX(AW112:BH112)&gt;dNULL),DATA!$D120,"")</f>
        <v/>
      </c>
      <c r="AE112" s="7" t="str">
        <f ca="1">IF(LEN(DATA!D120)&gt;0,SUMPRODUCT(OFFSET(DATA!$R$6,AE$5,0,1,10),DATA!$R120:$AA120),"")</f>
        <v/>
      </c>
      <c r="AF112" s="7" t="str">
        <f ca="1">IF(LEN(DATA!E120)&gt;0,SUMPRODUCT(OFFSET(DATA!$R$6,AF$5,0,1,10),DATA!$R120:$AA120),"")</f>
        <v/>
      </c>
      <c r="AG112" s="7" t="str">
        <f ca="1">IF(LEN(DATA!F120)&gt;0,SUMPRODUCT(OFFSET(DATA!$R$6,AG$5,0,1,10),DATA!$R120:$AA120),"")</f>
        <v/>
      </c>
      <c r="AH112" s="7" t="str">
        <f ca="1">IF(LEN(DATA!G120)&gt;0,SUMPRODUCT(OFFSET(DATA!$R$6,AH$5,0,1,10),DATA!$R120:$AA120),"")</f>
        <v/>
      </c>
      <c r="AI112" s="7" t="str">
        <f ca="1">IF(LEN(DATA!H120)&gt;0,SUMPRODUCT(OFFSET(DATA!$R$6,AI$5,0,1,10),DATA!$R120:$AA120),"")</f>
        <v/>
      </c>
      <c r="AJ112" s="7" t="str">
        <f ca="1">IF(LEN(DATA!I120)&gt;0,SUMPRODUCT(OFFSET(DATA!$R$6,AJ$5,0,1,10),DATA!$R120:$AA120),"")</f>
        <v/>
      </c>
      <c r="AK112" s="7"/>
      <c r="AL112" s="7" t="e">
        <f t="shared" ca="1" si="44"/>
        <v>#DIV/0!</v>
      </c>
      <c r="AM112" s="7" t="e">
        <f t="shared" ca="1" si="45"/>
        <v>#DIV/0!</v>
      </c>
      <c r="AN112" s="7" t="e">
        <f t="shared" ca="1" si="46"/>
        <v>#DIV/0!</v>
      </c>
      <c r="AO112" s="7" t="e">
        <f t="shared" ca="1" si="47"/>
        <v>#DIV/0!</v>
      </c>
      <c r="AP112" s="7" t="e">
        <f t="shared" ca="1" si="48"/>
        <v>#DIV/0!</v>
      </c>
      <c r="AQ112" s="7" t="e">
        <f t="shared" ca="1" si="49"/>
        <v>#DIV/0!</v>
      </c>
      <c r="AS112">
        <f t="shared" si="50"/>
        <v>16</v>
      </c>
      <c r="AT112">
        <f t="shared" si="51"/>
        <v>1</v>
      </c>
      <c r="AU112">
        <f t="shared" ca="1" si="52"/>
        <v>1.4964689019920587</v>
      </c>
      <c r="AV112">
        <f t="shared" ca="1" si="53"/>
        <v>0.16145847518298406</v>
      </c>
      <c r="AW112">
        <f ca="1">IF(AND($AT112&lt;3,OFFSET(DATA!$C$14,$AS112,0)=AW$6),$AV112,dNULL)</f>
        <v>-99</v>
      </c>
      <c r="AX112">
        <f ca="1">IF(AND($AT112&lt;3,OFFSET(DATA!$C$14,$AS112,0)=AX$6),$AV112,dNULL)</f>
        <v>-99</v>
      </c>
      <c r="AY112">
        <f ca="1">IF(AND($AT112&lt;3,OFFSET(DATA!$C$14,$AS112,0)=AY$6),$AV112,dNULL)</f>
        <v>0.16145847518298406</v>
      </c>
      <c r="AZ112">
        <f ca="1">IF(AND($AT112&lt;3,OFFSET(DATA!$C$14,$AS112,0)=AZ$6),$AV112,dNULL)</f>
        <v>-99</v>
      </c>
      <c r="BA112">
        <f ca="1">IF(AND($AT112&lt;3,OFFSET(DATA!$C$14,$AS112,0)=BA$6),$AV112,dNULL)</f>
        <v>-99</v>
      </c>
      <c r="BB112">
        <f ca="1">IF(AND($AT112&lt;3,OFFSET(DATA!$C$14,$AS112,0)=BB$6),$AV112,dNULL)</f>
        <v>-99</v>
      </c>
      <c r="BC112">
        <f ca="1">IF(AND($AT112&lt;3,OFFSET(DATA!$C$14,$AS112,0)=BC$6),$AV112,dNULL)</f>
        <v>-99</v>
      </c>
      <c r="BD112">
        <f ca="1">IF(AND($AT112&lt;3,OFFSET(DATA!$C$14,$AS112,0)=BD$6),$AV112,dNULL)</f>
        <v>-99</v>
      </c>
      <c r="BE112">
        <f ca="1">IF(AND($AT112&lt;3,OFFSET(DATA!$C$14,$AS112,0)=BE$6),$AV112,dNULL)</f>
        <v>-99</v>
      </c>
      <c r="BF112">
        <f ca="1">IF(AND($AT112&lt;3,OFFSET(DATA!$C$14,$AS112,0)=BF$6),$AV112,dNULL)</f>
        <v>-99</v>
      </c>
      <c r="BG112">
        <f ca="1">IF(AND($AT112&lt;3,OFFSET(DATA!$C$14,$AS112,0)=BG$6),$AV112,dNULL)</f>
        <v>-99</v>
      </c>
      <c r="BH112">
        <f ca="1">IF(AND($AT112&lt;3,OFFSET(DATA!$C$14,$AS112,0)=BH$6),$AV112,dNULL)</f>
        <v>-99</v>
      </c>
      <c r="BU112">
        <f t="shared" si="58"/>
        <v>2</v>
      </c>
      <c r="BV112">
        <f t="shared" si="59"/>
        <v>1.1400000000000006</v>
      </c>
      <c r="BW112">
        <f t="shared" ca="1" si="54"/>
        <v>0.48399275956008475</v>
      </c>
      <c r="BX112">
        <f t="shared" ca="1" si="55"/>
        <v>-0.89642258401635477</v>
      </c>
    </row>
    <row r="113" spans="13:76" x14ac:dyDescent="0.25">
      <c r="N113">
        <f>N23+1+dAnionOFF</f>
        <v>-48.1</v>
      </c>
      <c r="O113">
        <f t="shared" si="61"/>
        <v>-85.563309893902527</v>
      </c>
      <c r="Q113">
        <f>N232+NumberOFF*COS(T118*PI()/180)</f>
        <v>-48.212499999999999</v>
      </c>
      <c r="R113">
        <f>O232-SIN(T118*PI()/180)*NumberOFF</f>
        <v>-85.368454178051024</v>
      </c>
      <c r="S113">
        <f>S93</f>
        <v>-20</v>
      </c>
      <c r="T113">
        <v>60</v>
      </c>
      <c r="Y113" s="26"/>
      <c r="Z113" s="26"/>
      <c r="AB113" s="26" t="str">
        <f t="shared" ca="1" si="43"/>
        <v/>
      </c>
      <c r="AC113">
        <f t="shared" ca="1" si="57"/>
        <v>90</v>
      </c>
      <c r="AD113" t="str">
        <f ca="1">IF(AND(AT113&lt;1,MAX(AW113:BH113)&gt;dNULL),DATA!$D121,"")</f>
        <v/>
      </c>
      <c r="AE113" s="7" t="str">
        <f ca="1">IF(LEN(DATA!D121)&gt;0,SUMPRODUCT(OFFSET(DATA!$R$6,AE$5,0,1,10),DATA!$R121:$AA121),"")</f>
        <v/>
      </c>
      <c r="AF113" s="7" t="str">
        <f ca="1">IF(LEN(DATA!E121)&gt;0,SUMPRODUCT(OFFSET(DATA!$R$6,AF$5,0,1,10),DATA!$R121:$AA121),"")</f>
        <v/>
      </c>
      <c r="AG113" s="7" t="str">
        <f ca="1">IF(LEN(DATA!F121)&gt;0,SUMPRODUCT(OFFSET(DATA!$R$6,AG$5,0,1,10),DATA!$R121:$AA121),"")</f>
        <v/>
      </c>
      <c r="AH113" s="7" t="str">
        <f ca="1">IF(LEN(DATA!G121)&gt;0,SUMPRODUCT(OFFSET(DATA!$R$6,AH$5,0,1,10),DATA!$R121:$AA121),"")</f>
        <v/>
      </c>
      <c r="AI113" s="7" t="str">
        <f ca="1">IF(LEN(DATA!H121)&gt;0,SUMPRODUCT(OFFSET(DATA!$R$6,AI$5,0,1,10),DATA!$R121:$AA121),"")</f>
        <v/>
      </c>
      <c r="AJ113" s="7" t="str">
        <f ca="1">IF(LEN(DATA!I121)&gt;0,SUMPRODUCT(OFFSET(DATA!$R$6,AJ$5,0,1,10),DATA!$R121:$AA121),"")</f>
        <v/>
      </c>
      <c r="AK113" s="7"/>
      <c r="AL113" s="7" t="e">
        <f t="shared" ca="1" si="44"/>
        <v>#DIV/0!</v>
      </c>
      <c r="AM113" s="7" t="e">
        <f t="shared" ca="1" si="45"/>
        <v>#DIV/0!</v>
      </c>
      <c r="AN113" s="7" t="e">
        <f t="shared" ca="1" si="46"/>
        <v>#DIV/0!</v>
      </c>
      <c r="AO113" s="7" t="e">
        <f t="shared" ca="1" si="47"/>
        <v>#DIV/0!</v>
      </c>
      <c r="AP113" s="7" t="e">
        <f t="shared" ca="1" si="48"/>
        <v>#DIV/0!</v>
      </c>
      <c r="AQ113" s="7" t="e">
        <f t="shared" ca="1" si="49"/>
        <v>#DIV/0!</v>
      </c>
      <c r="AS113">
        <f t="shared" si="50"/>
        <v>17</v>
      </c>
      <c r="AT113">
        <f t="shared" si="51"/>
        <v>1</v>
      </c>
      <c r="AU113">
        <f t="shared" ca="1" si="52"/>
        <v>1.5717937110723474</v>
      </c>
      <c r="AV113">
        <f t="shared" ca="1" si="53"/>
        <v>0.31794743309912787</v>
      </c>
      <c r="AW113">
        <f ca="1">IF(AND($AT113&lt;3,OFFSET(DATA!$C$14,$AS113,0)=AW$6),$AV113,dNULL)</f>
        <v>-99</v>
      </c>
      <c r="AX113">
        <f ca="1">IF(AND($AT113&lt;3,OFFSET(DATA!$C$14,$AS113,0)=AX$6),$AV113,dNULL)</f>
        <v>-99</v>
      </c>
      <c r="AY113">
        <f ca="1">IF(AND($AT113&lt;3,OFFSET(DATA!$C$14,$AS113,0)=AY$6),$AV113,dNULL)</f>
        <v>0.31794743309912787</v>
      </c>
      <c r="AZ113">
        <f ca="1">IF(AND($AT113&lt;3,OFFSET(DATA!$C$14,$AS113,0)=AZ$6),$AV113,dNULL)</f>
        <v>-99</v>
      </c>
      <c r="BA113">
        <f ca="1">IF(AND($AT113&lt;3,OFFSET(DATA!$C$14,$AS113,0)=BA$6),$AV113,dNULL)</f>
        <v>-99</v>
      </c>
      <c r="BB113">
        <f ca="1">IF(AND($AT113&lt;3,OFFSET(DATA!$C$14,$AS113,0)=BB$6),$AV113,dNULL)</f>
        <v>-99</v>
      </c>
      <c r="BC113">
        <f ca="1">IF(AND($AT113&lt;3,OFFSET(DATA!$C$14,$AS113,0)=BC$6),$AV113,dNULL)</f>
        <v>-99</v>
      </c>
      <c r="BD113">
        <f ca="1">IF(AND($AT113&lt;3,OFFSET(DATA!$C$14,$AS113,0)=BD$6),$AV113,dNULL)</f>
        <v>-99</v>
      </c>
      <c r="BE113">
        <f ca="1">IF(AND($AT113&lt;3,OFFSET(DATA!$C$14,$AS113,0)=BE$6),$AV113,dNULL)</f>
        <v>-99</v>
      </c>
      <c r="BF113">
        <f ca="1">IF(AND($AT113&lt;3,OFFSET(DATA!$C$14,$AS113,0)=BF$6),$AV113,dNULL)</f>
        <v>-99</v>
      </c>
      <c r="BG113">
        <f ca="1">IF(AND($AT113&lt;3,OFFSET(DATA!$C$14,$AS113,0)=BG$6),$AV113,dNULL)</f>
        <v>-99</v>
      </c>
      <c r="BH113">
        <f ca="1">IF(AND($AT113&lt;3,OFFSET(DATA!$C$14,$AS113,0)=BH$6),$AV113,dNULL)</f>
        <v>-99</v>
      </c>
      <c r="BU113">
        <f t="shared" si="58"/>
        <v>2</v>
      </c>
      <c r="BV113">
        <f t="shared" si="59"/>
        <v>1.1600000000000006</v>
      </c>
      <c r="BW113">
        <f t="shared" ca="1" si="54"/>
        <v>0.2</v>
      </c>
      <c r="BX113">
        <f t="shared" ca="1" si="55"/>
        <v>-0.2</v>
      </c>
    </row>
    <row r="114" spans="13:76" x14ac:dyDescent="0.25">
      <c r="Q114">
        <f>N233-NumberOFF*COS(T119*PI()/180)</f>
        <v>-48.787500000000001</v>
      </c>
      <c r="R114">
        <f>O233+SIN(T119*PI()/180)*NumberOFF</f>
        <v>-84.372524963698922</v>
      </c>
      <c r="S114">
        <f>S92</f>
        <v>120</v>
      </c>
      <c r="T114">
        <v>60</v>
      </c>
      <c r="Y114" s="26"/>
      <c r="Z114" s="26"/>
      <c r="AB114" s="26" t="str">
        <f t="shared" ca="1" si="43"/>
        <v/>
      </c>
      <c r="AC114">
        <f t="shared" ca="1" si="57"/>
        <v>90</v>
      </c>
      <c r="AD114" t="str">
        <f ca="1">IF(AND(AT114&lt;1,MAX(AW114:BH114)&gt;dNULL),DATA!$D122,"")</f>
        <v/>
      </c>
      <c r="AE114" s="7" t="str">
        <f ca="1">IF(LEN(DATA!D122)&gt;0,SUMPRODUCT(OFFSET(DATA!$R$6,AE$5,0,1,10),DATA!$R122:$AA122),"")</f>
        <v/>
      </c>
      <c r="AF114" s="7" t="str">
        <f ca="1">IF(LEN(DATA!E122)&gt;0,SUMPRODUCT(OFFSET(DATA!$R$6,AF$5,0,1,10),DATA!$R122:$AA122),"")</f>
        <v/>
      </c>
      <c r="AG114" s="7" t="str">
        <f ca="1">IF(LEN(DATA!F122)&gt;0,SUMPRODUCT(OFFSET(DATA!$R$6,AG$5,0,1,10),DATA!$R122:$AA122),"")</f>
        <v/>
      </c>
      <c r="AH114" s="7" t="str">
        <f ca="1">IF(LEN(DATA!G122)&gt;0,SUMPRODUCT(OFFSET(DATA!$R$6,AH$5,0,1,10),DATA!$R122:$AA122),"")</f>
        <v/>
      </c>
      <c r="AI114" s="7" t="str">
        <f ca="1">IF(LEN(DATA!H122)&gt;0,SUMPRODUCT(OFFSET(DATA!$R$6,AI$5,0,1,10),DATA!$R122:$AA122),"")</f>
        <v/>
      </c>
      <c r="AJ114" s="7" t="str">
        <f ca="1">IF(LEN(DATA!I122)&gt;0,SUMPRODUCT(OFFSET(DATA!$R$6,AJ$5,0,1,10),DATA!$R122:$AA122),"")</f>
        <v/>
      </c>
      <c r="AK114" s="7"/>
      <c r="AL114" s="7" t="e">
        <f t="shared" ca="1" si="44"/>
        <v>#DIV/0!</v>
      </c>
      <c r="AM114" s="7" t="e">
        <f t="shared" ca="1" si="45"/>
        <v>#DIV/0!</v>
      </c>
      <c r="AN114" s="7" t="e">
        <f t="shared" ca="1" si="46"/>
        <v>#DIV/0!</v>
      </c>
      <c r="AO114" s="7" t="e">
        <f t="shared" ca="1" si="47"/>
        <v>#DIV/0!</v>
      </c>
      <c r="AP114" s="7" t="e">
        <f t="shared" ca="1" si="48"/>
        <v>#DIV/0!</v>
      </c>
      <c r="AQ114" s="7" t="e">
        <f t="shared" ca="1" si="49"/>
        <v>#DIV/0!</v>
      </c>
      <c r="AS114">
        <f t="shared" si="50"/>
        <v>18</v>
      </c>
      <c r="AT114">
        <f t="shared" si="51"/>
        <v>1</v>
      </c>
      <c r="AU114">
        <f t="shared" ca="1" si="52"/>
        <v>1.4923005347865905</v>
      </c>
      <c r="AV114">
        <f t="shared" ca="1" si="53"/>
        <v>0.17489340787871976</v>
      </c>
      <c r="AW114">
        <f ca="1">IF(AND($AT114&lt;3,OFFSET(DATA!$C$14,$AS114,0)=AW$6),$AV114,dNULL)</f>
        <v>-99</v>
      </c>
      <c r="AX114">
        <f ca="1">IF(AND($AT114&lt;3,OFFSET(DATA!$C$14,$AS114,0)=AX$6),$AV114,dNULL)</f>
        <v>-99</v>
      </c>
      <c r="AY114">
        <f ca="1">IF(AND($AT114&lt;3,OFFSET(DATA!$C$14,$AS114,0)=AY$6),$AV114,dNULL)</f>
        <v>0.17489340787871976</v>
      </c>
      <c r="AZ114">
        <f ca="1">IF(AND($AT114&lt;3,OFFSET(DATA!$C$14,$AS114,0)=AZ$6),$AV114,dNULL)</f>
        <v>-99</v>
      </c>
      <c r="BA114">
        <f ca="1">IF(AND($AT114&lt;3,OFFSET(DATA!$C$14,$AS114,0)=BA$6),$AV114,dNULL)</f>
        <v>-99</v>
      </c>
      <c r="BB114">
        <f ca="1">IF(AND($AT114&lt;3,OFFSET(DATA!$C$14,$AS114,0)=BB$6),$AV114,dNULL)</f>
        <v>-99</v>
      </c>
      <c r="BC114">
        <f ca="1">IF(AND($AT114&lt;3,OFFSET(DATA!$C$14,$AS114,0)=BC$6),$AV114,dNULL)</f>
        <v>-99</v>
      </c>
      <c r="BD114">
        <f ca="1">IF(AND($AT114&lt;3,OFFSET(DATA!$C$14,$AS114,0)=BD$6),$AV114,dNULL)</f>
        <v>-99</v>
      </c>
      <c r="BE114">
        <f ca="1">IF(AND($AT114&lt;3,OFFSET(DATA!$C$14,$AS114,0)=BE$6),$AV114,dNULL)</f>
        <v>-99</v>
      </c>
      <c r="BF114">
        <f ca="1">IF(AND($AT114&lt;3,OFFSET(DATA!$C$14,$AS114,0)=BF$6),$AV114,dNULL)</f>
        <v>-99</v>
      </c>
      <c r="BG114">
        <f ca="1">IF(AND($AT114&lt;3,OFFSET(DATA!$C$14,$AS114,0)=BG$6),$AV114,dNULL)</f>
        <v>-99</v>
      </c>
      <c r="BH114">
        <f ca="1">IF(AND($AT114&lt;3,OFFSET(DATA!$C$14,$AS114,0)=BH$6),$AV114,dNULL)</f>
        <v>-99</v>
      </c>
      <c r="BU114">
        <f t="shared" si="58"/>
        <v>2</v>
      </c>
      <c r="BV114">
        <f t="shared" si="59"/>
        <v>1.1600000000000006</v>
      </c>
      <c r="BW114">
        <f t="shared" ca="1" si="54"/>
        <v>0.47648814133613521</v>
      </c>
      <c r="BX114">
        <f t="shared" ca="1" si="55"/>
        <v>-0.88659445132204961</v>
      </c>
    </row>
    <row r="115" spans="13:76" x14ac:dyDescent="0.25">
      <c r="N115">
        <f>N25+1+dAnionOFF</f>
        <v>-97.3</v>
      </c>
      <c r="O115">
        <f t="shared" si="61"/>
        <v>0</v>
      </c>
      <c r="Q115">
        <f>N235+NumberOFF*COS(T121*PI()/180)</f>
        <v>-48.074999999999996</v>
      </c>
      <c r="R115">
        <f>O235-SIN(T121*PI()/180)*NumberOFF</f>
        <v>-85.130297192010303</v>
      </c>
      <c r="S115">
        <f>S95</f>
        <v>-40</v>
      </c>
      <c r="T115">
        <v>60</v>
      </c>
      <c r="Y115" s="26"/>
      <c r="Z115" s="26"/>
      <c r="AB115" s="26" t="str">
        <f t="shared" ca="1" si="43"/>
        <v/>
      </c>
      <c r="AC115">
        <f t="shared" ca="1" si="57"/>
        <v>90</v>
      </c>
      <c r="AD115" t="str">
        <f ca="1">IF(AND(AT115&lt;1,MAX(AW115:BH115)&gt;dNULL),DATA!$D123,"")</f>
        <v/>
      </c>
      <c r="AE115" s="7" t="str">
        <f ca="1">IF(LEN(DATA!D123)&gt;0,SUMPRODUCT(OFFSET(DATA!$R$6,AE$5,0,1,10),DATA!$R123:$AA123),"")</f>
        <v/>
      </c>
      <c r="AF115" s="7" t="str">
        <f ca="1">IF(LEN(DATA!E123)&gt;0,SUMPRODUCT(OFFSET(DATA!$R$6,AF$5,0,1,10),DATA!$R123:$AA123),"")</f>
        <v/>
      </c>
      <c r="AG115" s="7" t="str">
        <f ca="1">IF(LEN(DATA!F123)&gt;0,SUMPRODUCT(OFFSET(DATA!$R$6,AG$5,0,1,10),DATA!$R123:$AA123),"")</f>
        <v/>
      </c>
      <c r="AH115" s="7" t="str">
        <f ca="1">IF(LEN(DATA!G123)&gt;0,SUMPRODUCT(OFFSET(DATA!$R$6,AH$5,0,1,10),DATA!$R123:$AA123),"")</f>
        <v/>
      </c>
      <c r="AI115" s="7" t="str">
        <f ca="1">IF(LEN(DATA!H123)&gt;0,SUMPRODUCT(OFFSET(DATA!$R$6,AI$5,0,1,10),DATA!$R123:$AA123),"")</f>
        <v/>
      </c>
      <c r="AJ115" s="7" t="str">
        <f ca="1">IF(LEN(DATA!I123)&gt;0,SUMPRODUCT(OFFSET(DATA!$R$6,AJ$5,0,1,10),DATA!$R123:$AA123),"")</f>
        <v/>
      </c>
      <c r="AK115" s="7"/>
      <c r="AL115" s="7" t="e">
        <f t="shared" ca="1" si="44"/>
        <v>#DIV/0!</v>
      </c>
      <c r="AM115" s="7" t="e">
        <f t="shared" ca="1" si="45"/>
        <v>#DIV/0!</v>
      </c>
      <c r="AN115" s="7" t="e">
        <f t="shared" ca="1" si="46"/>
        <v>#DIV/0!</v>
      </c>
      <c r="AO115" s="7" t="e">
        <f t="shared" ca="1" si="47"/>
        <v>#DIV/0!</v>
      </c>
      <c r="AP115" s="7" t="e">
        <f t="shared" ca="1" si="48"/>
        <v>#DIV/0!</v>
      </c>
      <c r="AQ115" s="7" t="e">
        <f t="shared" ca="1" si="49"/>
        <v>#DIV/0!</v>
      </c>
      <c r="AS115">
        <f t="shared" si="50"/>
        <v>19</v>
      </c>
      <c r="AT115">
        <f t="shared" si="51"/>
        <v>1</v>
      </c>
      <c r="AU115">
        <f t="shared" ca="1" si="52"/>
        <v>1.5359706108325886</v>
      </c>
      <c r="AV115">
        <f t="shared" ca="1" si="53"/>
        <v>0.20679585487643018</v>
      </c>
      <c r="AW115">
        <f ca="1">IF(AND($AT115&lt;3,OFFSET(DATA!$C$14,$AS115,0)=AW$6),$AV115,dNULL)</f>
        <v>-99</v>
      </c>
      <c r="AX115">
        <f ca="1">IF(AND($AT115&lt;3,OFFSET(DATA!$C$14,$AS115,0)=AX$6),$AV115,dNULL)</f>
        <v>-99</v>
      </c>
      <c r="AY115">
        <f ca="1">IF(AND($AT115&lt;3,OFFSET(DATA!$C$14,$AS115,0)=AY$6),$AV115,dNULL)</f>
        <v>0.20679585487643018</v>
      </c>
      <c r="AZ115">
        <f ca="1">IF(AND($AT115&lt;3,OFFSET(DATA!$C$14,$AS115,0)=AZ$6),$AV115,dNULL)</f>
        <v>-99</v>
      </c>
      <c r="BA115">
        <f ca="1">IF(AND($AT115&lt;3,OFFSET(DATA!$C$14,$AS115,0)=BA$6),$AV115,dNULL)</f>
        <v>-99</v>
      </c>
      <c r="BB115">
        <f ca="1">IF(AND($AT115&lt;3,OFFSET(DATA!$C$14,$AS115,0)=BB$6),$AV115,dNULL)</f>
        <v>-99</v>
      </c>
      <c r="BC115">
        <f ca="1">IF(AND($AT115&lt;3,OFFSET(DATA!$C$14,$AS115,0)=BC$6),$AV115,dNULL)</f>
        <v>-99</v>
      </c>
      <c r="BD115">
        <f ca="1">IF(AND($AT115&lt;3,OFFSET(DATA!$C$14,$AS115,0)=BD$6),$AV115,dNULL)</f>
        <v>-99</v>
      </c>
      <c r="BE115">
        <f ca="1">IF(AND($AT115&lt;3,OFFSET(DATA!$C$14,$AS115,0)=BE$6),$AV115,dNULL)</f>
        <v>-99</v>
      </c>
      <c r="BF115">
        <f ca="1">IF(AND($AT115&lt;3,OFFSET(DATA!$C$14,$AS115,0)=BF$6),$AV115,dNULL)</f>
        <v>-99</v>
      </c>
      <c r="BG115">
        <f ca="1">IF(AND($AT115&lt;3,OFFSET(DATA!$C$14,$AS115,0)=BG$6),$AV115,dNULL)</f>
        <v>-99</v>
      </c>
      <c r="BH115">
        <f ca="1">IF(AND($AT115&lt;3,OFFSET(DATA!$C$14,$AS115,0)=BH$6),$AV115,dNULL)</f>
        <v>-99</v>
      </c>
      <c r="BU115">
        <f t="shared" si="58"/>
        <v>2</v>
      </c>
      <c r="BV115">
        <f t="shared" si="59"/>
        <v>1.1800000000000006</v>
      </c>
      <c r="BW115">
        <f t="shared" ca="1" si="54"/>
        <v>0.2</v>
      </c>
      <c r="BX115">
        <f t="shared" ca="1" si="55"/>
        <v>-0.2</v>
      </c>
    </row>
    <row r="116" spans="13:76" x14ac:dyDescent="0.25">
      <c r="N116">
        <f>N26+1+dAnionOFF</f>
        <v>-48</v>
      </c>
      <c r="O116">
        <f t="shared" si="61"/>
        <v>-85.390104813145641</v>
      </c>
      <c r="Q116">
        <f>N236-NumberOFF*COS(T122*PI()/180)</f>
        <v>-48.725000000000001</v>
      </c>
      <c r="R116">
        <f>O236+SIN(T122*PI()/180)*NumberOFF</f>
        <v>-84.264271788225869</v>
      </c>
      <c r="S116">
        <f>S94</f>
        <v>140</v>
      </c>
      <c r="T116">
        <v>60</v>
      </c>
      <c r="Y116" s="26"/>
      <c r="Z116" s="26"/>
      <c r="AB116" s="26" t="str">
        <f t="shared" ca="1" si="43"/>
        <v/>
      </c>
      <c r="AC116">
        <f t="shared" ca="1" si="57"/>
        <v>90</v>
      </c>
      <c r="AD116" t="str">
        <f ca="1">IF(AND(AT116&lt;1,MAX(AW116:BH116)&gt;dNULL),DATA!$D124,"")</f>
        <v/>
      </c>
      <c r="AE116" s="7" t="str">
        <f ca="1">IF(LEN(DATA!D124)&gt;0,SUMPRODUCT(OFFSET(DATA!$R$6,AE$5,0,1,10),DATA!$R124:$AA124),"")</f>
        <v/>
      </c>
      <c r="AF116" s="7" t="str">
        <f ca="1">IF(LEN(DATA!E124)&gt;0,SUMPRODUCT(OFFSET(DATA!$R$6,AF$5,0,1,10),DATA!$R124:$AA124),"")</f>
        <v/>
      </c>
      <c r="AG116" s="7" t="str">
        <f ca="1">IF(LEN(DATA!F124)&gt;0,SUMPRODUCT(OFFSET(DATA!$R$6,AG$5,0,1,10),DATA!$R124:$AA124),"")</f>
        <v/>
      </c>
      <c r="AH116" s="7" t="str">
        <f ca="1">IF(LEN(DATA!G124)&gt;0,SUMPRODUCT(OFFSET(DATA!$R$6,AH$5,0,1,10),DATA!$R124:$AA124),"")</f>
        <v/>
      </c>
      <c r="AI116" s="7" t="str">
        <f ca="1">IF(LEN(DATA!H124)&gt;0,SUMPRODUCT(OFFSET(DATA!$R$6,AI$5,0,1,10),DATA!$R124:$AA124),"")</f>
        <v/>
      </c>
      <c r="AJ116" s="7" t="str">
        <f ca="1">IF(LEN(DATA!I124)&gt;0,SUMPRODUCT(OFFSET(DATA!$R$6,AJ$5,0,1,10),DATA!$R124:$AA124),"")</f>
        <v/>
      </c>
      <c r="AK116" s="7"/>
      <c r="AL116" s="7" t="e">
        <f t="shared" ca="1" si="44"/>
        <v>#DIV/0!</v>
      </c>
      <c r="AM116" s="7" t="e">
        <f t="shared" ca="1" si="45"/>
        <v>#DIV/0!</v>
      </c>
      <c r="AN116" s="7" t="e">
        <f t="shared" ca="1" si="46"/>
        <v>#DIV/0!</v>
      </c>
      <c r="AO116" s="7" t="e">
        <f t="shared" ca="1" si="47"/>
        <v>#DIV/0!</v>
      </c>
      <c r="AP116" s="7" t="e">
        <f t="shared" ca="1" si="48"/>
        <v>#DIV/0!</v>
      </c>
      <c r="AQ116" s="7" t="e">
        <f t="shared" ca="1" si="49"/>
        <v>#DIV/0!</v>
      </c>
      <c r="AS116">
        <f t="shared" si="50"/>
        <v>20</v>
      </c>
      <c r="AT116">
        <f t="shared" si="51"/>
        <v>1</v>
      </c>
      <c r="AU116">
        <f t="shared" ca="1" si="52"/>
        <v>1.4537676408757549</v>
      </c>
      <c r="AV116">
        <f t="shared" ca="1" si="53"/>
        <v>0.15746309139008383</v>
      </c>
      <c r="AW116">
        <f ca="1">IF(AND($AT116&lt;3,OFFSET(DATA!$C$14,$AS116,0)=AW$6),$AV116,dNULL)</f>
        <v>-99</v>
      </c>
      <c r="AX116">
        <f ca="1">IF(AND($AT116&lt;3,OFFSET(DATA!$C$14,$AS116,0)=AX$6),$AV116,dNULL)</f>
        <v>-99</v>
      </c>
      <c r="AY116">
        <f ca="1">IF(AND($AT116&lt;3,OFFSET(DATA!$C$14,$AS116,0)=AY$6),$AV116,dNULL)</f>
        <v>0.15746309139008383</v>
      </c>
      <c r="AZ116">
        <f ca="1">IF(AND($AT116&lt;3,OFFSET(DATA!$C$14,$AS116,0)=AZ$6),$AV116,dNULL)</f>
        <v>-99</v>
      </c>
      <c r="BA116">
        <f ca="1">IF(AND($AT116&lt;3,OFFSET(DATA!$C$14,$AS116,0)=BA$6),$AV116,dNULL)</f>
        <v>-99</v>
      </c>
      <c r="BB116">
        <f ca="1">IF(AND($AT116&lt;3,OFFSET(DATA!$C$14,$AS116,0)=BB$6),$AV116,dNULL)</f>
        <v>-99</v>
      </c>
      <c r="BC116">
        <f ca="1">IF(AND($AT116&lt;3,OFFSET(DATA!$C$14,$AS116,0)=BC$6),$AV116,dNULL)</f>
        <v>-99</v>
      </c>
      <c r="BD116">
        <f ca="1">IF(AND($AT116&lt;3,OFFSET(DATA!$C$14,$AS116,0)=BD$6),$AV116,dNULL)</f>
        <v>-99</v>
      </c>
      <c r="BE116">
        <f ca="1">IF(AND($AT116&lt;3,OFFSET(DATA!$C$14,$AS116,0)=BE$6),$AV116,dNULL)</f>
        <v>-99</v>
      </c>
      <c r="BF116">
        <f ca="1">IF(AND($AT116&lt;3,OFFSET(DATA!$C$14,$AS116,0)=BF$6),$AV116,dNULL)</f>
        <v>-99</v>
      </c>
      <c r="BG116">
        <f ca="1">IF(AND($AT116&lt;3,OFFSET(DATA!$C$14,$AS116,0)=BG$6),$AV116,dNULL)</f>
        <v>-99</v>
      </c>
      <c r="BH116">
        <f ca="1">IF(AND($AT116&lt;3,OFFSET(DATA!$C$14,$AS116,0)=BH$6),$AV116,dNULL)</f>
        <v>-99</v>
      </c>
      <c r="BU116">
        <f t="shared" si="58"/>
        <v>2</v>
      </c>
      <c r="BV116">
        <f t="shared" si="59"/>
        <v>1.1800000000000006</v>
      </c>
      <c r="BW116">
        <f t="shared" ca="1" si="54"/>
        <v>0.46898352311218566</v>
      </c>
      <c r="BX116">
        <f t="shared" ca="1" si="55"/>
        <v>-0.87676631862774457</v>
      </c>
    </row>
    <row r="117" spans="13:76" x14ac:dyDescent="0.25">
      <c r="Q117">
        <f>N238+NumberOFF*COS(T124*PI()/180)</f>
        <v>-47.974999999999994</v>
      </c>
      <c r="R117">
        <f>O238-SIN(T124*PI()/180)*NumberOFF</f>
        <v>-84.957092111253417</v>
      </c>
      <c r="S117">
        <f>S97</f>
        <v>-60</v>
      </c>
      <c r="T117">
        <v>60</v>
      </c>
      <c r="Y117" s="26"/>
      <c r="Z117" s="26"/>
      <c r="AB117" s="26" t="str">
        <f t="shared" ca="1" si="43"/>
        <v/>
      </c>
      <c r="AC117">
        <f t="shared" ca="1" si="57"/>
        <v>90</v>
      </c>
      <c r="AD117" t="str">
        <f ca="1">IF(AND(AT117&lt;1,MAX(AW117:BH117)&gt;dNULL),DATA!$D125,"")</f>
        <v/>
      </c>
      <c r="AE117" s="7" t="str">
        <f ca="1">IF(LEN(DATA!D125)&gt;0,SUMPRODUCT(OFFSET(DATA!$R$6,AE$5,0,1,10),DATA!$R125:$AA125),"")</f>
        <v/>
      </c>
      <c r="AF117" s="7" t="str">
        <f ca="1">IF(LEN(DATA!E125)&gt;0,SUMPRODUCT(OFFSET(DATA!$R$6,AF$5,0,1,10),DATA!$R125:$AA125),"")</f>
        <v/>
      </c>
      <c r="AG117" s="7" t="str">
        <f ca="1">IF(LEN(DATA!F125)&gt;0,SUMPRODUCT(OFFSET(DATA!$R$6,AG$5,0,1,10),DATA!$R125:$AA125),"")</f>
        <v/>
      </c>
      <c r="AH117" s="7" t="str">
        <f ca="1">IF(LEN(DATA!G125)&gt;0,SUMPRODUCT(OFFSET(DATA!$R$6,AH$5,0,1,10),DATA!$R125:$AA125),"")</f>
        <v/>
      </c>
      <c r="AI117" s="7" t="str">
        <f ca="1">IF(LEN(DATA!H125)&gt;0,SUMPRODUCT(OFFSET(DATA!$R$6,AI$5,0,1,10),DATA!$R125:$AA125),"")</f>
        <v/>
      </c>
      <c r="AJ117" s="7" t="str">
        <f ca="1">IF(LEN(DATA!I125)&gt;0,SUMPRODUCT(OFFSET(DATA!$R$6,AJ$5,0,1,10),DATA!$R125:$AA125),"")</f>
        <v/>
      </c>
      <c r="AK117" s="7"/>
      <c r="AL117" s="7" t="e">
        <f t="shared" ca="1" si="44"/>
        <v>#DIV/0!</v>
      </c>
      <c r="AM117" s="7" t="e">
        <f t="shared" ca="1" si="45"/>
        <v>#DIV/0!</v>
      </c>
      <c r="AN117" s="7" t="e">
        <f t="shared" ca="1" si="46"/>
        <v>#DIV/0!</v>
      </c>
      <c r="AO117" s="7" t="e">
        <f t="shared" ca="1" si="47"/>
        <v>#DIV/0!</v>
      </c>
      <c r="AP117" s="7" t="e">
        <f t="shared" ca="1" si="48"/>
        <v>#DIV/0!</v>
      </c>
      <c r="AQ117" s="7" t="e">
        <f t="shared" ca="1" si="49"/>
        <v>#DIV/0!</v>
      </c>
      <c r="AS117">
        <f t="shared" si="50"/>
        <v>21</v>
      </c>
      <c r="AT117">
        <f t="shared" si="51"/>
        <v>1</v>
      </c>
      <c r="AU117">
        <f t="shared" ca="1" si="52"/>
        <v>1.4572700296735905</v>
      </c>
      <c r="AV117">
        <f t="shared" ca="1" si="53"/>
        <v>0.14390926591076728</v>
      </c>
      <c r="AW117">
        <f ca="1">IF(AND($AT117&lt;3,OFFSET(DATA!$C$14,$AS117,0)=AW$6),$AV117,dNULL)</f>
        <v>-99</v>
      </c>
      <c r="AX117">
        <f ca="1">IF(AND($AT117&lt;3,OFFSET(DATA!$C$14,$AS117,0)=AX$6),$AV117,dNULL)</f>
        <v>-99</v>
      </c>
      <c r="AY117">
        <f ca="1">IF(AND($AT117&lt;3,OFFSET(DATA!$C$14,$AS117,0)=AY$6),$AV117,dNULL)</f>
        <v>0.14390926591076728</v>
      </c>
      <c r="AZ117">
        <f ca="1">IF(AND($AT117&lt;3,OFFSET(DATA!$C$14,$AS117,0)=AZ$6),$AV117,dNULL)</f>
        <v>-99</v>
      </c>
      <c r="BA117">
        <f ca="1">IF(AND($AT117&lt;3,OFFSET(DATA!$C$14,$AS117,0)=BA$6),$AV117,dNULL)</f>
        <v>-99</v>
      </c>
      <c r="BB117">
        <f ca="1">IF(AND($AT117&lt;3,OFFSET(DATA!$C$14,$AS117,0)=BB$6),$AV117,dNULL)</f>
        <v>-99</v>
      </c>
      <c r="BC117">
        <f ca="1">IF(AND($AT117&lt;3,OFFSET(DATA!$C$14,$AS117,0)=BC$6),$AV117,dNULL)</f>
        <v>-99</v>
      </c>
      <c r="BD117">
        <f ca="1">IF(AND($AT117&lt;3,OFFSET(DATA!$C$14,$AS117,0)=BD$6),$AV117,dNULL)</f>
        <v>-99</v>
      </c>
      <c r="BE117">
        <f ca="1">IF(AND($AT117&lt;3,OFFSET(DATA!$C$14,$AS117,0)=BE$6),$AV117,dNULL)</f>
        <v>-99</v>
      </c>
      <c r="BF117">
        <f ca="1">IF(AND($AT117&lt;3,OFFSET(DATA!$C$14,$AS117,0)=BF$6),$AV117,dNULL)</f>
        <v>-99</v>
      </c>
      <c r="BG117">
        <f ca="1">IF(AND($AT117&lt;3,OFFSET(DATA!$C$14,$AS117,0)=BG$6),$AV117,dNULL)</f>
        <v>-99</v>
      </c>
      <c r="BH117">
        <f ca="1">IF(AND($AT117&lt;3,OFFSET(DATA!$C$14,$AS117,0)=BH$6),$AV117,dNULL)</f>
        <v>-99</v>
      </c>
      <c r="BU117">
        <f t="shared" si="58"/>
        <v>2</v>
      </c>
      <c r="BV117">
        <f t="shared" si="59"/>
        <v>1.2000000000000006</v>
      </c>
      <c r="BW117">
        <f t="shared" ca="1" si="54"/>
        <v>0.2</v>
      </c>
      <c r="BX117">
        <f t="shared" ca="1" si="55"/>
        <v>-0.2</v>
      </c>
    </row>
    <row r="118" spans="13:76" x14ac:dyDescent="0.25">
      <c r="N118">
        <f>N28+1+dAnionOFF</f>
        <v>-97.1</v>
      </c>
      <c r="O118">
        <f t="shared" si="61"/>
        <v>0</v>
      </c>
      <c r="Q118">
        <f>N239-NumberOFF*COS(T125*PI()/180)</f>
        <v>-48.625</v>
      </c>
      <c r="R118">
        <f>O239+SIN(T125*PI()/180)*NumberOFF</f>
        <v>-84.091066707468983</v>
      </c>
      <c r="S118">
        <f>S96</f>
        <v>160</v>
      </c>
      <c r="T118">
        <v>60</v>
      </c>
      <c r="Y118" s="26"/>
      <c r="Z118" s="26"/>
      <c r="AB118" s="26" t="str">
        <f t="shared" ca="1" si="43"/>
        <v/>
      </c>
      <c r="AC118">
        <f t="shared" ca="1" si="57"/>
        <v>90</v>
      </c>
      <c r="AD118" t="str">
        <f ca="1">IF(AND(AT118&lt;1,MAX(AW118:BH118)&gt;dNULL),DATA!$D126,"")</f>
        <v/>
      </c>
      <c r="AE118" s="7" t="str">
        <f ca="1">IF(LEN(DATA!D126)&gt;0,SUMPRODUCT(OFFSET(DATA!$R$6,AE$5,0,1,10),DATA!$R126:$AA126),"")</f>
        <v/>
      </c>
      <c r="AF118" s="7" t="str">
        <f ca="1">IF(LEN(DATA!E126)&gt;0,SUMPRODUCT(OFFSET(DATA!$R$6,AF$5,0,1,10),DATA!$R126:$AA126),"")</f>
        <v/>
      </c>
      <c r="AG118" s="7" t="str">
        <f ca="1">IF(LEN(DATA!F126)&gt;0,SUMPRODUCT(OFFSET(DATA!$R$6,AG$5,0,1,10),DATA!$R126:$AA126),"")</f>
        <v/>
      </c>
      <c r="AH118" s="7" t="str">
        <f ca="1">IF(LEN(DATA!G126)&gt;0,SUMPRODUCT(OFFSET(DATA!$R$6,AH$5,0,1,10),DATA!$R126:$AA126),"")</f>
        <v/>
      </c>
      <c r="AI118" s="7" t="str">
        <f ca="1">IF(LEN(DATA!H126)&gt;0,SUMPRODUCT(OFFSET(DATA!$R$6,AI$5,0,1,10),DATA!$R126:$AA126),"")</f>
        <v/>
      </c>
      <c r="AJ118" s="7" t="str">
        <f ca="1">IF(LEN(DATA!I126)&gt;0,SUMPRODUCT(OFFSET(DATA!$R$6,AJ$5,0,1,10),DATA!$R126:$AA126),"")</f>
        <v/>
      </c>
      <c r="AK118" s="7"/>
      <c r="AL118" s="7" t="e">
        <f t="shared" ca="1" si="44"/>
        <v>#DIV/0!</v>
      </c>
      <c r="AM118" s="7" t="e">
        <f t="shared" ca="1" si="45"/>
        <v>#DIV/0!</v>
      </c>
      <c r="AN118" s="7" t="e">
        <f t="shared" ca="1" si="46"/>
        <v>#DIV/0!</v>
      </c>
      <c r="AO118" s="7" t="e">
        <f t="shared" ca="1" si="47"/>
        <v>#DIV/0!</v>
      </c>
      <c r="AP118" s="7" t="e">
        <f t="shared" ca="1" si="48"/>
        <v>#DIV/0!</v>
      </c>
      <c r="AQ118" s="7" t="e">
        <f t="shared" ca="1" si="49"/>
        <v>#DIV/0!</v>
      </c>
      <c r="AS118">
        <f t="shared" si="50"/>
        <v>22</v>
      </c>
      <c r="AT118">
        <f t="shared" si="51"/>
        <v>1</v>
      </c>
      <c r="AU118">
        <f t="shared" ca="1" si="52"/>
        <v>1.4579326827605565</v>
      </c>
      <c r="AV118">
        <f t="shared" ca="1" si="53"/>
        <v>0.1634796156022979</v>
      </c>
      <c r="AW118">
        <f ca="1">IF(AND($AT118&lt;3,OFFSET(DATA!$C$14,$AS118,0)=AW$6),$AV118,dNULL)</f>
        <v>-99</v>
      </c>
      <c r="AX118">
        <f ca="1">IF(AND($AT118&lt;3,OFFSET(DATA!$C$14,$AS118,0)=AX$6),$AV118,dNULL)</f>
        <v>-99</v>
      </c>
      <c r="AY118">
        <f ca="1">IF(AND($AT118&lt;3,OFFSET(DATA!$C$14,$AS118,0)=AY$6),$AV118,dNULL)</f>
        <v>0.1634796156022979</v>
      </c>
      <c r="AZ118">
        <f ca="1">IF(AND($AT118&lt;3,OFFSET(DATA!$C$14,$AS118,0)=AZ$6),$AV118,dNULL)</f>
        <v>-99</v>
      </c>
      <c r="BA118">
        <f ca="1">IF(AND($AT118&lt;3,OFFSET(DATA!$C$14,$AS118,0)=BA$6),$AV118,dNULL)</f>
        <v>-99</v>
      </c>
      <c r="BB118">
        <f ca="1">IF(AND($AT118&lt;3,OFFSET(DATA!$C$14,$AS118,0)=BB$6),$AV118,dNULL)</f>
        <v>-99</v>
      </c>
      <c r="BC118">
        <f ca="1">IF(AND($AT118&lt;3,OFFSET(DATA!$C$14,$AS118,0)=BC$6),$AV118,dNULL)</f>
        <v>-99</v>
      </c>
      <c r="BD118">
        <f ca="1">IF(AND($AT118&lt;3,OFFSET(DATA!$C$14,$AS118,0)=BD$6),$AV118,dNULL)</f>
        <v>-99</v>
      </c>
      <c r="BE118">
        <f ca="1">IF(AND($AT118&lt;3,OFFSET(DATA!$C$14,$AS118,0)=BE$6),$AV118,dNULL)</f>
        <v>-99</v>
      </c>
      <c r="BF118">
        <f ca="1">IF(AND($AT118&lt;3,OFFSET(DATA!$C$14,$AS118,0)=BF$6),$AV118,dNULL)</f>
        <v>-99</v>
      </c>
      <c r="BG118">
        <f ca="1">IF(AND($AT118&lt;3,OFFSET(DATA!$C$14,$AS118,0)=BG$6),$AV118,dNULL)</f>
        <v>-99</v>
      </c>
      <c r="BH118">
        <f ca="1">IF(AND($AT118&lt;3,OFFSET(DATA!$C$14,$AS118,0)=BH$6),$AV118,dNULL)</f>
        <v>-99</v>
      </c>
      <c r="BU118">
        <f t="shared" si="58"/>
        <v>2</v>
      </c>
      <c r="BV118">
        <f t="shared" si="59"/>
        <v>1.2000000000000006</v>
      </c>
      <c r="BW118">
        <f t="shared" ca="1" si="54"/>
        <v>0.46147890488823606</v>
      </c>
      <c r="BX118">
        <f t="shared" ca="1" si="55"/>
        <v>-0.86693818593343941</v>
      </c>
    </row>
    <row r="119" spans="13:76" x14ac:dyDescent="0.25">
      <c r="N119">
        <f>N29+1+dAnionOFF</f>
        <v>-47.9</v>
      </c>
      <c r="O119">
        <f t="shared" si="61"/>
        <v>-85.216899732388754</v>
      </c>
      <c r="Q119">
        <f>N241+NumberOFF*COS(T127*PI()/180)</f>
        <v>-47.874999999999993</v>
      </c>
      <c r="R119">
        <f>O241-SIN(T127*PI()/180)*NumberOFF</f>
        <v>-84.78388703049653</v>
      </c>
      <c r="S119">
        <f>S99</f>
        <v>-80</v>
      </c>
      <c r="T119">
        <v>60</v>
      </c>
      <c r="Y119" s="26"/>
      <c r="Z119" s="26"/>
      <c r="AB119" s="26" t="str">
        <f t="shared" ca="1" si="43"/>
        <v/>
      </c>
      <c r="AC119">
        <f t="shared" ca="1" si="57"/>
        <v>90</v>
      </c>
      <c r="AD119" t="str">
        <f ca="1">IF(AND(AT119&lt;1,MAX(AW119:BH119)&gt;dNULL),DATA!$D127,"")</f>
        <v/>
      </c>
      <c r="AE119" s="7" t="str">
        <f ca="1">IF(LEN(DATA!D127)&gt;0,SUMPRODUCT(OFFSET(DATA!$R$6,AE$5,0,1,10),DATA!$R127:$AA127),"")</f>
        <v/>
      </c>
      <c r="AF119" s="7" t="str">
        <f ca="1">IF(LEN(DATA!E127)&gt;0,SUMPRODUCT(OFFSET(DATA!$R$6,AF$5,0,1,10),DATA!$R127:$AA127),"")</f>
        <v/>
      </c>
      <c r="AG119" s="7" t="str">
        <f ca="1">IF(LEN(DATA!F127)&gt;0,SUMPRODUCT(OFFSET(DATA!$R$6,AG$5,0,1,10),DATA!$R127:$AA127),"")</f>
        <v/>
      </c>
      <c r="AH119" s="7" t="str">
        <f ca="1">IF(LEN(DATA!G127)&gt;0,SUMPRODUCT(OFFSET(DATA!$R$6,AH$5,0,1,10),DATA!$R127:$AA127),"")</f>
        <v/>
      </c>
      <c r="AI119" s="7" t="str">
        <f ca="1">IF(LEN(DATA!H127)&gt;0,SUMPRODUCT(OFFSET(DATA!$R$6,AI$5,0,1,10),DATA!$R127:$AA127),"")</f>
        <v/>
      </c>
      <c r="AJ119" s="7" t="str">
        <f ca="1">IF(LEN(DATA!I127)&gt;0,SUMPRODUCT(OFFSET(DATA!$R$6,AJ$5,0,1,10),DATA!$R127:$AA127),"")</f>
        <v/>
      </c>
      <c r="AK119" s="7"/>
      <c r="AL119" s="7" t="e">
        <f t="shared" ca="1" si="44"/>
        <v>#DIV/0!</v>
      </c>
      <c r="AM119" s="7" t="e">
        <f t="shared" ca="1" si="45"/>
        <v>#DIV/0!</v>
      </c>
      <c r="AN119" s="7" t="e">
        <f t="shared" ca="1" si="46"/>
        <v>#DIV/0!</v>
      </c>
      <c r="AO119" s="7" t="e">
        <f t="shared" ca="1" si="47"/>
        <v>#DIV/0!</v>
      </c>
      <c r="AP119" s="7" t="e">
        <f t="shared" ca="1" si="48"/>
        <v>#DIV/0!</v>
      </c>
      <c r="AQ119" s="7" t="e">
        <f t="shared" ca="1" si="49"/>
        <v>#DIV/0!</v>
      </c>
      <c r="AS119">
        <f t="shared" si="50"/>
        <v>23</v>
      </c>
      <c r="AT119">
        <f t="shared" si="51"/>
        <v>1</v>
      </c>
      <c r="AU119">
        <f t="shared" ca="1" si="52"/>
        <v>1.5552147239263805</v>
      </c>
      <c r="AV119">
        <f t="shared" ca="1" si="53"/>
        <v>0.24439980720297039</v>
      </c>
      <c r="AW119">
        <f ca="1">IF(AND($AT119&lt;3,OFFSET(DATA!$C$14,$AS119,0)=AW$6),$AV119,dNULL)</f>
        <v>-99</v>
      </c>
      <c r="AX119">
        <f ca="1">IF(AND($AT119&lt;3,OFFSET(DATA!$C$14,$AS119,0)=AX$6),$AV119,dNULL)</f>
        <v>-99</v>
      </c>
      <c r="AY119">
        <f ca="1">IF(AND($AT119&lt;3,OFFSET(DATA!$C$14,$AS119,0)=AY$6),$AV119,dNULL)</f>
        <v>0.24439980720297039</v>
      </c>
      <c r="AZ119">
        <f ca="1">IF(AND($AT119&lt;3,OFFSET(DATA!$C$14,$AS119,0)=AZ$6),$AV119,dNULL)</f>
        <v>-99</v>
      </c>
      <c r="BA119">
        <f ca="1">IF(AND($AT119&lt;3,OFFSET(DATA!$C$14,$AS119,0)=BA$6),$AV119,dNULL)</f>
        <v>-99</v>
      </c>
      <c r="BB119">
        <f ca="1">IF(AND($AT119&lt;3,OFFSET(DATA!$C$14,$AS119,0)=BB$6),$AV119,dNULL)</f>
        <v>-99</v>
      </c>
      <c r="BC119">
        <f ca="1">IF(AND($AT119&lt;3,OFFSET(DATA!$C$14,$AS119,0)=BC$6),$AV119,dNULL)</f>
        <v>-99</v>
      </c>
      <c r="BD119">
        <f ca="1">IF(AND($AT119&lt;3,OFFSET(DATA!$C$14,$AS119,0)=BD$6),$AV119,dNULL)</f>
        <v>-99</v>
      </c>
      <c r="BE119">
        <f ca="1">IF(AND($AT119&lt;3,OFFSET(DATA!$C$14,$AS119,0)=BE$6),$AV119,dNULL)</f>
        <v>-99</v>
      </c>
      <c r="BF119">
        <f ca="1">IF(AND($AT119&lt;3,OFFSET(DATA!$C$14,$AS119,0)=BF$6),$AV119,dNULL)</f>
        <v>-99</v>
      </c>
      <c r="BG119">
        <f ca="1">IF(AND($AT119&lt;3,OFFSET(DATA!$C$14,$AS119,0)=BG$6),$AV119,dNULL)</f>
        <v>-99</v>
      </c>
      <c r="BH119">
        <f ca="1">IF(AND($AT119&lt;3,OFFSET(DATA!$C$14,$AS119,0)=BH$6),$AV119,dNULL)</f>
        <v>-99</v>
      </c>
      <c r="BU119">
        <f t="shared" si="58"/>
        <v>2</v>
      </c>
      <c r="BV119">
        <f t="shared" si="59"/>
        <v>1.2200000000000006</v>
      </c>
      <c r="BW119">
        <f t="shared" ca="1" si="54"/>
        <v>0.2</v>
      </c>
      <c r="BX119">
        <f t="shared" ca="1" si="55"/>
        <v>-0.2</v>
      </c>
    </row>
    <row r="120" spans="13:76" x14ac:dyDescent="0.25">
      <c r="Q120">
        <f>N242-NumberOFF*COS(T128*PI()/180)</f>
        <v>-48.524999999999999</v>
      </c>
      <c r="R120">
        <f>O242+SIN(T128*PI()/180)*NumberOFF</f>
        <v>-83.917861626712096</v>
      </c>
      <c r="S120">
        <f>S98</f>
        <v>180</v>
      </c>
      <c r="T120">
        <v>60</v>
      </c>
      <c r="Y120" s="26"/>
      <c r="Z120" s="26"/>
      <c r="AB120" s="26" t="str">
        <f t="shared" ca="1" si="43"/>
        <v/>
      </c>
      <c r="AC120">
        <f t="shared" ca="1" si="57"/>
        <v>90</v>
      </c>
      <c r="AD120" t="str">
        <f ca="1">IF(AND(AT120&lt;1,MAX(AW120:BH120)&gt;dNULL),DATA!$D128,"")</f>
        <v/>
      </c>
      <c r="AE120" s="7" t="str">
        <f ca="1">IF(LEN(DATA!D128)&gt;0,SUMPRODUCT(OFFSET(DATA!$R$6,AE$5,0,1,10),DATA!$R128:$AA128),"")</f>
        <v/>
      </c>
      <c r="AF120" s="7" t="str">
        <f ca="1">IF(LEN(DATA!E128)&gt;0,SUMPRODUCT(OFFSET(DATA!$R$6,AF$5,0,1,10),DATA!$R128:$AA128),"")</f>
        <v/>
      </c>
      <c r="AG120" s="7" t="str">
        <f ca="1">IF(LEN(DATA!F128)&gt;0,SUMPRODUCT(OFFSET(DATA!$R$6,AG$5,0,1,10),DATA!$R128:$AA128),"")</f>
        <v/>
      </c>
      <c r="AH120" s="7" t="str">
        <f ca="1">IF(LEN(DATA!G128)&gt;0,SUMPRODUCT(OFFSET(DATA!$R$6,AH$5,0,1,10),DATA!$R128:$AA128),"")</f>
        <v/>
      </c>
      <c r="AI120" s="7" t="str">
        <f ca="1">IF(LEN(DATA!H128)&gt;0,SUMPRODUCT(OFFSET(DATA!$R$6,AI$5,0,1,10),DATA!$R128:$AA128),"")</f>
        <v/>
      </c>
      <c r="AJ120" s="7" t="str">
        <f ca="1">IF(LEN(DATA!I128)&gt;0,SUMPRODUCT(OFFSET(DATA!$R$6,AJ$5,0,1,10),DATA!$R128:$AA128),"")</f>
        <v/>
      </c>
      <c r="AK120" s="7"/>
      <c r="AL120" s="7" t="e">
        <f t="shared" ca="1" si="44"/>
        <v>#DIV/0!</v>
      </c>
      <c r="AM120" s="7" t="e">
        <f t="shared" ca="1" si="45"/>
        <v>#DIV/0!</v>
      </c>
      <c r="AN120" s="7" t="e">
        <f t="shared" ca="1" si="46"/>
        <v>#DIV/0!</v>
      </c>
      <c r="AO120" s="7" t="e">
        <f t="shared" ca="1" si="47"/>
        <v>#DIV/0!</v>
      </c>
      <c r="AP120" s="7" t="e">
        <f t="shared" ca="1" si="48"/>
        <v>#DIV/0!</v>
      </c>
      <c r="AQ120" s="7" t="e">
        <f t="shared" ca="1" si="49"/>
        <v>#DIV/0!</v>
      </c>
      <c r="AS120">
        <f t="shared" si="50"/>
        <v>24</v>
      </c>
      <c r="AT120">
        <f t="shared" si="51"/>
        <v>1</v>
      </c>
      <c r="AU120">
        <f t="shared" ca="1" si="52"/>
        <v>1.5742227371071897</v>
      </c>
      <c r="AV120">
        <f t="shared" ca="1" si="53"/>
        <v>0.31310637042775208</v>
      </c>
      <c r="AW120">
        <f ca="1">IF(AND($AT120&lt;3,OFFSET(DATA!$C$14,$AS120,0)=AW$6),$AV120,dNULL)</f>
        <v>-99</v>
      </c>
      <c r="AX120">
        <f ca="1">IF(AND($AT120&lt;3,OFFSET(DATA!$C$14,$AS120,0)=AX$6),$AV120,dNULL)</f>
        <v>-99</v>
      </c>
      <c r="AY120">
        <f ca="1">IF(AND($AT120&lt;3,OFFSET(DATA!$C$14,$AS120,0)=AY$6),$AV120,dNULL)</f>
        <v>-99</v>
      </c>
      <c r="AZ120">
        <f ca="1">IF(AND($AT120&lt;3,OFFSET(DATA!$C$14,$AS120,0)=AZ$6),$AV120,dNULL)</f>
        <v>-99</v>
      </c>
      <c r="BA120">
        <f ca="1">IF(AND($AT120&lt;3,OFFSET(DATA!$C$14,$AS120,0)=BA$6),$AV120,dNULL)</f>
        <v>0.31310637042775208</v>
      </c>
      <c r="BB120">
        <f ca="1">IF(AND($AT120&lt;3,OFFSET(DATA!$C$14,$AS120,0)=BB$6),$AV120,dNULL)</f>
        <v>-99</v>
      </c>
      <c r="BC120">
        <f ca="1">IF(AND($AT120&lt;3,OFFSET(DATA!$C$14,$AS120,0)=BC$6),$AV120,dNULL)</f>
        <v>-99</v>
      </c>
      <c r="BD120">
        <f ca="1">IF(AND($AT120&lt;3,OFFSET(DATA!$C$14,$AS120,0)=BD$6),$AV120,dNULL)</f>
        <v>-99</v>
      </c>
      <c r="BE120">
        <f ca="1">IF(AND($AT120&lt;3,OFFSET(DATA!$C$14,$AS120,0)=BE$6),$AV120,dNULL)</f>
        <v>-99</v>
      </c>
      <c r="BF120">
        <f ca="1">IF(AND($AT120&lt;3,OFFSET(DATA!$C$14,$AS120,0)=BF$6),$AV120,dNULL)</f>
        <v>-99</v>
      </c>
      <c r="BG120">
        <f ca="1">IF(AND($AT120&lt;3,OFFSET(DATA!$C$14,$AS120,0)=BG$6),$AV120,dNULL)</f>
        <v>-99</v>
      </c>
      <c r="BH120">
        <f ca="1">IF(AND($AT120&lt;3,OFFSET(DATA!$C$14,$AS120,0)=BH$6),$AV120,dNULL)</f>
        <v>-99</v>
      </c>
      <c r="BU120">
        <f t="shared" si="58"/>
        <v>2</v>
      </c>
      <c r="BV120">
        <f t="shared" si="59"/>
        <v>1.2200000000000006</v>
      </c>
      <c r="BW120">
        <f t="shared" ca="1" si="54"/>
        <v>0.45397428666428652</v>
      </c>
      <c r="BX120">
        <f t="shared" ca="1" si="55"/>
        <v>-0.85711005323913425</v>
      </c>
    </row>
    <row r="121" spans="13:76" x14ac:dyDescent="0.25">
      <c r="N121">
        <f>N31+1+dAnionOFF</f>
        <v>-96.899999999999991</v>
      </c>
      <c r="O121">
        <f t="shared" si="61"/>
        <v>0</v>
      </c>
      <c r="Y121" s="26"/>
      <c r="Z121" s="26"/>
      <c r="AB121" s="26" t="str">
        <f t="shared" ca="1" si="43"/>
        <v/>
      </c>
      <c r="AC121">
        <f t="shared" ca="1" si="57"/>
        <v>90</v>
      </c>
      <c r="AD121" t="str">
        <f ca="1">IF(AND(AT121&lt;1,MAX(AW121:BH121)&gt;dNULL),DATA!$D129,"")</f>
        <v/>
      </c>
      <c r="AE121" s="7" t="str">
        <f ca="1">IF(LEN(DATA!D129)&gt;0,SUMPRODUCT(OFFSET(DATA!$R$6,AE$5,0,1,10),DATA!$R129:$AA129),"")</f>
        <v/>
      </c>
      <c r="AF121" s="7" t="str">
        <f ca="1">IF(LEN(DATA!E129)&gt;0,SUMPRODUCT(OFFSET(DATA!$R$6,AF$5,0,1,10),DATA!$R129:$AA129),"")</f>
        <v/>
      </c>
      <c r="AG121" s="7" t="str">
        <f ca="1">IF(LEN(DATA!F129)&gt;0,SUMPRODUCT(OFFSET(DATA!$R$6,AG$5,0,1,10),DATA!$R129:$AA129),"")</f>
        <v/>
      </c>
      <c r="AH121" s="7" t="str">
        <f ca="1">IF(LEN(DATA!G129)&gt;0,SUMPRODUCT(OFFSET(DATA!$R$6,AH$5,0,1,10),DATA!$R129:$AA129),"")</f>
        <v/>
      </c>
      <c r="AI121" s="7" t="str">
        <f ca="1">IF(LEN(DATA!H129)&gt;0,SUMPRODUCT(OFFSET(DATA!$R$6,AI$5,0,1,10),DATA!$R129:$AA129),"")</f>
        <v/>
      </c>
      <c r="AJ121" s="7" t="str">
        <f ca="1">IF(LEN(DATA!I129)&gt;0,SUMPRODUCT(OFFSET(DATA!$R$6,AJ$5,0,1,10),DATA!$R129:$AA129),"")</f>
        <v/>
      </c>
      <c r="AK121" s="7"/>
      <c r="AL121" s="7" t="e">
        <f t="shared" ca="1" si="44"/>
        <v>#DIV/0!</v>
      </c>
      <c r="AM121" s="7" t="e">
        <f t="shared" ca="1" si="45"/>
        <v>#DIV/0!</v>
      </c>
      <c r="AN121" s="7" t="e">
        <f t="shared" ca="1" si="46"/>
        <v>#DIV/0!</v>
      </c>
      <c r="AO121" s="7" t="e">
        <f t="shared" ca="1" si="47"/>
        <v>#DIV/0!</v>
      </c>
      <c r="AP121" s="7" t="e">
        <f t="shared" ca="1" si="48"/>
        <v>#DIV/0!</v>
      </c>
      <c r="AQ121" s="7" t="e">
        <f t="shared" ca="1" si="49"/>
        <v>#DIV/0!</v>
      </c>
      <c r="AS121">
        <f t="shared" si="50"/>
        <v>25</v>
      </c>
      <c r="AT121">
        <f t="shared" si="51"/>
        <v>1</v>
      </c>
      <c r="AU121">
        <f t="shared" ca="1" si="52"/>
        <v>1.5685714285714285</v>
      </c>
      <c r="AV121">
        <f t="shared" ca="1" si="53"/>
        <v>0.33057426841600279</v>
      </c>
      <c r="AW121">
        <f ca="1">IF(AND($AT121&lt;3,OFFSET(DATA!$C$14,$AS121,0)=AW$6),$AV121,dNULL)</f>
        <v>-99</v>
      </c>
      <c r="AX121">
        <f ca="1">IF(AND($AT121&lt;3,OFFSET(DATA!$C$14,$AS121,0)=AX$6),$AV121,dNULL)</f>
        <v>-99</v>
      </c>
      <c r="AY121">
        <f ca="1">IF(AND($AT121&lt;3,OFFSET(DATA!$C$14,$AS121,0)=AY$6),$AV121,dNULL)</f>
        <v>-99</v>
      </c>
      <c r="AZ121">
        <f ca="1">IF(AND($AT121&lt;3,OFFSET(DATA!$C$14,$AS121,0)=AZ$6),$AV121,dNULL)</f>
        <v>-99</v>
      </c>
      <c r="BA121">
        <f ca="1">IF(AND($AT121&lt;3,OFFSET(DATA!$C$14,$AS121,0)=BA$6),$AV121,dNULL)</f>
        <v>0.33057426841600279</v>
      </c>
      <c r="BB121">
        <f ca="1">IF(AND($AT121&lt;3,OFFSET(DATA!$C$14,$AS121,0)=BB$6),$AV121,dNULL)</f>
        <v>-99</v>
      </c>
      <c r="BC121">
        <f ca="1">IF(AND($AT121&lt;3,OFFSET(DATA!$C$14,$AS121,0)=BC$6),$AV121,dNULL)</f>
        <v>-99</v>
      </c>
      <c r="BD121">
        <f ca="1">IF(AND($AT121&lt;3,OFFSET(DATA!$C$14,$AS121,0)=BD$6),$AV121,dNULL)</f>
        <v>-99</v>
      </c>
      <c r="BE121">
        <f ca="1">IF(AND($AT121&lt;3,OFFSET(DATA!$C$14,$AS121,0)=BE$6),$AV121,dNULL)</f>
        <v>-99</v>
      </c>
      <c r="BF121">
        <f ca="1">IF(AND($AT121&lt;3,OFFSET(DATA!$C$14,$AS121,0)=BF$6),$AV121,dNULL)</f>
        <v>-99</v>
      </c>
      <c r="BG121">
        <f ca="1">IF(AND($AT121&lt;3,OFFSET(DATA!$C$14,$AS121,0)=BG$6),$AV121,dNULL)</f>
        <v>-99</v>
      </c>
      <c r="BH121">
        <f ca="1">IF(AND($AT121&lt;3,OFFSET(DATA!$C$14,$AS121,0)=BH$6),$AV121,dNULL)</f>
        <v>-99</v>
      </c>
      <c r="BU121">
        <f t="shared" si="58"/>
        <v>2</v>
      </c>
      <c r="BV121">
        <f t="shared" si="59"/>
        <v>1.2400000000000007</v>
      </c>
      <c r="BW121">
        <f t="shared" ca="1" si="54"/>
        <v>0.2</v>
      </c>
      <c r="BX121">
        <f t="shared" ca="1" si="55"/>
        <v>-0.2</v>
      </c>
    </row>
    <row r="122" spans="13:76" x14ac:dyDescent="0.25">
      <c r="N122">
        <f>N32+1+dAnionOFF</f>
        <v>-47.8</v>
      </c>
      <c r="O122">
        <f t="shared" si="61"/>
        <v>-85.043694651631867</v>
      </c>
      <c r="Y122" s="26"/>
      <c r="Z122" s="26"/>
      <c r="AB122" s="26" t="str">
        <f t="shared" ca="1" si="43"/>
        <v/>
      </c>
      <c r="AC122">
        <f t="shared" ca="1" si="57"/>
        <v>90</v>
      </c>
      <c r="AD122" t="str">
        <f ca="1">IF(AND(AT122&lt;1,MAX(AW122:BH122)&gt;dNULL),DATA!$D130,"")</f>
        <v/>
      </c>
      <c r="AE122" s="7" t="str">
        <f ca="1">IF(LEN(DATA!D130)&gt;0,SUMPRODUCT(OFFSET(DATA!$R$6,AE$5,0,1,10),DATA!$R130:$AA130),"")</f>
        <v/>
      </c>
      <c r="AF122" s="7" t="str">
        <f ca="1">IF(LEN(DATA!E130)&gt;0,SUMPRODUCT(OFFSET(DATA!$R$6,AF$5,0,1,10),DATA!$R130:$AA130),"")</f>
        <v/>
      </c>
      <c r="AG122" s="7" t="str">
        <f ca="1">IF(LEN(DATA!F130)&gt;0,SUMPRODUCT(OFFSET(DATA!$R$6,AG$5,0,1,10),DATA!$R130:$AA130),"")</f>
        <v/>
      </c>
      <c r="AH122" s="7" t="str">
        <f ca="1">IF(LEN(DATA!G130)&gt;0,SUMPRODUCT(OFFSET(DATA!$R$6,AH$5,0,1,10),DATA!$R130:$AA130),"")</f>
        <v/>
      </c>
      <c r="AI122" s="7" t="str">
        <f ca="1">IF(LEN(DATA!H130)&gt;0,SUMPRODUCT(OFFSET(DATA!$R$6,AI$5,0,1,10),DATA!$R130:$AA130),"")</f>
        <v/>
      </c>
      <c r="AJ122" s="7" t="str">
        <f ca="1">IF(LEN(DATA!I130)&gt;0,SUMPRODUCT(OFFSET(DATA!$R$6,AJ$5,0,1,10),DATA!$R130:$AA130),"")</f>
        <v/>
      </c>
      <c r="AK122" s="7"/>
      <c r="AL122" s="7" t="e">
        <f t="shared" ca="1" si="44"/>
        <v>#DIV/0!</v>
      </c>
      <c r="AM122" s="7" t="e">
        <f t="shared" ca="1" si="45"/>
        <v>#DIV/0!</v>
      </c>
      <c r="AN122" s="7" t="e">
        <f t="shared" ca="1" si="46"/>
        <v>#DIV/0!</v>
      </c>
      <c r="AO122" s="7" t="e">
        <f t="shared" ca="1" si="47"/>
        <v>#DIV/0!</v>
      </c>
      <c r="AP122" s="7" t="e">
        <f t="shared" ca="1" si="48"/>
        <v>#DIV/0!</v>
      </c>
      <c r="AQ122" s="7" t="e">
        <f t="shared" ca="1" si="49"/>
        <v>#DIV/0!</v>
      </c>
      <c r="AS122">
        <f t="shared" si="50"/>
        <v>26</v>
      </c>
      <c r="AT122">
        <f t="shared" si="51"/>
        <v>1</v>
      </c>
      <c r="AU122">
        <f t="shared" ca="1" si="52"/>
        <v>1.6055593603885969</v>
      </c>
      <c r="AV122">
        <f t="shared" ca="1" si="53"/>
        <v>0.35774701895098143</v>
      </c>
      <c r="AW122">
        <f ca="1">IF(AND($AT122&lt;3,OFFSET(DATA!$C$14,$AS122,0)=AW$6),$AV122,dNULL)</f>
        <v>-99</v>
      </c>
      <c r="AX122">
        <f ca="1">IF(AND($AT122&lt;3,OFFSET(DATA!$C$14,$AS122,0)=AX$6),$AV122,dNULL)</f>
        <v>-99</v>
      </c>
      <c r="AY122">
        <f ca="1">IF(AND($AT122&lt;3,OFFSET(DATA!$C$14,$AS122,0)=AY$6),$AV122,dNULL)</f>
        <v>0.35774701895098143</v>
      </c>
      <c r="AZ122">
        <f ca="1">IF(AND($AT122&lt;3,OFFSET(DATA!$C$14,$AS122,0)=AZ$6),$AV122,dNULL)</f>
        <v>-99</v>
      </c>
      <c r="BA122">
        <f ca="1">IF(AND($AT122&lt;3,OFFSET(DATA!$C$14,$AS122,0)=BA$6),$AV122,dNULL)</f>
        <v>-99</v>
      </c>
      <c r="BB122">
        <f ca="1">IF(AND($AT122&lt;3,OFFSET(DATA!$C$14,$AS122,0)=BB$6),$AV122,dNULL)</f>
        <v>-99</v>
      </c>
      <c r="BC122">
        <f ca="1">IF(AND($AT122&lt;3,OFFSET(DATA!$C$14,$AS122,0)=BC$6),$AV122,dNULL)</f>
        <v>-99</v>
      </c>
      <c r="BD122">
        <f ca="1">IF(AND($AT122&lt;3,OFFSET(DATA!$C$14,$AS122,0)=BD$6),$AV122,dNULL)</f>
        <v>-99</v>
      </c>
      <c r="BE122">
        <f ca="1">IF(AND($AT122&lt;3,OFFSET(DATA!$C$14,$AS122,0)=BE$6),$AV122,dNULL)</f>
        <v>-99</v>
      </c>
      <c r="BF122">
        <f ca="1">IF(AND($AT122&lt;3,OFFSET(DATA!$C$14,$AS122,0)=BF$6),$AV122,dNULL)</f>
        <v>-99</v>
      </c>
      <c r="BG122">
        <f ca="1">IF(AND($AT122&lt;3,OFFSET(DATA!$C$14,$AS122,0)=BG$6),$AV122,dNULL)</f>
        <v>-99</v>
      </c>
      <c r="BH122">
        <f ca="1">IF(AND($AT122&lt;3,OFFSET(DATA!$C$14,$AS122,0)=BH$6),$AV122,dNULL)</f>
        <v>-99</v>
      </c>
      <c r="BU122">
        <f t="shared" si="58"/>
        <v>2</v>
      </c>
      <c r="BV122">
        <f t="shared" si="59"/>
        <v>1.2400000000000007</v>
      </c>
      <c r="BW122">
        <f t="shared" ca="1" si="54"/>
        <v>0.44646966844033698</v>
      </c>
      <c r="BX122">
        <f t="shared" ca="1" si="55"/>
        <v>-0.8472819205448292</v>
      </c>
    </row>
    <row r="123" spans="13:76" x14ac:dyDescent="0.25">
      <c r="Y123" s="26"/>
      <c r="Z123" s="26"/>
      <c r="AB123" s="26" t="str">
        <f t="shared" ca="1" si="43"/>
        <v/>
      </c>
      <c r="AC123">
        <f t="shared" ca="1" si="57"/>
        <v>90</v>
      </c>
      <c r="AD123" t="str">
        <f ca="1">IF(AND(AT123&lt;1,MAX(AW123:BH123)&gt;dNULL),DATA!$D131,"")</f>
        <v/>
      </c>
      <c r="AE123" s="7" t="str">
        <f ca="1">IF(LEN(DATA!D131)&gt;0,SUMPRODUCT(OFFSET(DATA!$R$6,AE$5,0,1,10),DATA!$R131:$AA131),"")</f>
        <v/>
      </c>
      <c r="AF123" s="7" t="str">
        <f ca="1">IF(LEN(DATA!E131)&gt;0,SUMPRODUCT(OFFSET(DATA!$R$6,AF$5,0,1,10),DATA!$R131:$AA131),"")</f>
        <v/>
      </c>
      <c r="AG123" s="7" t="str">
        <f ca="1">IF(LEN(DATA!F131)&gt;0,SUMPRODUCT(OFFSET(DATA!$R$6,AG$5,0,1,10),DATA!$R131:$AA131),"")</f>
        <v/>
      </c>
      <c r="AH123" s="7" t="str">
        <f ca="1">IF(LEN(DATA!G131)&gt;0,SUMPRODUCT(OFFSET(DATA!$R$6,AH$5,0,1,10),DATA!$R131:$AA131),"")</f>
        <v/>
      </c>
      <c r="AI123" s="7" t="str">
        <f ca="1">IF(LEN(DATA!H131)&gt;0,SUMPRODUCT(OFFSET(DATA!$R$6,AI$5,0,1,10),DATA!$R131:$AA131),"")</f>
        <v/>
      </c>
      <c r="AJ123" s="7" t="str">
        <f ca="1">IF(LEN(DATA!I131)&gt;0,SUMPRODUCT(OFFSET(DATA!$R$6,AJ$5,0,1,10),DATA!$R131:$AA131),"")</f>
        <v/>
      </c>
      <c r="AK123" s="7"/>
      <c r="AL123" s="7" t="e">
        <f t="shared" ca="1" si="44"/>
        <v>#DIV/0!</v>
      </c>
      <c r="AM123" s="7" t="e">
        <f t="shared" ca="1" si="45"/>
        <v>#DIV/0!</v>
      </c>
      <c r="AN123" s="7" t="e">
        <f t="shared" ca="1" si="46"/>
        <v>#DIV/0!</v>
      </c>
      <c r="AO123" s="7" t="e">
        <f t="shared" ca="1" si="47"/>
        <v>#DIV/0!</v>
      </c>
      <c r="AP123" s="7" t="e">
        <f t="shared" ca="1" si="48"/>
        <v>#DIV/0!</v>
      </c>
      <c r="AQ123" s="7" t="e">
        <f t="shared" ca="1" si="49"/>
        <v>#DIV/0!</v>
      </c>
      <c r="AS123">
        <f t="shared" si="50"/>
        <v>27</v>
      </c>
      <c r="AT123">
        <f t="shared" si="51"/>
        <v>1</v>
      </c>
      <c r="AU123">
        <f t="shared" ca="1" si="52"/>
        <v>1.5668740961705558</v>
      </c>
      <c r="AV123">
        <f t="shared" ca="1" si="53"/>
        <v>0.32201420617968207</v>
      </c>
      <c r="AW123">
        <f ca="1">IF(AND($AT123&lt;3,OFFSET(DATA!$C$14,$AS123,0)=AW$6),$AV123,dNULL)</f>
        <v>-99</v>
      </c>
      <c r="AX123">
        <f ca="1">IF(AND($AT123&lt;3,OFFSET(DATA!$C$14,$AS123,0)=AX$6),$AV123,dNULL)</f>
        <v>-99</v>
      </c>
      <c r="AY123">
        <f ca="1">IF(AND($AT123&lt;3,OFFSET(DATA!$C$14,$AS123,0)=AY$6),$AV123,dNULL)</f>
        <v>0.32201420617968207</v>
      </c>
      <c r="AZ123">
        <f ca="1">IF(AND($AT123&lt;3,OFFSET(DATA!$C$14,$AS123,0)=AZ$6),$AV123,dNULL)</f>
        <v>-99</v>
      </c>
      <c r="BA123">
        <f ca="1">IF(AND($AT123&lt;3,OFFSET(DATA!$C$14,$AS123,0)=BA$6),$AV123,dNULL)</f>
        <v>-99</v>
      </c>
      <c r="BB123">
        <f ca="1">IF(AND($AT123&lt;3,OFFSET(DATA!$C$14,$AS123,0)=BB$6),$AV123,dNULL)</f>
        <v>-99</v>
      </c>
      <c r="BC123">
        <f ca="1">IF(AND($AT123&lt;3,OFFSET(DATA!$C$14,$AS123,0)=BC$6),$AV123,dNULL)</f>
        <v>-99</v>
      </c>
      <c r="BD123">
        <f ca="1">IF(AND($AT123&lt;3,OFFSET(DATA!$C$14,$AS123,0)=BD$6),$AV123,dNULL)</f>
        <v>-99</v>
      </c>
      <c r="BE123">
        <f ca="1">IF(AND($AT123&lt;3,OFFSET(DATA!$C$14,$AS123,0)=BE$6),$AV123,dNULL)</f>
        <v>-99</v>
      </c>
      <c r="BF123">
        <f ca="1">IF(AND($AT123&lt;3,OFFSET(DATA!$C$14,$AS123,0)=BF$6),$AV123,dNULL)</f>
        <v>-99</v>
      </c>
      <c r="BG123">
        <f ca="1">IF(AND($AT123&lt;3,OFFSET(DATA!$C$14,$AS123,0)=BG$6),$AV123,dNULL)</f>
        <v>-99</v>
      </c>
      <c r="BH123">
        <f ca="1">IF(AND($AT123&lt;3,OFFSET(DATA!$C$14,$AS123,0)=BH$6),$AV123,dNULL)</f>
        <v>-99</v>
      </c>
      <c r="BU123">
        <f t="shared" si="58"/>
        <v>2</v>
      </c>
      <c r="BV123">
        <f t="shared" si="59"/>
        <v>1.2600000000000007</v>
      </c>
      <c r="BW123">
        <f t="shared" ca="1" si="54"/>
        <v>0.2</v>
      </c>
      <c r="BX123">
        <f t="shared" ca="1" si="55"/>
        <v>-0.2</v>
      </c>
    </row>
    <row r="124" spans="13:76" x14ac:dyDescent="0.25">
      <c r="N124">
        <f>N34+1+dAnionOFF</f>
        <v>-96.699999999999989</v>
      </c>
      <c r="O124">
        <f t="shared" si="61"/>
        <v>0</v>
      </c>
      <c r="Y124" s="26"/>
      <c r="Z124" s="26"/>
      <c r="AB124" s="26" t="str">
        <f t="shared" ca="1" si="43"/>
        <v/>
      </c>
      <c r="AC124">
        <f t="shared" ca="1" si="57"/>
        <v>90</v>
      </c>
      <c r="AD124" t="str">
        <f ca="1">IF(AND(AT124&lt;1,MAX(AW124:BH124)&gt;dNULL),DATA!$D132,"")</f>
        <v/>
      </c>
      <c r="AE124" s="7" t="str">
        <f ca="1">IF(LEN(DATA!D132)&gt;0,SUMPRODUCT(OFFSET(DATA!$R$6,AE$5,0,1,10),DATA!$R132:$AA132),"")</f>
        <v/>
      </c>
      <c r="AF124" s="7" t="str">
        <f ca="1">IF(LEN(DATA!E132)&gt;0,SUMPRODUCT(OFFSET(DATA!$R$6,AF$5,0,1,10),DATA!$R132:$AA132),"")</f>
        <v/>
      </c>
      <c r="AG124" s="7" t="str">
        <f ca="1">IF(LEN(DATA!F132)&gt;0,SUMPRODUCT(OFFSET(DATA!$R$6,AG$5,0,1,10),DATA!$R132:$AA132),"")</f>
        <v/>
      </c>
      <c r="AH124" s="7" t="str">
        <f ca="1">IF(LEN(DATA!G132)&gt;0,SUMPRODUCT(OFFSET(DATA!$R$6,AH$5,0,1,10),DATA!$R132:$AA132),"")</f>
        <v/>
      </c>
      <c r="AI124" s="7" t="str">
        <f ca="1">IF(LEN(DATA!H132)&gt;0,SUMPRODUCT(OFFSET(DATA!$R$6,AI$5,0,1,10),DATA!$R132:$AA132),"")</f>
        <v/>
      </c>
      <c r="AJ124" s="7" t="str">
        <f ca="1">IF(LEN(DATA!I132)&gt;0,SUMPRODUCT(OFFSET(DATA!$R$6,AJ$5,0,1,10),DATA!$R132:$AA132),"")</f>
        <v/>
      </c>
      <c r="AK124" s="7"/>
      <c r="AL124" s="7" t="e">
        <f t="shared" ca="1" si="44"/>
        <v>#DIV/0!</v>
      </c>
      <c r="AM124" s="7" t="e">
        <f t="shared" ca="1" si="45"/>
        <v>#DIV/0!</v>
      </c>
      <c r="AN124" s="7" t="e">
        <f t="shared" ca="1" si="46"/>
        <v>#DIV/0!</v>
      </c>
      <c r="AO124" s="7" t="e">
        <f t="shared" ca="1" si="47"/>
        <v>#DIV/0!</v>
      </c>
      <c r="AP124" s="7" t="e">
        <f t="shared" ca="1" si="48"/>
        <v>#DIV/0!</v>
      </c>
      <c r="AQ124" s="7" t="e">
        <f t="shared" ca="1" si="49"/>
        <v>#DIV/0!</v>
      </c>
      <c r="AS124">
        <f t="shared" si="50"/>
        <v>28</v>
      </c>
      <c r="AT124">
        <f t="shared" si="51"/>
        <v>1</v>
      </c>
      <c r="AU124">
        <f t="shared" ca="1" si="52"/>
        <v>1.5637614678899083</v>
      </c>
      <c r="AV124">
        <f t="shared" ca="1" si="53"/>
        <v>0.32178008122265839</v>
      </c>
      <c r="AW124">
        <f ca="1">IF(AND($AT124&lt;3,OFFSET(DATA!$C$14,$AS124,0)=AW$6),$AV124,dNULL)</f>
        <v>-99</v>
      </c>
      <c r="AX124">
        <f ca="1">IF(AND($AT124&lt;3,OFFSET(DATA!$C$14,$AS124,0)=AX$6),$AV124,dNULL)</f>
        <v>-99</v>
      </c>
      <c r="AY124">
        <f ca="1">IF(AND($AT124&lt;3,OFFSET(DATA!$C$14,$AS124,0)=AY$6),$AV124,dNULL)</f>
        <v>0.32178008122265839</v>
      </c>
      <c r="AZ124">
        <f ca="1">IF(AND($AT124&lt;3,OFFSET(DATA!$C$14,$AS124,0)=AZ$6),$AV124,dNULL)</f>
        <v>-99</v>
      </c>
      <c r="BA124">
        <f ca="1">IF(AND($AT124&lt;3,OFFSET(DATA!$C$14,$AS124,0)=BA$6),$AV124,dNULL)</f>
        <v>-99</v>
      </c>
      <c r="BB124">
        <f ca="1">IF(AND($AT124&lt;3,OFFSET(DATA!$C$14,$AS124,0)=BB$6),$AV124,dNULL)</f>
        <v>-99</v>
      </c>
      <c r="BC124">
        <f ca="1">IF(AND($AT124&lt;3,OFFSET(DATA!$C$14,$AS124,0)=BC$6),$AV124,dNULL)</f>
        <v>-99</v>
      </c>
      <c r="BD124">
        <f ca="1">IF(AND($AT124&lt;3,OFFSET(DATA!$C$14,$AS124,0)=BD$6),$AV124,dNULL)</f>
        <v>-99</v>
      </c>
      <c r="BE124">
        <f ca="1">IF(AND($AT124&lt;3,OFFSET(DATA!$C$14,$AS124,0)=BE$6),$AV124,dNULL)</f>
        <v>-99</v>
      </c>
      <c r="BF124">
        <f ca="1">IF(AND($AT124&lt;3,OFFSET(DATA!$C$14,$AS124,0)=BF$6),$AV124,dNULL)</f>
        <v>-99</v>
      </c>
      <c r="BG124">
        <f ca="1">IF(AND($AT124&lt;3,OFFSET(DATA!$C$14,$AS124,0)=BG$6),$AV124,dNULL)</f>
        <v>-99</v>
      </c>
      <c r="BH124">
        <f ca="1">IF(AND($AT124&lt;3,OFFSET(DATA!$C$14,$AS124,0)=BH$6),$AV124,dNULL)</f>
        <v>-99</v>
      </c>
      <c r="BU124">
        <f t="shared" si="58"/>
        <v>2</v>
      </c>
      <c r="BV124">
        <f t="shared" si="59"/>
        <v>1.2600000000000007</v>
      </c>
      <c r="BW124">
        <f t="shared" ca="1" si="54"/>
        <v>0.43896505021638743</v>
      </c>
      <c r="BX124">
        <f t="shared" ca="1" si="55"/>
        <v>-0.83745378785052405</v>
      </c>
    </row>
    <row r="125" spans="13:76" x14ac:dyDescent="0.25">
      <c r="N125">
        <f>N35+1+dAnionOFF</f>
        <v>-47.699999999999996</v>
      </c>
      <c r="O125">
        <f t="shared" si="61"/>
        <v>-84.870489570874966</v>
      </c>
      <c r="Y125" s="26"/>
      <c r="Z125" s="26"/>
      <c r="AB125" s="26" t="str">
        <f t="shared" ca="1" si="43"/>
        <v/>
      </c>
      <c r="AC125">
        <f t="shared" ca="1" si="57"/>
        <v>90</v>
      </c>
      <c r="AD125" t="str">
        <f ca="1">IF(AND(AT125&lt;1,MAX(AW125:BH125)&gt;dNULL),DATA!$D133,"")</f>
        <v/>
      </c>
      <c r="AE125" s="7" t="str">
        <f ca="1">IF(LEN(DATA!D133)&gt;0,SUMPRODUCT(OFFSET(DATA!$R$6,AE$5,0,1,10),DATA!$R133:$AA133),"")</f>
        <v/>
      </c>
      <c r="AF125" s="7" t="str">
        <f ca="1">IF(LEN(DATA!E133)&gt;0,SUMPRODUCT(OFFSET(DATA!$R$6,AF$5,0,1,10),DATA!$R133:$AA133),"")</f>
        <v/>
      </c>
      <c r="AG125" s="7" t="str">
        <f ca="1">IF(LEN(DATA!F133)&gt;0,SUMPRODUCT(OFFSET(DATA!$R$6,AG$5,0,1,10),DATA!$R133:$AA133),"")</f>
        <v/>
      </c>
      <c r="AH125" s="7" t="str">
        <f ca="1">IF(LEN(DATA!G133)&gt;0,SUMPRODUCT(OFFSET(DATA!$R$6,AH$5,0,1,10),DATA!$R133:$AA133),"")</f>
        <v/>
      </c>
      <c r="AI125" s="7" t="str">
        <f ca="1">IF(LEN(DATA!H133)&gt;0,SUMPRODUCT(OFFSET(DATA!$R$6,AI$5,0,1,10),DATA!$R133:$AA133),"")</f>
        <v/>
      </c>
      <c r="AJ125" s="7" t="str">
        <f ca="1">IF(LEN(DATA!I133)&gt;0,SUMPRODUCT(OFFSET(DATA!$R$6,AJ$5,0,1,10),DATA!$R133:$AA133),"")</f>
        <v/>
      </c>
      <c r="AK125" s="7"/>
      <c r="AL125" s="7" t="e">
        <f t="shared" ca="1" si="44"/>
        <v>#DIV/0!</v>
      </c>
      <c r="AM125" s="7" t="e">
        <f t="shared" ca="1" si="45"/>
        <v>#DIV/0!</v>
      </c>
      <c r="AN125" s="7" t="e">
        <f t="shared" ca="1" si="46"/>
        <v>#DIV/0!</v>
      </c>
      <c r="AO125" s="7" t="e">
        <f t="shared" ca="1" si="47"/>
        <v>#DIV/0!</v>
      </c>
      <c r="AP125" s="7" t="e">
        <f t="shared" ca="1" si="48"/>
        <v>#DIV/0!</v>
      </c>
      <c r="AQ125" s="7" t="e">
        <f t="shared" ca="1" si="49"/>
        <v>#DIV/0!</v>
      </c>
      <c r="AS125">
        <f t="shared" si="50"/>
        <v>29</v>
      </c>
      <c r="AT125">
        <f t="shared" si="51"/>
        <v>1</v>
      </c>
      <c r="AU125">
        <f t="shared" ca="1" si="52"/>
        <v>1.5826347305389221</v>
      </c>
      <c r="AV125">
        <f t="shared" ca="1" si="53"/>
        <v>0.31944410103665521</v>
      </c>
      <c r="AW125">
        <f ca="1">IF(AND($AT125&lt;3,OFFSET(DATA!$C$14,$AS125,0)=AW$6),$AV125,dNULL)</f>
        <v>-99</v>
      </c>
      <c r="AX125">
        <f ca="1">IF(AND($AT125&lt;3,OFFSET(DATA!$C$14,$AS125,0)=AX$6),$AV125,dNULL)</f>
        <v>-99</v>
      </c>
      <c r="AY125">
        <f ca="1">IF(AND($AT125&lt;3,OFFSET(DATA!$C$14,$AS125,0)=AY$6),$AV125,dNULL)</f>
        <v>0.31944410103665521</v>
      </c>
      <c r="AZ125">
        <f ca="1">IF(AND($AT125&lt;3,OFFSET(DATA!$C$14,$AS125,0)=AZ$6),$AV125,dNULL)</f>
        <v>-99</v>
      </c>
      <c r="BA125">
        <f ca="1">IF(AND($AT125&lt;3,OFFSET(DATA!$C$14,$AS125,0)=BA$6),$AV125,dNULL)</f>
        <v>-99</v>
      </c>
      <c r="BB125">
        <f ca="1">IF(AND($AT125&lt;3,OFFSET(DATA!$C$14,$AS125,0)=BB$6),$AV125,dNULL)</f>
        <v>-99</v>
      </c>
      <c r="BC125">
        <f ca="1">IF(AND($AT125&lt;3,OFFSET(DATA!$C$14,$AS125,0)=BC$6),$AV125,dNULL)</f>
        <v>-99</v>
      </c>
      <c r="BD125">
        <f ca="1">IF(AND($AT125&lt;3,OFFSET(DATA!$C$14,$AS125,0)=BD$6),$AV125,dNULL)</f>
        <v>-99</v>
      </c>
      <c r="BE125">
        <f ca="1">IF(AND($AT125&lt;3,OFFSET(DATA!$C$14,$AS125,0)=BE$6),$AV125,dNULL)</f>
        <v>-99</v>
      </c>
      <c r="BF125">
        <f ca="1">IF(AND($AT125&lt;3,OFFSET(DATA!$C$14,$AS125,0)=BF$6),$AV125,dNULL)</f>
        <v>-99</v>
      </c>
      <c r="BG125">
        <f ca="1">IF(AND($AT125&lt;3,OFFSET(DATA!$C$14,$AS125,0)=BG$6),$AV125,dNULL)</f>
        <v>-99</v>
      </c>
      <c r="BH125">
        <f ca="1">IF(AND($AT125&lt;3,OFFSET(DATA!$C$14,$AS125,0)=BH$6),$AV125,dNULL)</f>
        <v>-99</v>
      </c>
      <c r="BU125">
        <f t="shared" si="58"/>
        <v>2</v>
      </c>
      <c r="BV125">
        <f t="shared" si="59"/>
        <v>1.2800000000000007</v>
      </c>
      <c r="BW125">
        <f t="shared" ca="1" si="54"/>
        <v>0.2</v>
      </c>
      <c r="BX125">
        <f t="shared" ca="1" si="55"/>
        <v>-0.2</v>
      </c>
    </row>
    <row r="126" spans="13:76" x14ac:dyDescent="0.25">
      <c r="Y126" s="26"/>
      <c r="Z126" s="26"/>
      <c r="AB126" s="26" t="str">
        <f t="shared" ca="1" si="43"/>
        <v/>
      </c>
      <c r="AC126">
        <f t="shared" ca="1" si="57"/>
        <v>90</v>
      </c>
      <c r="AD126" t="str">
        <f ca="1">IF(AND(AT126&lt;1,MAX(AW126:BH126)&gt;dNULL),DATA!$D134,"")</f>
        <v/>
      </c>
      <c r="AE126" s="7" t="str">
        <f ca="1">IF(LEN(DATA!D134)&gt;0,SUMPRODUCT(OFFSET(DATA!$R$6,AE$5,0,1,10),DATA!$R134:$AA134),"")</f>
        <v/>
      </c>
      <c r="AF126" s="7" t="str">
        <f ca="1">IF(LEN(DATA!E134)&gt;0,SUMPRODUCT(OFFSET(DATA!$R$6,AF$5,0,1,10),DATA!$R134:$AA134),"")</f>
        <v/>
      </c>
      <c r="AG126" s="7" t="str">
        <f ca="1">IF(LEN(DATA!F134)&gt;0,SUMPRODUCT(OFFSET(DATA!$R$6,AG$5,0,1,10),DATA!$R134:$AA134),"")</f>
        <v/>
      </c>
      <c r="AH126" s="7" t="str">
        <f ca="1">IF(LEN(DATA!G134)&gt;0,SUMPRODUCT(OFFSET(DATA!$R$6,AH$5,0,1,10),DATA!$R134:$AA134),"")</f>
        <v/>
      </c>
      <c r="AI126" s="7" t="str">
        <f ca="1">IF(LEN(DATA!H134)&gt;0,SUMPRODUCT(OFFSET(DATA!$R$6,AI$5,0,1,10),DATA!$R134:$AA134),"")</f>
        <v/>
      </c>
      <c r="AJ126" s="7" t="str">
        <f ca="1">IF(LEN(DATA!I134)&gt;0,SUMPRODUCT(OFFSET(DATA!$R$6,AJ$5,0,1,10),DATA!$R134:$AA134),"")</f>
        <v/>
      </c>
      <c r="AK126" s="7"/>
      <c r="AL126" s="7" t="e">
        <f t="shared" ca="1" si="44"/>
        <v>#DIV/0!</v>
      </c>
      <c r="AM126" s="7" t="e">
        <f t="shared" ca="1" si="45"/>
        <v>#DIV/0!</v>
      </c>
      <c r="AN126" s="7" t="e">
        <f t="shared" ca="1" si="46"/>
        <v>#DIV/0!</v>
      </c>
      <c r="AO126" s="7" t="e">
        <f t="shared" ca="1" si="47"/>
        <v>#DIV/0!</v>
      </c>
      <c r="AP126" s="7" t="e">
        <f t="shared" ca="1" si="48"/>
        <v>#DIV/0!</v>
      </c>
      <c r="AQ126" s="7" t="e">
        <f t="shared" ca="1" si="49"/>
        <v>#DIV/0!</v>
      </c>
      <c r="AS126">
        <f t="shared" si="50"/>
        <v>30</v>
      </c>
      <c r="AT126">
        <f t="shared" si="51"/>
        <v>1</v>
      </c>
      <c r="AU126">
        <f t="shared" ca="1" si="52"/>
        <v>1.5825159914712152</v>
      </c>
      <c r="AV126">
        <f t="shared" ca="1" si="53"/>
        <v>0.32683687946662182</v>
      </c>
      <c r="AW126">
        <f ca="1">IF(AND($AT126&lt;3,OFFSET(DATA!$C$14,$AS126,0)=AW$6),$AV126,dNULL)</f>
        <v>-99</v>
      </c>
      <c r="AX126">
        <f ca="1">IF(AND($AT126&lt;3,OFFSET(DATA!$C$14,$AS126,0)=AX$6),$AV126,dNULL)</f>
        <v>-99</v>
      </c>
      <c r="AY126">
        <f ca="1">IF(AND($AT126&lt;3,OFFSET(DATA!$C$14,$AS126,0)=AY$6),$AV126,dNULL)</f>
        <v>0.32683687946662182</v>
      </c>
      <c r="AZ126">
        <f ca="1">IF(AND($AT126&lt;3,OFFSET(DATA!$C$14,$AS126,0)=AZ$6),$AV126,dNULL)</f>
        <v>-99</v>
      </c>
      <c r="BA126">
        <f ca="1">IF(AND($AT126&lt;3,OFFSET(DATA!$C$14,$AS126,0)=BA$6),$AV126,dNULL)</f>
        <v>-99</v>
      </c>
      <c r="BB126">
        <f ca="1">IF(AND($AT126&lt;3,OFFSET(DATA!$C$14,$AS126,0)=BB$6),$AV126,dNULL)</f>
        <v>-99</v>
      </c>
      <c r="BC126">
        <f ca="1">IF(AND($AT126&lt;3,OFFSET(DATA!$C$14,$AS126,0)=BC$6),$AV126,dNULL)</f>
        <v>-99</v>
      </c>
      <c r="BD126">
        <f ca="1">IF(AND($AT126&lt;3,OFFSET(DATA!$C$14,$AS126,0)=BD$6),$AV126,dNULL)</f>
        <v>-99</v>
      </c>
      <c r="BE126">
        <f ca="1">IF(AND($AT126&lt;3,OFFSET(DATA!$C$14,$AS126,0)=BE$6),$AV126,dNULL)</f>
        <v>-99</v>
      </c>
      <c r="BF126">
        <f ca="1">IF(AND($AT126&lt;3,OFFSET(DATA!$C$14,$AS126,0)=BF$6),$AV126,dNULL)</f>
        <v>-99</v>
      </c>
      <c r="BG126">
        <f ca="1">IF(AND($AT126&lt;3,OFFSET(DATA!$C$14,$AS126,0)=BG$6),$AV126,dNULL)</f>
        <v>-99</v>
      </c>
      <c r="BH126">
        <f ca="1">IF(AND($AT126&lt;3,OFFSET(DATA!$C$14,$AS126,0)=BH$6),$AV126,dNULL)</f>
        <v>-99</v>
      </c>
      <c r="BU126">
        <f t="shared" si="58"/>
        <v>2</v>
      </c>
      <c r="BV126">
        <f t="shared" si="59"/>
        <v>1.2800000000000007</v>
      </c>
      <c r="BW126">
        <f t="shared" ca="1" si="54"/>
        <v>0.43146043199243783</v>
      </c>
      <c r="BX126">
        <f t="shared" ca="1" si="55"/>
        <v>-0.82762565515621889</v>
      </c>
    </row>
    <row r="127" spans="13:76" x14ac:dyDescent="0.25">
      <c r="M127" t="s">
        <v>72</v>
      </c>
      <c r="N127">
        <f>N37+1+dAnionOFF</f>
        <v>1.4000000000000001</v>
      </c>
      <c r="O127">
        <f>O37</f>
        <v>0.17320508075688773</v>
      </c>
      <c r="Y127" s="26"/>
      <c r="Z127" s="26"/>
      <c r="AB127" s="26" t="str">
        <f t="shared" ca="1" si="43"/>
        <v/>
      </c>
      <c r="AC127">
        <f t="shared" ca="1" si="57"/>
        <v>90</v>
      </c>
      <c r="AD127" t="str">
        <f ca="1">IF(AND(AT127&lt;1,MAX(AW127:BH127)&gt;dNULL),DATA!$D135,"")</f>
        <v/>
      </c>
      <c r="AE127" s="7" t="str">
        <f ca="1">IF(LEN(DATA!D135)&gt;0,SUMPRODUCT(OFFSET(DATA!$R$6,AE$5,0,1,10),DATA!$R135:$AA135),"")</f>
        <v/>
      </c>
      <c r="AF127" s="7" t="str">
        <f ca="1">IF(LEN(DATA!E135)&gt;0,SUMPRODUCT(OFFSET(DATA!$R$6,AF$5,0,1,10),DATA!$R135:$AA135),"")</f>
        <v/>
      </c>
      <c r="AG127" s="7" t="str">
        <f ca="1">IF(LEN(DATA!F135)&gt;0,SUMPRODUCT(OFFSET(DATA!$R$6,AG$5,0,1,10),DATA!$R135:$AA135),"")</f>
        <v/>
      </c>
      <c r="AH127" s="7" t="str">
        <f ca="1">IF(LEN(DATA!G135)&gt;0,SUMPRODUCT(OFFSET(DATA!$R$6,AH$5,0,1,10),DATA!$R135:$AA135),"")</f>
        <v/>
      </c>
      <c r="AI127" s="7" t="str">
        <f ca="1">IF(LEN(DATA!H135)&gt;0,SUMPRODUCT(OFFSET(DATA!$R$6,AI$5,0,1,10),DATA!$R135:$AA135),"")</f>
        <v/>
      </c>
      <c r="AJ127" s="7" t="str">
        <f ca="1">IF(LEN(DATA!I135)&gt;0,SUMPRODUCT(OFFSET(DATA!$R$6,AJ$5,0,1,10),DATA!$R135:$AA135),"")</f>
        <v/>
      </c>
      <c r="AK127" s="7"/>
      <c r="AL127" s="7" t="e">
        <f t="shared" ca="1" si="44"/>
        <v>#DIV/0!</v>
      </c>
      <c r="AM127" s="7" t="e">
        <f t="shared" ca="1" si="45"/>
        <v>#DIV/0!</v>
      </c>
      <c r="AN127" s="7" t="e">
        <f t="shared" ca="1" si="46"/>
        <v>#DIV/0!</v>
      </c>
      <c r="AO127" s="7" t="e">
        <f t="shared" ca="1" si="47"/>
        <v>#DIV/0!</v>
      </c>
      <c r="AP127" s="7" t="e">
        <f t="shared" ca="1" si="48"/>
        <v>#DIV/0!</v>
      </c>
      <c r="AQ127" s="7" t="e">
        <f t="shared" ca="1" si="49"/>
        <v>#DIV/0!</v>
      </c>
      <c r="AS127">
        <f t="shared" si="50"/>
        <v>31</v>
      </c>
      <c r="AT127">
        <f t="shared" si="51"/>
        <v>1</v>
      </c>
      <c r="AU127">
        <f t="shared" ca="1" si="52"/>
        <v>1.5798264642082429</v>
      </c>
      <c r="AV127">
        <f t="shared" ca="1" si="53"/>
        <v>0.30432996835808912</v>
      </c>
      <c r="AW127">
        <f ca="1">IF(AND($AT127&lt;3,OFFSET(DATA!$C$14,$AS127,0)=AW$6),$AV127,dNULL)</f>
        <v>-99</v>
      </c>
      <c r="AX127">
        <f ca="1">IF(AND($AT127&lt;3,OFFSET(DATA!$C$14,$AS127,0)=AX$6),$AV127,dNULL)</f>
        <v>-99</v>
      </c>
      <c r="AY127">
        <f ca="1">IF(AND($AT127&lt;3,OFFSET(DATA!$C$14,$AS127,0)=AY$6),$AV127,dNULL)</f>
        <v>0.30432996835808912</v>
      </c>
      <c r="AZ127">
        <f ca="1">IF(AND($AT127&lt;3,OFFSET(DATA!$C$14,$AS127,0)=AZ$6),$AV127,dNULL)</f>
        <v>-99</v>
      </c>
      <c r="BA127">
        <f ca="1">IF(AND($AT127&lt;3,OFFSET(DATA!$C$14,$AS127,0)=BA$6),$AV127,dNULL)</f>
        <v>-99</v>
      </c>
      <c r="BB127">
        <f ca="1">IF(AND($AT127&lt;3,OFFSET(DATA!$C$14,$AS127,0)=BB$6),$AV127,dNULL)</f>
        <v>-99</v>
      </c>
      <c r="BC127">
        <f ca="1">IF(AND($AT127&lt;3,OFFSET(DATA!$C$14,$AS127,0)=BC$6),$AV127,dNULL)</f>
        <v>-99</v>
      </c>
      <c r="BD127">
        <f ca="1">IF(AND($AT127&lt;3,OFFSET(DATA!$C$14,$AS127,0)=BD$6),$AV127,dNULL)</f>
        <v>-99</v>
      </c>
      <c r="BE127">
        <f ca="1">IF(AND($AT127&lt;3,OFFSET(DATA!$C$14,$AS127,0)=BE$6),$AV127,dNULL)</f>
        <v>-99</v>
      </c>
      <c r="BF127">
        <f ca="1">IF(AND($AT127&lt;3,OFFSET(DATA!$C$14,$AS127,0)=BF$6),$AV127,dNULL)</f>
        <v>-99</v>
      </c>
      <c r="BG127">
        <f ca="1">IF(AND($AT127&lt;3,OFFSET(DATA!$C$14,$AS127,0)=BG$6),$AV127,dNULL)</f>
        <v>-99</v>
      </c>
      <c r="BH127">
        <f ca="1">IF(AND($AT127&lt;3,OFFSET(DATA!$C$14,$AS127,0)=BH$6),$AV127,dNULL)</f>
        <v>-99</v>
      </c>
      <c r="BU127">
        <f t="shared" si="58"/>
        <v>2</v>
      </c>
      <c r="BV127">
        <f t="shared" si="59"/>
        <v>1.3000000000000007</v>
      </c>
      <c r="BW127">
        <f t="shared" ca="1" si="54"/>
        <v>0.2</v>
      </c>
      <c r="BX127">
        <f t="shared" ca="1" si="55"/>
        <v>-0.2</v>
      </c>
    </row>
    <row r="128" spans="13:76" x14ac:dyDescent="0.25">
      <c r="N128">
        <f>N38+1+dAnionOFF</f>
        <v>2.1999999999999997</v>
      </c>
      <c r="O128">
        <f t="shared" ref="O128:O155" si="62">O38</f>
        <v>0.17320508075688773</v>
      </c>
      <c r="Y128" s="26"/>
      <c r="Z128" s="26"/>
      <c r="AB128" s="26" t="str">
        <f t="shared" ca="1" si="43"/>
        <v/>
      </c>
      <c r="AC128">
        <f t="shared" ca="1" si="57"/>
        <v>90</v>
      </c>
      <c r="AD128" t="str">
        <f ca="1">IF(AND(AT128&lt;1,MAX(AW128:BH128)&gt;dNULL),DATA!$D136,"")</f>
        <v/>
      </c>
      <c r="AE128" s="7" t="str">
        <f ca="1">IF(LEN(DATA!D136)&gt;0,SUMPRODUCT(OFFSET(DATA!$R$6,AE$5,0,1,10),DATA!$R136:$AA136),"")</f>
        <v/>
      </c>
      <c r="AF128" s="7" t="str">
        <f ca="1">IF(LEN(DATA!E136)&gt;0,SUMPRODUCT(OFFSET(DATA!$R$6,AF$5,0,1,10),DATA!$R136:$AA136),"")</f>
        <v/>
      </c>
      <c r="AG128" s="7" t="str">
        <f ca="1">IF(LEN(DATA!F136)&gt;0,SUMPRODUCT(OFFSET(DATA!$R$6,AG$5,0,1,10),DATA!$R136:$AA136),"")</f>
        <v/>
      </c>
      <c r="AH128" s="7" t="str">
        <f ca="1">IF(LEN(DATA!G136)&gt;0,SUMPRODUCT(OFFSET(DATA!$R$6,AH$5,0,1,10),DATA!$R136:$AA136),"")</f>
        <v/>
      </c>
      <c r="AI128" s="7" t="str">
        <f ca="1">IF(LEN(DATA!H136)&gt;0,SUMPRODUCT(OFFSET(DATA!$R$6,AI$5,0,1,10),DATA!$R136:$AA136),"")</f>
        <v/>
      </c>
      <c r="AJ128" s="7" t="str">
        <f ca="1">IF(LEN(DATA!I136)&gt;0,SUMPRODUCT(OFFSET(DATA!$R$6,AJ$5,0,1,10),DATA!$R136:$AA136),"")</f>
        <v/>
      </c>
      <c r="AK128" s="7"/>
      <c r="AL128" s="7" t="e">
        <f t="shared" ca="1" si="44"/>
        <v>#DIV/0!</v>
      </c>
      <c r="AM128" s="7" t="e">
        <f t="shared" ca="1" si="45"/>
        <v>#DIV/0!</v>
      </c>
      <c r="AN128" s="7" t="e">
        <f t="shared" ca="1" si="46"/>
        <v>#DIV/0!</v>
      </c>
      <c r="AO128" s="7" t="e">
        <f t="shared" ca="1" si="47"/>
        <v>#DIV/0!</v>
      </c>
      <c r="AP128" s="7" t="e">
        <f t="shared" ca="1" si="48"/>
        <v>#DIV/0!</v>
      </c>
      <c r="AQ128" s="7" t="e">
        <f t="shared" ca="1" si="49"/>
        <v>#DIV/0!</v>
      </c>
      <c r="AS128">
        <f t="shared" si="50"/>
        <v>32</v>
      </c>
      <c r="AT128">
        <f t="shared" si="51"/>
        <v>1</v>
      </c>
      <c r="AU128">
        <f t="shared" ca="1" si="52"/>
        <v>1.5808764940239044</v>
      </c>
      <c r="AV128">
        <f t="shared" ca="1" si="53"/>
        <v>0.35883124300231728</v>
      </c>
      <c r="AW128">
        <f ca="1">IF(AND($AT128&lt;3,OFFSET(DATA!$C$14,$AS128,0)=AW$6),$AV128,dNULL)</f>
        <v>-99</v>
      </c>
      <c r="AX128">
        <f ca="1">IF(AND($AT128&lt;3,OFFSET(DATA!$C$14,$AS128,0)=AX$6),$AV128,dNULL)</f>
        <v>-99</v>
      </c>
      <c r="AY128">
        <f ca="1">IF(AND($AT128&lt;3,OFFSET(DATA!$C$14,$AS128,0)=AY$6),$AV128,dNULL)</f>
        <v>0.35883124300231728</v>
      </c>
      <c r="AZ128">
        <f ca="1">IF(AND($AT128&lt;3,OFFSET(DATA!$C$14,$AS128,0)=AZ$6),$AV128,dNULL)</f>
        <v>-99</v>
      </c>
      <c r="BA128">
        <f ca="1">IF(AND($AT128&lt;3,OFFSET(DATA!$C$14,$AS128,0)=BA$6),$AV128,dNULL)</f>
        <v>-99</v>
      </c>
      <c r="BB128">
        <f ca="1">IF(AND($AT128&lt;3,OFFSET(DATA!$C$14,$AS128,0)=BB$6),$AV128,dNULL)</f>
        <v>-99</v>
      </c>
      <c r="BC128">
        <f ca="1">IF(AND($AT128&lt;3,OFFSET(DATA!$C$14,$AS128,0)=BC$6),$AV128,dNULL)</f>
        <v>-99</v>
      </c>
      <c r="BD128">
        <f ca="1">IF(AND($AT128&lt;3,OFFSET(DATA!$C$14,$AS128,0)=BD$6),$AV128,dNULL)</f>
        <v>-99</v>
      </c>
      <c r="BE128">
        <f ca="1">IF(AND($AT128&lt;3,OFFSET(DATA!$C$14,$AS128,0)=BE$6),$AV128,dNULL)</f>
        <v>-99</v>
      </c>
      <c r="BF128">
        <f ca="1">IF(AND($AT128&lt;3,OFFSET(DATA!$C$14,$AS128,0)=BF$6),$AV128,dNULL)</f>
        <v>-99</v>
      </c>
      <c r="BG128">
        <f ca="1">IF(AND($AT128&lt;3,OFFSET(DATA!$C$14,$AS128,0)=BG$6),$AV128,dNULL)</f>
        <v>-99</v>
      </c>
      <c r="BH128">
        <f ca="1">IF(AND($AT128&lt;3,OFFSET(DATA!$C$14,$AS128,0)=BH$6),$AV128,dNULL)</f>
        <v>-99</v>
      </c>
      <c r="BU128">
        <f t="shared" si="58"/>
        <v>2</v>
      </c>
      <c r="BV128">
        <f t="shared" si="59"/>
        <v>1.3000000000000007</v>
      </c>
      <c r="BW128">
        <f t="shared" ca="1" si="54"/>
        <v>0.42395581376848829</v>
      </c>
      <c r="BX128">
        <f t="shared" ca="1" si="55"/>
        <v>-0.81779752246191384</v>
      </c>
    </row>
    <row r="129" spans="14:76" x14ac:dyDescent="0.25">
      <c r="Y129" s="26"/>
      <c r="Z129" s="26"/>
      <c r="AB129" s="26" t="str">
        <f t="shared" ca="1" si="43"/>
        <v/>
      </c>
      <c r="AC129">
        <f t="shared" ca="1" si="57"/>
        <v>90</v>
      </c>
      <c r="AD129" t="str">
        <f ca="1">IF(AND(AT129&lt;1,MAX(AW129:BH129)&gt;dNULL),DATA!$D137,"")</f>
        <v/>
      </c>
      <c r="AE129" s="7" t="str">
        <f ca="1">IF(LEN(DATA!D137)&gt;0,SUMPRODUCT(OFFSET(DATA!$R$6,AE$5,0,1,10),DATA!$R137:$AA137),"")</f>
        <v/>
      </c>
      <c r="AF129" s="7" t="str">
        <f ca="1">IF(LEN(DATA!E137)&gt;0,SUMPRODUCT(OFFSET(DATA!$R$6,AF$5,0,1,10),DATA!$R137:$AA137),"")</f>
        <v/>
      </c>
      <c r="AG129" s="7" t="str">
        <f ca="1">IF(LEN(DATA!F137)&gt;0,SUMPRODUCT(OFFSET(DATA!$R$6,AG$5,0,1,10),DATA!$R137:$AA137),"")</f>
        <v/>
      </c>
      <c r="AH129" s="7" t="str">
        <f ca="1">IF(LEN(DATA!G137)&gt;0,SUMPRODUCT(OFFSET(DATA!$R$6,AH$5,0,1,10),DATA!$R137:$AA137),"")</f>
        <v/>
      </c>
      <c r="AI129" s="7" t="str">
        <f ca="1">IF(LEN(DATA!H137)&gt;0,SUMPRODUCT(OFFSET(DATA!$R$6,AI$5,0,1,10),DATA!$R137:$AA137),"")</f>
        <v/>
      </c>
      <c r="AJ129" s="7" t="str">
        <f ca="1">IF(LEN(DATA!I137)&gt;0,SUMPRODUCT(OFFSET(DATA!$R$6,AJ$5,0,1,10),DATA!$R137:$AA137),"")</f>
        <v/>
      </c>
      <c r="AK129" s="7"/>
      <c r="AL129" s="7" t="e">
        <f t="shared" ca="1" si="44"/>
        <v>#DIV/0!</v>
      </c>
      <c r="AM129" s="7" t="e">
        <f t="shared" ca="1" si="45"/>
        <v>#DIV/0!</v>
      </c>
      <c r="AN129" s="7" t="e">
        <f t="shared" ca="1" si="46"/>
        <v>#DIV/0!</v>
      </c>
      <c r="AO129" s="7" t="e">
        <f t="shared" ca="1" si="47"/>
        <v>#DIV/0!</v>
      </c>
      <c r="AP129" s="7" t="e">
        <f t="shared" ca="1" si="48"/>
        <v>#DIV/0!</v>
      </c>
      <c r="AQ129" s="7" t="e">
        <f t="shared" ca="1" si="49"/>
        <v>#DIV/0!</v>
      </c>
      <c r="AS129">
        <f t="shared" si="50"/>
        <v>33</v>
      </c>
      <c r="AT129">
        <f t="shared" si="51"/>
        <v>1</v>
      </c>
      <c r="AU129">
        <f t="shared" ca="1" si="52"/>
        <v>1.637991035295181</v>
      </c>
      <c r="AV129">
        <f t="shared" ca="1" si="53"/>
        <v>0.37387377103548497</v>
      </c>
      <c r="AW129">
        <f ca="1">IF(AND($AT129&lt;3,OFFSET(DATA!$C$14,$AS129,0)=AW$6),$AV129,dNULL)</f>
        <v>-99</v>
      </c>
      <c r="AX129">
        <f ca="1">IF(AND($AT129&lt;3,OFFSET(DATA!$C$14,$AS129,0)=AX$6),$AV129,dNULL)</f>
        <v>-99</v>
      </c>
      <c r="AY129">
        <f ca="1">IF(AND($AT129&lt;3,OFFSET(DATA!$C$14,$AS129,0)=AY$6),$AV129,dNULL)</f>
        <v>0.37387377103548497</v>
      </c>
      <c r="AZ129">
        <f ca="1">IF(AND($AT129&lt;3,OFFSET(DATA!$C$14,$AS129,0)=AZ$6),$AV129,dNULL)</f>
        <v>-99</v>
      </c>
      <c r="BA129">
        <f ca="1">IF(AND($AT129&lt;3,OFFSET(DATA!$C$14,$AS129,0)=BA$6),$AV129,dNULL)</f>
        <v>-99</v>
      </c>
      <c r="BB129">
        <f ca="1">IF(AND($AT129&lt;3,OFFSET(DATA!$C$14,$AS129,0)=BB$6),$AV129,dNULL)</f>
        <v>-99</v>
      </c>
      <c r="BC129">
        <f ca="1">IF(AND($AT129&lt;3,OFFSET(DATA!$C$14,$AS129,0)=BC$6),$AV129,dNULL)</f>
        <v>-99</v>
      </c>
      <c r="BD129">
        <f ca="1">IF(AND($AT129&lt;3,OFFSET(DATA!$C$14,$AS129,0)=BD$6),$AV129,dNULL)</f>
        <v>-99</v>
      </c>
      <c r="BE129">
        <f ca="1">IF(AND($AT129&lt;3,OFFSET(DATA!$C$14,$AS129,0)=BE$6),$AV129,dNULL)</f>
        <v>-99</v>
      </c>
      <c r="BF129">
        <f ca="1">IF(AND($AT129&lt;3,OFFSET(DATA!$C$14,$AS129,0)=BF$6),$AV129,dNULL)</f>
        <v>-99</v>
      </c>
      <c r="BG129">
        <f ca="1">IF(AND($AT129&lt;3,OFFSET(DATA!$C$14,$AS129,0)=BG$6),$AV129,dNULL)</f>
        <v>-99</v>
      </c>
      <c r="BH129">
        <f ca="1">IF(AND($AT129&lt;3,OFFSET(DATA!$C$14,$AS129,0)=BH$6),$AV129,dNULL)</f>
        <v>-99</v>
      </c>
      <c r="BU129">
        <f t="shared" si="58"/>
        <v>2</v>
      </c>
      <c r="BV129">
        <f t="shared" si="59"/>
        <v>1.3200000000000007</v>
      </c>
      <c r="BW129">
        <f t="shared" ca="1" si="54"/>
        <v>0.2</v>
      </c>
      <c r="BX129">
        <f t="shared" ca="1" si="55"/>
        <v>-0.2</v>
      </c>
    </row>
    <row r="130" spans="14:76" x14ac:dyDescent="0.25">
      <c r="N130">
        <f>N40+1+dAnionOFF</f>
        <v>1.5</v>
      </c>
      <c r="O130">
        <f t="shared" si="62"/>
        <v>0.34641016151377546</v>
      </c>
      <c r="Y130" s="26"/>
      <c r="Z130" s="26"/>
      <c r="AB130" s="26" t="str">
        <f t="shared" ca="1" si="43"/>
        <v/>
      </c>
      <c r="AC130">
        <f t="shared" ca="1" si="57"/>
        <v>90</v>
      </c>
      <c r="AD130" t="str">
        <f ca="1">IF(AND(AT130&lt;1,MAX(AW130:BH130)&gt;dNULL),DATA!$D138,"")</f>
        <v/>
      </c>
      <c r="AE130" s="7" t="str">
        <f ca="1">IF(LEN(DATA!D138)&gt;0,SUMPRODUCT(OFFSET(DATA!$R$6,AE$5,0,1,10),DATA!$R138:$AA138),"")</f>
        <v/>
      </c>
      <c r="AF130" s="7" t="str">
        <f ca="1">IF(LEN(DATA!E138)&gt;0,SUMPRODUCT(OFFSET(DATA!$R$6,AF$5,0,1,10),DATA!$R138:$AA138),"")</f>
        <v/>
      </c>
      <c r="AG130" s="7" t="str">
        <f ca="1">IF(LEN(DATA!F138)&gt;0,SUMPRODUCT(OFFSET(DATA!$R$6,AG$5,0,1,10),DATA!$R138:$AA138),"")</f>
        <v/>
      </c>
      <c r="AH130" s="7" t="str">
        <f ca="1">IF(LEN(DATA!G138)&gt;0,SUMPRODUCT(OFFSET(DATA!$R$6,AH$5,0,1,10),DATA!$R138:$AA138),"")</f>
        <v/>
      </c>
      <c r="AI130" s="7" t="str">
        <f ca="1">IF(LEN(DATA!H138)&gt;0,SUMPRODUCT(OFFSET(DATA!$R$6,AI$5,0,1,10),DATA!$R138:$AA138),"")</f>
        <v/>
      </c>
      <c r="AJ130" s="7" t="str">
        <f ca="1">IF(LEN(DATA!I138)&gt;0,SUMPRODUCT(OFFSET(DATA!$R$6,AJ$5,0,1,10),DATA!$R138:$AA138),"")</f>
        <v/>
      </c>
      <c r="AK130" s="7"/>
      <c r="AL130" s="7" t="e">
        <f t="shared" ca="1" si="44"/>
        <v>#DIV/0!</v>
      </c>
      <c r="AM130" s="7" t="e">
        <f t="shared" ca="1" si="45"/>
        <v>#DIV/0!</v>
      </c>
      <c r="AN130" s="7" t="e">
        <f t="shared" ca="1" si="46"/>
        <v>#DIV/0!</v>
      </c>
      <c r="AO130" s="7" t="e">
        <f t="shared" ca="1" si="47"/>
        <v>#DIV/0!</v>
      </c>
      <c r="AP130" s="7" t="e">
        <f t="shared" ca="1" si="48"/>
        <v>#DIV/0!</v>
      </c>
      <c r="AQ130" s="7" t="e">
        <f t="shared" ca="1" si="49"/>
        <v>#DIV/0!</v>
      </c>
      <c r="AS130">
        <f t="shared" si="50"/>
        <v>34</v>
      </c>
      <c r="AT130">
        <f t="shared" si="51"/>
        <v>1</v>
      </c>
      <c r="AU130">
        <f t="shared" ca="1" si="52"/>
        <v>1.6798449612403101</v>
      </c>
      <c r="AV130">
        <f t="shared" ca="1" si="53"/>
        <v>0.34741716779724569</v>
      </c>
      <c r="AW130">
        <f ca="1">IF(AND($AT130&lt;3,OFFSET(DATA!$C$14,$AS130,0)=AW$6),$AV130,dNULL)</f>
        <v>-99</v>
      </c>
      <c r="AX130">
        <f ca="1">IF(AND($AT130&lt;3,OFFSET(DATA!$C$14,$AS130,0)=AX$6),$AV130,dNULL)</f>
        <v>-99</v>
      </c>
      <c r="AY130">
        <f ca="1">IF(AND($AT130&lt;3,OFFSET(DATA!$C$14,$AS130,0)=AY$6),$AV130,dNULL)</f>
        <v>0.34741716779724569</v>
      </c>
      <c r="AZ130">
        <f ca="1">IF(AND($AT130&lt;3,OFFSET(DATA!$C$14,$AS130,0)=AZ$6),$AV130,dNULL)</f>
        <v>-99</v>
      </c>
      <c r="BA130">
        <f ca="1">IF(AND($AT130&lt;3,OFFSET(DATA!$C$14,$AS130,0)=BA$6),$AV130,dNULL)</f>
        <v>-99</v>
      </c>
      <c r="BB130">
        <f ca="1">IF(AND($AT130&lt;3,OFFSET(DATA!$C$14,$AS130,0)=BB$6),$AV130,dNULL)</f>
        <v>-99</v>
      </c>
      <c r="BC130">
        <f ca="1">IF(AND($AT130&lt;3,OFFSET(DATA!$C$14,$AS130,0)=BC$6),$AV130,dNULL)</f>
        <v>-99</v>
      </c>
      <c r="BD130">
        <f ca="1">IF(AND($AT130&lt;3,OFFSET(DATA!$C$14,$AS130,0)=BD$6),$AV130,dNULL)</f>
        <v>-99</v>
      </c>
      <c r="BE130">
        <f ca="1">IF(AND($AT130&lt;3,OFFSET(DATA!$C$14,$AS130,0)=BE$6),$AV130,dNULL)</f>
        <v>-99</v>
      </c>
      <c r="BF130">
        <f ca="1">IF(AND($AT130&lt;3,OFFSET(DATA!$C$14,$AS130,0)=BF$6),$AV130,dNULL)</f>
        <v>-99</v>
      </c>
      <c r="BG130">
        <f ca="1">IF(AND($AT130&lt;3,OFFSET(DATA!$C$14,$AS130,0)=BG$6),$AV130,dNULL)</f>
        <v>-99</v>
      </c>
      <c r="BH130">
        <f ca="1">IF(AND($AT130&lt;3,OFFSET(DATA!$C$14,$AS130,0)=BH$6),$AV130,dNULL)</f>
        <v>-99</v>
      </c>
      <c r="BU130">
        <f t="shared" si="58"/>
        <v>2</v>
      </c>
      <c r="BV130">
        <f t="shared" si="59"/>
        <v>1.3200000000000007</v>
      </c>
      <c r="BW130">
        <f t="shared" ca="1" si="54"/>
        <v>0.41645119554453874</v>
      </c>
      <c r="BX130">
        <f t="shared" ca="1" si="55"/>
        <v>-0.80796938976760868</v>
      </c>
    </row>
    <row r="131" spans="14:76" x14ac:dyDescent="0.25">
      <c r="N131">
        <f>N41+1+dAnionOFF</f>
        <v>2.1</v>
      </c>
      <c r="O131">
        <f t="shared" si="62"/>
        <v>0.34641016151377546</v>
      </c>
      <c r="Y131" s="26"/>
      <c r="Z131" s="26"/>
      <c r="AB131" s="26" t="str">
        <f t="shared" ca="1" si="43"/>
        <v/>
      </c>
      <c r="AC131">
        <f t="shared" ca="1" si="57"/>
        <v>90</v>
      </c>
      <c r="AD131" t="str">
        <f ca="1">IF(AND(AT131&lt;1,MAX(AW131:BH131)&gt;dNULL),DATA!$D139,"")</f>
        <v/>
      </c>
      <c r="AE131" s="7" t="str">
        <f ca="1">IF(LEN(DATA!D139)&gt;0,SUMPRODUCT(OFFSET(DATA!$R$6,AE$5,0,1,10),DATA!$R139:$AA139),"")</f>
        <v/>
      </c>
      <c r="AF131" s="7" t="str">
        <f ca="1">IF(LEN(DATA!E139)&gt;0,SUMPRODUCT(OFFSET(DATA!$R$6,AF$5,0,1,10),DATA!$R139:$AA139),"")</f>
        <v/>
      </c>
      <c r="AG131" s="7" t="str">
        <f ca="1">IF(LEN(DATA!F139)&gt;0,SUMPRODUCT(OFFSET(DATA!$R$6,AG$5,0,1,10),DATA!$R139:$AA139),"")</f>
        <v/>
      </c>
      <c r="AH131" s="7" t="str">
        <f ca="1">IF(LEN(DATA!G139)&gt;0,SUMPRODUCT(OFFSET(DATA!$R$6,AH$5,0,1,10),DATA!$R139:$AA139),"")</f>
        <v/>
      </c>
      <c r="AI131" s="7" t="str">
        <f ca="1">IF(LEN(DATA!H139)&gt;0,SUMPRODUCT(OFFSET(DATA!$R$6,AI$5,0,1,10),DATA!$R139:$AA139),"")</f>
        <v/>
      </c>
      <c r="AJ131" s="7" t="str">
        <f ca="1">IF(LEN(DATA!I139)&gt;0,SUMPRODUCT(OFFSET(DATA!$R$6,AJ$5,0,1,10),DATA!$R139:$AA139),"")</f>
        <v/>
      </c>
      <c r="AK131" s="7"/>
      <c r="AL131" s="7" t="e">
        <f t="shared" ca="1" si="44"/>
        <v>#DIV/0!</v>
      </c>
      <c r="AM131" s="7" t="e">
        <f t="shared" ca="1" si="45"/>
        <v>#DIV/0!</v>
      </c>
      <c r="AN131" s="7" t="e">
        <f t="shared" ca="1" si="46"/>
        <v>#DIV/0!</v>
      </c>
      <c r="AO131" s="7" t="e">
        <f t="shared" ca="1" si="47"/>
        <v>#DIV/0!</v>
      </c>
      <c r="AP131" s="7" t="e">
        <f t="shared" ca="1" si="48"/>
        <v>#DIV/0!</v>
      </c>
      <c r="AQ131" s="7" t="e">
        <f t="shared" ca="1" si="49"/>
        <v>#DIV/0!</v>
      </c>
      <c r="AS131">
        <f t="shared" si="50"/>
        <v>35</v>
      </c>
      <c r="AT131">
        <f t="shared" si="51"/>
        <v>1</v>
      </c>
      <c r="AU131">
        <f t="shared" ca="1" si="52"/>
        <v>1.5048611111111112</v>
      </c>
      <c r="AV131">
        <f t="shared" ca="1" si="53"/>
        <v>0.17440789381769944</v>
      </c>
      <c r="AW131">
        <f ca="1">IF(AND($AT131&lt;3,OFFSET(DATA!$C$14,$AS131,0)=AW$6),$AV131,dNULL)</f>
        <v>-99</v>
      </c>
      <c r="AX131">
        <f ca="1">IF(AND($AT131&lt;3,OFFSET(DATA!$C$14,$AS131,0)=AX$6),$AV131,dNULL)</f>
        <v>-99</v>
      </c>
      <c r="AY131">
        <f ca="1">IF(AND($AT131&lt;3,OFFSET(DATA!$C$14,$AS131,0)=AY$6),$AV131,dNULL)</f>
        <v>0.17440789381769944</v>
      </c>
      <c r="AZ131">
        <f ca="1">IF(AND($AT131&lt;3,OFFSET(DATA!$C$14,$AS131,0)=AZ$6),$AV131,dNULL)</f>
        <v>-99</v>
      </c>
      <c r="BA131">
        <f ca="1">IF(AND($AT131&lt;3,OFFSET(DATA!$C$14,$AS131,0)=BA$6),$AV131,dNULL)</f>
        <v>-99</v>
      </c>
      <c r="BB131">
        <f ca="1">IF(AND($AT131&lt;3,OFFSET(DATA!$C$14,$AS131,0)=BB$6),$AV131,dNULL)</f>
        <v>-99</v>
      </c>
      <c r="BC131">
        <f ca="1">IF(AND($AT131&lt;3,OFFSET(DATA!$C$14,$AS131,0)=BC$6),$AV131,dNULL)</f>
        <v>-99</v>
      </c>
      <c r="BD131">
        <f ca="1">IF(AND($AT131&lt;3,OFFSET(DATA!$C$14,$AS131,0)=BD$6),$AV131,dNULL)</f>
        <v>-99</v>
      </c>
      <c r="BE131">
        <f ca="1">IF(AND($AT131&lt;3,OFFSET(DATA!$C$14,$AS131,0)=BE$6),$AV131,dNULL)</f>
        <v>-99</v>
      </c>
      <c r="BF131">
        <f ca="1">IF(AND($AT131&lt;3,OFFSET(DATA!$C$14,$AS131,0)=BF$6),$AV131,dNULL)</f>
        <v>-99</v>
      </c>
      <c r="BG131">
        <f ca="1">IF(AND($AT131&lt;3,OFFSET(DATA!$C$14,$AS131,0)=BG$6),$AV131,dNULL)</f>
        <v>-99</v>
      </c>
      <c r="BH131">
        <f ca="1">IF(AND($AT131&lt;3,OFFSET(DATA!$C$14,$AS131,0)=BH$6),$AV131,dNULL)</f>
        <v>-99</v>
      </c>
      <c r="BU131">
        <f t="shared" si="58"/>
        <v>2</v>
      </c>
      <c r="BV131">
        <f t="shared" si="59"/>
        <v>1.3400000000000007</v>
      </c>
      <c r="BW131">
        <f t="shared" ca="1" si="54"/>
        <v>0.2</v>
      </c>
      <c r="BX131">
        <f t="shared" ca="1" si="55"/>
        <v>-0.2</v>
      </c>
    </row>
    <row r="132" spans="14:76" x14ac:dyDescent="0.25">
      <c r="Y132" s="26"/>
      <c r="Z132" s="26"/>
      <c r="AB132" s="26" t="str">
        <f t="shared" ca="1" si="43"/>
        <v/>
      </c>
      <c r="AC132">
        <f t="shared" ca="1" si="57"/>
        <v>90</v>
      </c>
      <c r="AD132" t="str">
        <f ca="1">IF(AND(AT132&lt;1,MAX(AW132:BH132)&gt;dNULL),DATA!$D140,"")</f>
        <v/>
      </c>
      <c r="AE132" s="7" t="str">
        <f ca="1">IF(LEN(DATA!D140)&gt;0,SUMPRODUCT(OFFSET(DATA!$R$6,AE$5,0,1,10),DATA!$R140:$AA140),"")</f>
        <v/>
      </c>
      <c r="AF132" s="7" t="str">
        <f ca="1">IF(LEN(DATA!E140)&gt;0,SUMPRODUCT(OFFSET(DATA!$R$6,AF$5,0,1,10),DATA!$R140:$AA140),"")</f>
        <v/>
      </c>
      <c r="AG132" s="7" t="str">
        <f ca="1">IF(LEN(DATA!F140)&gt;0,SUMPRODUCT(OFFSET(DATA!$R$6,AG$5,0,1,10),DATA!$R140:$AA140),"")</f>
        <v/>
      </c>
      <c r="AH132" s="7" t="str">
        <f ca="1">IF(LEN(DATA!G140)&gt;0,SUMPRODUCT(OFFSET(DATA!$R$6,AH$5,0,1,10),DATA!$R140:$AA140),"")</f>
        <v/>
      </c>
      <c r="AI132" s="7" t="str">
        <f ca="1">IF(LEN(DATA!H140)&gt;0,SUMPRODUCT(OFFSET(DATA!$R$6,AI$5,0,1,10),DATA!$R140:$AA140),"")</f>
        <v/>
      </c>
      <c r="AJ132" s="7" t="str">
        <f ca="1">IF(LEN(DATA!I140)&gt;0,SUMPRODUCT(OFFSET(DATA!$R$6,AJ$5,0,1,10),DATA!$R140:$AA140),"")</f>
        <v/>
      </c>
      <c r="AK132" s="7"/>
      <c r="AL132" s="7" t="e">
        <f t="shared" ca="1" si="44"/>
        <v>#DIV/0!</v>
      </c>
      <c r="AM132" s="7" t="e">
        <f t="shared" ca="1" si="45"/>
        <v>#DIV/0!</v>
      </c>
      <c r="AN132" s="7" t="e">
        <f t="shared" ca="1" si="46"/>
        <v>#DIV/0!</v>
      </c>
      <c r="AO132" s="7" t="e">
        <f t="shared" ca="1" si="47"/>
        <v>#DIV/0!</v>
      </c>
      <c r="AP132" s="7" t="e">
        <f t="shared" ca="1" si="48"/>
        <v>#DIV/0!</v>
      </c>
      <c r="AQ132" s="7" t="e">
        <f t="shared" ca="1" si="49"/>
        <v>#DIV/0!</v>
      </c>
      <c r="AS132">
        <f t="shared" si="50"/>
        <v>36</v>
      </c>
      <c r="AT132">
        <f t="shared" si="51"/>
        <v>1</v>
      </c>
      <c r="AU132">
        <f t="shared" ca="1" si="52"/>
        <v>1.5184531886024424</v>
      </c>
      <c r="AV132">
        <f t="shared" ca="1" si="53"/>
        <v>0.21856272062945128</v>
      </c>
      <c r="AW132">
        <f ca="1">IF(AND($AT132&lt;3,OFFSET(DATA!$C$14,$AS132,0)=AW$6),$AV132,dNULL)</f>
        <v>-99</v>
      </c>
      <c r="AX132">
        <f ca="1">IF(AND($AT132&lt;3,OFFSET(DATA!$C$14,$AS132,0)=AX$6),$AV132,dNULL)</f>
        <v>-99</v>
      </c>
      <c r="AY132">
        <f ca="1">IF(AND($AT132&lt;3,OFFSET(DATA!$C$14,$AS132,0)=AY$6),$AV132,dNULL)</f>
        <v>0.21856272062945128</v>
      </c>
      <c r="AZ132">
        <f ca="1">IF(AND($AT132&lt;3,OFFSET(DATA!$C$14,$AS132,0)=AZ$6),$AV132,dNULL)</f>
        <v>-99</v>
      </c>
      <c r="BA132">
        <f ca="1">IF(AND($AT132&lt;3,OFFSET(DATA!$C$14,$AS132,0)=BA$6),$AV132,dNULL)</f>
        <v>-99</v>
      </c>
      <c r="BB132">
        <f ca="1">IF(AND($AT132&lt;3,OFFSET(DATA!$C$14,$AS132,0)=BB$6),$AV132,dNULL)</f>
        <v>-99</v>
      </c>
      <c r="BC132">
        <f ca="1">IF(AND($AT132&lt;3,OFFSET(DATA!$C$14,$AS132,0)=BC$6),$AV132,dNULL)</f>
        <v>-99</v>
      </c>
      <c r="BD132">
        <f ca="1">IF(AND($AT132&lt;3,OFFSET(DATA!$C$14,$AS132,0)=BD$6),$AV132,dNULL)</f>
        <v>-99</v>
      </c>
      <c r="BE132">
        <f ca="1">IF(AND($AT132&lt;3,OFFSET(DATA!$C$14,$AS132,0)=BE$6),$AV132,dNULL)</f>
        <v>-99</v>
      </c>
      <c r="BF132">
        <f ca="1">IF(AND($AT132&lt;3,OFFSET(DATA!$C$14,$AS132,0)=BF$6),$AV132,dNULL)</f>
        <v>-99</v>
      </c>
      <c r="BG132">
        <f ca="1">IF(AND($AT132&lt;3,OFFSET(DATA!$C$14,$AS132,0)=BG$6),$AV132,dNULL)</f>
        <v>-99</v>
      </c>
      <c r="BH132">
        <f ca="1">IF(AND($AT132&lt;3,OFFSET(DATA!$C$14,$AS132,0)=BH$6),$AV132,dNULL)</f>
        <v>-99</v>
      </c>
      <c r="BU132">
        <f t="shared" si="58"/>
        <v>2</v>
      </c>
      <c r="BV132">
        <f t="shared" si="59"/>
        <v>1.3400000000000007</v>
      </c>
      <c r="BW132">
        <f t="shared" ca="1" si="54"/>
        <v>0.40894657732058914</v>
      </c>
      <c r="BX132">
        <f t="shared" ca="1" si="55"/>
        <v>-0.79814125707330352</v>
      </c>
    </row>
    <row r="133" spans="14:76" x14ac:dyDescent="0.25">
      <c r="N133">
        <f>N43+1+dAnionOFF</f>
        <v>1.6</v>
      </c>
      <c r="O133">
        <f t="shared" si="62"/>
        <v>0.51961524227066325</v>
      </c>
      <c r="Y133" s="26"/>
      <c r="Z133" s="26"/>
      <c r="AB133" s="26" t="str">
        <f t="shared" ca="1" si="43"/>
        <v/>
      </c>
      <c r="AC133">
        <f t="shared" ca="1" si="57"/>
        <v>90</v>
      </c>
      <c r="AD133" t="str">
        <f ca="1">IF(AND(AT133&lt;1,MAX(AW133:BH133)&gt;dNULL),DATA!$D141,"")</f>
        <v/>
      </c>
      <c r="AE133" s="7" t="str">
        <f ca="1">IF(LEN(DATA!D141)&gt;0,SUMPRODUCT(OFFSET(DATA!$R$6,AE$5,0,1,10),DATA!$R141:$AA141),"")</f>
        <v/>
      </c>
      <c r="AF133" s="7" t="str">
        <f ca="1">IF(LEN(DATA!E141)&gt;0,SUMPRODUCT(OFFSET(DATA!$R$6,AF$5,0,1,10),DATA!$R141:$AA141),"")</f>
        <v/>
      </c>
      <c r="AG133" s="7" t="str">
        <f ca="1">IF(LEN(DATA!F141)&gt;0,SUMPRODUCT(OFFSET(DATA!$R$6,AG$5,0,1,10),DATA!$R141:$AA141),"")</f>
        <v/>
      </c>
      <c r="AH133" s="7" t="str">
        <f ca="1">IF(LEN(DATA!G141)&gt;0,SUMPRODUCT(OFFSET(DATA!$R$6,AH$5,0,1,10),DATA!$R141:$AA141),"")</f>
        <v/>
      </c>
      <c r="AI133" s="7" t="str">
        <f ca="1">IF(LEN(DATA!H141)&gt;0,SUMPRODUCT(OFFSET(DATA!$R$6,AI$5,0,1,10),DATA!$R141:$AA141),"")</f>
        <v/>
      </c>
      <c r="AJ133" s="7" t="str">
        <f ca="1">IF(LEN(DATA!I141)&gt;0,SUMPRODUCT(OFFSET(DATA!$R$6,AJ$5,0,1,10),DATA!$R141:$AA141),"")</f>
        <v/>
      </c>
      <c r="AK133" s="7"/>
      <c r="AL133" s="7" t="e">
        <f t="shared" ca="1" si="44"/>
        <v>#DIV/0!</v>
      </c>
      <c r="AM133" s="7" t="e">
        <f t="shared" ca="1" si="45"/>
        <v>#DIV/0!</v>
      </c>
      <c r="AN133" s="7" t="e">
        <f t="shared" ca="1" si="46"/>
        <v>#DIV/0!</v>
      </c>
      <c r="AO133" s="7" t="e">
        <f t="shared" ca="1" si="47"/>
        <v>#DIV/0!</v>
      </c>
      <c r="AP133" s="7" t="e">
        <f t="shared" ca="1" si="48"/>
        <v>#DIV/0!</v>
      </c>
      <c r="AQ133" s="7" t="e">
        <f t="shared" ca="1" si="49"/>
        <v>#DIV/0!</v>
      </c>
      <c r="AS133">
        <f t="shared" si="50"/>
        <v>37</v>
      </c>
      <c r="AT133">
        <f t="shared" si="51"/>
        <v>1</v>
      </c>
      <c r="AU133">
        <f t="shared" ca="1" si="52"/>
        <v>1.5246376811594204</v>
      </c>
      <c r="AV133">
        <f t="shared" ca="1" si="53"/>
        <v>0.26106273041617861</v>
      </c>
      <c r="AW133">
        <f ca="1">IF(AND($AT133&lt;3,OFFSET(DATA!$C$14,$AS133,0)=AW$6),$AV133,dNULL)</f>
        <v>-99</v>
      </c>
      <c r="AX133">
        <f ca="1">IF(AND($AT133&lt;3,OFFSET(DATA!$C$14,$AS133,0)=AX$6),$AV133,dNULL)</f>
        <v>-99</v>
      </c>
      <c r="AY133">
        <f ca="1">IF(AND($AT133&lt;3,OFFSET(DATA!$C$14,$AS133,0)=AY$6),$AV133,dNULL)</f>
        <v>0.26106273041617861</v>
      </c>
      <c r="AZ133">
        <f ca="1">IF(AND($AT133&lt;3,OFFSET(DATA!$C$14,$AS133,0)=AZ$6),$AV133,dNULL)</f>
        <v>-99</v>
      </c>
      <c r="BA133">
        <f ca="1">IF(AND($AT133&lt;3,OFFSET(DATA!$C$14,$AS133,0)=BA$6),$AV133,dNULL)</f>
        <v>-99</v>
      </c>
      <c r="BB133">
        <f ca="1">IF(AND($AT133&lt;3,OFFSET(DATA!$C$14,$AS133,0)=BB$6),$AV133,dNULL)</f>
        <v>-99</v>
      </c>
      <c r="BC133">
        <f ca="1">IF(AND($AT133&lt;3,OFFSET(DATA!$C$14,$AS133,0)=BC$6),$AV133,dNULL)</f>
        <v>-99</v>
      </c>
      <c r="BD133">
        <f ca="1">IF(AND($AT133&lt;3,OFFSET(DATA!$C$14,$AS133,0)=BD$6),$AV133,dNULL)</f>
        <v>-99</v>
      </c>
      <c r="BE133">
        <f ca="1">IF(AND($AT133&lt;3,OFFSET(DATA!$C$14,$AS133,0)=BE$6),$AV133,dNULL)</f>
        <v>-99</v>
      </c>
      <c r="BF133">
        <f ca="1">IF(AND($AT133&lt;3,OFFSET(DATA!$C$14,$AS133,0)=BF$6),$AV133,dNULL)</f>
        <v>-99</v>
      </c>
      <c r="BG133">
        <f ca="1">IF(AND($AT133&lt;3,OFFSET(DATA!$C$14,$AS133,0)=BG$6),$AV133,dNULL)</f>
        <v>-99</v>
      </c>
      <c r="BH133">
        <f ca="1">IF(AND($AT133&lt;3,OFFSET(DATA!$C$14,$AS133,0)=BH$6),$AV133,dNULL)</f>
        <v>-99</v>
      </c>
      <c r="BU133">
        <f t="shared" si="58"/>
        <v>2</v>
      </c>
      <c r="BV133">
        <f t="shared" si="59"/>
        <v>1.3600000000000008</v>
      </c>
      <c r="BW133">
        <f t="shared" ca="1" si="54"/>
        <v>0.2</v>
      </c>
      <c r="BX133">
        <f t="shared" ca="1" si="55"/>
        <v>-0.2</v>
      </c>
    </row>
    <row r="134" spans="14:76" x14ac:dyDescent="0.25">
      <c r="N134">
        <f>N44+1+dAnionOFF</f>
        <v>2</v>
      </c>
      <c r="O134">
        <f t="shared" si="62"/>
        <v>0.51961524227066325</v>
      </c>
      <c r="Y134" s="26"/>
      <c r="Z134" s="26"/>
      <c r="AB134" s="26" t="str">
        <f t="shared" ca="1" si="43"/>
        <v/>
      </c>
      <c r="AC134">
        <f t="shared" ca="1" si="57"/>
        <v>90</v>
      </c>
      <c r="AD134" t="str">
        <f ca="1">IF(AND(AT134&lt;1,MAX(AW134:BH134)&gt;dNULL),DATA!$D142,"")</f>
        <v/>
      </c>
      <c r="AE134" s="7" t="str">
        <f ca="1">IF(LEN(DATA!D142)&gt;0,SUMPRODUCT(OFFSET(DATA!$R$6,AE$5,0,1,10),DATA!$R142:$AA142),"")</f>
        <v/>
      </c>
      <c r="AF134" s="7" t="str">
        <f ca="1">IF(LEN(DATA!E142)&gt;0,SUMPRODUCT(OFFSET(DATA!$R$6,AF$5,0,1,10),DATA!$R142:$AA142),"")</f>
        <v/>
      </c>
      <c r="AG134" s="7" t="str">
        <f ca="1">IF(LEN(DATA!F142)&gt;0,SUMPRODUCT(OFFSET(DATA!$R$6,AG$5,0,1,10),DATA!$R142:$AA142),"")</f>
        <v/>
      </c>
      <c r="AH134" s="7" t="str">
        <f ca="1">IF(LEN(DATA!G142)&gt;0,SUMPRODUCT(OFFSET(DATA!$R$6,AH$5,0,1,10),DATA!$R142:$AA142),"")</f>
        <v/>
      </c>
      <c r="AI134" s="7" t="str">
        <f ca="1">IF(LEN(DATA!H142)&gt;0,SUMPRODUCT(OFFSET(DATA!$R$6,AI$5,0,1,10),DATA!$R142:$AA142),"")</f>
        <v/>
      </c>
      <c r="AJ134" s="7" t="str">
        <f ca="1">IF(LEN(DATA!I142)&gt;0,SUMPRODUCT(OFFSET(DATA!$R$6,AJ$5,0,1,10),DATA!$R142:$AA142),"")</f>
        <v/>
      </c>
      <c r="AK134" s="7"/>
      <c r="AL134" s="7" t="e">
        <f t="shared" ca="1" si="44"/>
        <v>#DIV/0!</v>
      </c>
      <c r="AM134" s="7" t="e">
        <f t="shared" ca="1" si="45"/>
        <v>#DIV/0!</v>
      </c>
      <c r="AN134" s="7" t="e">
        <f t="shared" ca="1" si="46"/>
        <v>#DIV/0!</v>
      </c>
      <c r="AO134" s="7" t="e">
        <f t="shared" ca="1" si="47"/>
        <v>#DIV/0!</v>
      </c>
      <c r="AP134" s="7" t="e">
        <f t="shared" ca="1" si="48"/>
        <v>#DIV/0!</v>
      </c>
      <c r="AQ134" s="7" t="e">
        <f t="shared" ca="1" si="49"/>
        <v>#DIV/0!</v>
      </c>
      <c r="AS134">
        <f t="shared" si="50"/>
        <v>38</v>
      </c>
      <c r="AT134">
        <f t="shared" si="51"/>
        <v>1</v>
      </c>
      <c r="AU134">
        <f t="shared" ca="1" si="52"/>
        <v>1.4902661835094624</v>
      </c>
      <c r="AV134">
        <f t="shared" ca="1" si="53"/>
        <v>0.16601003105783549</v>
      </c>
      <c r="AW134">
        <f ca="1">IF(AND($AT134&lt;3,OFFSET(DATA!$C$14,$AS134,0)=AW$6),$AV134,dNULL)</f>
        <v>-99</v>
      </c>
      <c r="AX134">
        <f ca="1">IF(AND($AT134&lt;3,OFFSET(DATA!$C$14,$AS134,0)=AX$6),$AV134,dNULL)</f>
        <v>-99</v>
      </c>
      <c r="AY134">
        <f ca="1">IF(AND($AT134&lt;3,OFFSET(DATA!$C$14,$AS134,0)=AY$6),$AV134,dNULL)</f>
        <v>0.16601003105783549</v>
      </c>
      <c r="AZ134">
        <f ca="1">IF(AND($AT134&lt;3,OFFSET(DATA!$C$14,$AS134,0)=AZ$6),$AV134,dNULL)</f>
        <v>-99</v>
      </c>
      <c r="BA134">
        <f ca="1">IF(AND($AT134&lt;3,OFFSET(DATA!$C$14,$AS134,0)=BA$6),$AV134,dNULL)</f>
        <v>-99</v>
      </c>
      <c r="BB134">
        <f ca="1">IF(AND($AT134&lt;3,OFFSET(DATA!$C$14,$AS134,0)=BB$6),$AV134,dNULL)</f>
        <v>-99</v>
      </c>
      <c r="BC134">
        <f ca="1">IF(AND($AT134&lt;3,OFFSET(DATA!$C$14,$AS134,0)=BC$6),$AV134,dNULL)</f>
        <v>-99</v>
      </c>
      <c r="BD134">
        <f ca="1">IF(AND($AT134&lt;3,OFFSET(DATA!$C$14,$AS134,0)=BD$6),$AV134,dNULL)</f>
        <v>-99</v>
      </c>
      <c r="BE134">
        <f ca="1">IF(AND($AT134&lt;3,OFFSET(DATA!$C$14,$AS134,0)=BE$6),$AV134,dNULL)</f>
        <v>-99</v>
      </c>
      <c r="BF134">
        <f ca="1">IF(AND($AT134&lt;3,OFFSET(DATA!$C$14,$AS134,0)=BF$6),$AV134,dNULL)</f>
        <v>-99</v>
      </c>
      <c r="BG134">
        <f ca="1">IF(AND($AT134&lt;3,OFFSET(DATA!$C$14,$AS134,0)=BG$6),$AV134,dNULL)</f>
        <v>-99</v>
      </c>
      <c r="BH134">
        <f ca="1">IF(AND($AT134&lt;3,OFFSET(DATA!$C$14,$AS134,0)=BH$6),$AV134,dNULL)</f>
        <v>-99</v>
      </c>
      <c r="BU134">
        <f t="shared" si="58"/>
        <v>2</v>
      </c>
      <c r="BV134">
        <f t="shared" si="59"/>
        <v>1.3600000000000008</v>
      </c>
      <c r="BW134">
        <f t="shared" ca="1" si="54"/>
        <v>0.4014419590966396</v>
      </c>
      <c r="BX134">
        <f t="shared" ca="1" si="55"/>
        <v>-0.78831312437899848</v>
      </c>
    </row>
    <row r="135" spans="14:76" x14ac:dyDescent="0.25">
      <c r="Y135" s="26"/>
      <c r="Z135" s="26"/>
      <c r="AB135" s="26" t="str">
        <f t="shared" ref="AB135:AB198" ca="1" si="63">IF(ROW(AB135)-ROW($AB$6)&lt;=$AB$5,OFFSET($AD$6,MATCH(ROW(AB135)-ROW($AB$6),$AC$7:$AC$314,0),0),"")</f>
        <v/>
      </c>
      <c r="AC135">
        <f t="shared" ca="1" si="57"/>
        <v>90</v>
      </c>
      <c r="AD135" t="str">
        <f ca="1">IF(AND(AT135&lt;1,MAX(AW135:BH135)&gt;dNULL),DATA!$D143,"")</f>
        <v/>
      </c>
      <c r="AE135" s="7" t="str">
        <f ca="1">IF(LEN(DATA!D143)&gt;0,SUMPRODUCT(OFFSET(DATA!$R$6,AE$5,0,1,10),DATA!$R143:$AA143),"")</f>
        <v/>
      </c>
      <c r="AF135" s="7" t="str">
        <f ca="1">IF(LEN(DATA!E143)&gt;0,SUMPRODUCT(OFFSET(DATA!$R$6,AF$5,0,1,10),DATA!$R143:$AA143),"")</f>
        <v/>
      </c>
      <c r="AG135" s="7" t="str">
        <f ca="1">IF(LEN(DATA!F143)&gt;0,SUMPRODUCT(OFFSET(DATA!$R$6,AG$5,0,1,10),DATA!$R143:$AA143),"")</f>
        <v/>
      </c>
      <c r="AH135" s="7" t="str">
        <f ca="1">IF(LEN(DATA!G143)&gt;0,SUMPRODUCT(OFFSET(DATA!$R$6,AH$5,0,1,10),DATA!$R143:$AA143),"")</f>
        <v/>
      </c>
      <c r="AI135" s="7" t="str">
        <f ca="1">IF(LEN(DATA!H143)&gt;0,SUMPRODUCT(OFFSET(DATA!$R$6,AI$5,0,1,10),DATA!$R143:$AA143),"")</f>
        <v/>
      </c>
      <c r="AJ135" s="7" t="str">
        <f ca="1">IF(LEN(DATA!I143)&gt;0,SUMPRODUCT(OFFSET(DATA!$R$6,AJ$5,0,1,10),DATA!$R143:$AA143),"")</f>
        <v/>
      </c>
      <c r="AK135" s="7"/>
      <c r="AL135" s="7" t="e">
        <f t="shared" ref="AL135:AL198" ca="1" si="64">IF(ISNUMBER(AE135),AE135,0)/SUM($AE135:$AG135)</f>
        <v>#DIV/0!</v>
      </c>
      <c r="AM135" s="7" t="e">
        <f t="shared" ref="AM135:AM198" ca="1" si="65">IF(ISNUMBER(AF135),AF135,0)/SUM($AE135:$AG135)</f>
        <v>#DIV/0!</v>
      </c>
      <c r="AN135" s="7" t="e">
        <f t="shared" ref="AN135:AN198" ca="1" si="66">IF(ISNUMBER(AH135),AH135,0)/SUM($AH135:$AJ135)</f>
        <v>#DIV/0!</v>
      </c>
      <c r="AO135" s="7" t="e">
        <f t="shared" ref="AO135:AO198" ca="1" si="67">IF(ISNUMBER(AI135),AI135,0)/SUM($AH135:$AJ135)</f>
        <v>#DIV/0!</v>
      </c>
      <c r="AP135" s="7" t="e">
        <f t="shared" ref="AP135:AP198" ca="1" si="68">IF(ISNUMBER(AG135),AG135,0)/SUM($AE135:$AG135)</f>
        <v>#DIV/0!</v>
      </c>
      <c r="AQ135" s="7" t="e">
        <f t="shared" ref="AQ135:AQ198" ca="1" si="69">IF(ISNUMBER(AJ135),AJ135,0)/SUM($AH135:$AJ135)</f>
        <v>#DIV/0!</v>
      </c>
      <c r="AS135">
        <f t="shared" ref="AS135:AS198" si="70">MOD(ROW(AT135)-ROW($AT$7),lCNTsites)+1</f>
        <v>39</v>
      </c>
      <c r="AT135">
        <f t="shared" ref="AT135:AT198" si="71">INT((ROW(AT135)-ROW($AT$7))/lCNTsites)</f>
        <v>1</v>
      </c>
      <c r="AU135">
        <f t="shared" ref="AU135:AU198" ca="1" si="72">IF($AT135=0,(1-OFFSET($AL$6,$AS135,$AT135*2))-OFFSET($AL$6,$AS135,$AT135*2+1)*$K$8,IF($AT135=1,dAnionOFF+1+OFFSET($AL$6,$AS135,$AT135*2)+OFFSET($AL$6,$AS135,$AT135*2+1)/2,IF($AT135=2,$K$17-(1-OFFSET($AL$6,$AS135,$AT135*2))*0.5+(1-OFFSET($AL$6,$AS135,$AT135*2+1))*0.5,dNULL)))</f>
        <v>1.5814930015552098</v>
      </c>
      <c r="AV135">
        <f t="shared" ref="AV135:AV198" ca="1" si="73">IF($AT135=0,OFFSET($AL$6,$AS135,$AT135*2+1)*$L$8,IF($AT135=1,OFFSET($AL$6,$AS135,$AT135*2+1)*3^0.5/2,IF($AT135=2,$L$17+(2-OFFSET($AL$6,$AS135,$AT135*2)-OFFSET($AL$6,$AS135,$AT135*2+1))*$L$8,dNULL)))</f>
        <v>0.2532080496290427</v>
      </c>
      <c r="AW135">
        <f ca="1">IF(AND($AT135&lt;3,OFFSET(DATA!$C$14,$AS135,0)=AW$6),$AV135,dNULL)</f>
        <v>-99</v>
      </c>
      <c r="AX135">
        <f ca="1">IF(AND($AT135&lt;3,OFFSET(DATA!$C$14,$AS135,0)=AX$6),$AV135,dNULL)</f>
        <v>-99</v>
      </c>
      <c r="AY135">
        <f ca="1">IF(AND($AT135&lt;3,OFFSET(DATA!$C$14,$AS135,0)=AY$6),$AV135,dNULL)</f>
        <v>0.2532080496290427</v>
      </c>
      <c r="AZ135">
        <f ca="1">IF(AND($AT135&lt;3,OFFSET(DATA!$C$14,$AS135,0)=AZ$6),$AV135,dNULL)</f>
        <v>-99</v>
      </c>
      <c r="BA135">
        <f ca="1">IF(AND($AT135&lt;3,OFFSET(DATA!$C$14,$AS135,0)=BA$6),$AV135,dNULL)</f>
        <v>-99</v>
      </c>
      <c r="BB135">
        <f ca="1">IF(AND($AT135&lt;3,OFFSET(DATA!$C$14,$AS135,0)=BB$6),$AV135,dNULL)</f>
        <v>-99</v>
      </c>
      <c r="BC135">
        <f ca="1">IF(AND($AT135&lt;3,OFFSET(DATA!$C$14,$AS135,0)=BC$6),$AV135,dNULL)</f>
        <v>-99</v>
      </c>
      <c r="BD135">
        <f ca="1">IF(AND($AT135&lt;3,OFFSET(DATA!$C$14,$AS135,0)=BD$6),$AV135,dNULL)</f>
        <v>-99</v>
      </c>
      <c r="BE135">
        <f ca="1">IF(AND($AT135&lt;3,OFFSET(DATA!$C$14,$AS135,0)=BE$6),$AV135,dNULL)</f>
        <v>-99</v>
      </c>
      <c r="BF135">
        <f ca="1">IF(AND($AT135&lt;3,OFFSET(DATA!$C$14,$AS135,0)=BF$6),$AV135,dNULL)</f>
        <v>-99</v>
      </c>
      <c r="BG135">
        <f ca="1">IF(AND($AT135&lt;3,OFFSET(DATA!$C$14,$AS135,0)=BG$6),$AV135,dNULL)</f>
        <v>-99</v>
      </c>
      <c r="BH135">
        <f ca="1">IF(AND($AT135&lt;3,OFFSET(DATA!$C$14,$AS135,0)=BH$6),$AV135,dNULL)</f>
        <v>-99</v>
      </c>
      <c r="BU135">
        <f t="shared" si="58"/>
        <v>2</v>
      </c>
      <c r="BV135">
        <f t="shared" si="59"/>
        <v>1.3800000000000008</v>
      </c>
      <c r="BW135">
        <f t="shared" ref="BW135:BW198" ca="1" si="74">IF(MOD(ROW(BU136)-ROW($BV$8),2)&gt;0,OFFSET(BM$6,$BU135,0)+($BV135-OFFSET($BL$6,$BU135,0))*(OFFSET(BM$6,$BU135+1,0)-OFFSET(BM$6,$BU135,0))/(OFFSET($BL$6,$BU135+1,0)-OFFSET($BL$6,$BU135,0)),BW$5)</f>
        <v>0.2</v>
      </c>
      <c r="BX135">
        <f t="shared" ref="BX135:BX198" ca="1" si="75">IF(MOD(ROW(BV136)-ROW($BV$8),2)&gt;0,OFFSET(BN$6,$BU135,0)+($BV135-OFFSET($BL$6,$BU135,0))*(OFFSET(BN$6,$BU135+1,0)-OFFSET(BN$6,$BU135,0))/(OFFSET($BL$6,$BU135+1,0)-OFFSET($BL$6,$BU135,0)),BX$5)</f>
        <v>-0.2</v>
      </c>
    </row>
    <row r="136" spans="14:76" x14ac:dyDescent="0.25">
      <c r="N136">
        <f>N46+1+dAnionOFF</f>
        <v>1.7</v>
      </c>
      <c r="O136">
        <f t="shared" si="62"/>
        <v>0.69282032302755092</v>
      </c>
      <c r="Y136" s="26"/>
      <c r="Z136" s="26"/>
      <c r="AB136" s="26" t="str">
        <f t="shared" ca="1" si="63"/>
        <v/>
      </c>
      <c r="AC136">
        <f t="shared" ref="AC136:AC199" ca="1" si="76">AC135+IF(LEN(AD136)&gt;0,1,0)</f>
        <v>90</v>
      </c>
      <c r="AD136" t="str">
        <f ca="1">IF(AND(AT136&lt;1,MAX(AW136:BH136)&gt;dNULL),DATA!$D144,"")</f>
        <v/>
      </c>
      <c r="AE136" s="7" t="str">
        <f ca="1">IF(LEN(DATA!D144)&gt;0,SUMPRODUCT(OFFSET(DATA!$R$6,AE$5,0,1,10),DATA!$R144:$AA144),"")</f>
        <v/>
      </c>
      <c r="AF136" s="7" t="str">
        <f ca="1">IF(LEN(DATA!E144)&gt;0,SUMPRODUCT(OFFSET(DATA!$R$6,AF$5,0,1,10),DATA!$R144:$AA144),"")</f>
        <v/>
      </c>
      <c r="AG136" s="7" t="str">
        <f ca="1">IF(LEN(DATA!F144)&gt;0,SUMPRODUCT(OFFSET(DATA!$R$6,AG$5,0,1,10),DATA!$R144:$AA144),"")</f>
        <v/>
      </c>
      <c r="AH136" s="7" t="str">
        <f ca="1">IF(LEN(DATA!G144)&gt;0,SUMPRODUCT(OFFSET(DATA!$R$6,AH$5,0,1,10),DATA!$R144:$AA144),"")</f>
        <v/>
      </c>
      <c r="AI136" s="7" t="str">
        <f ca="1">IF(LEN(DATA!H144)&gt;0,SUMPRODUCT(OFFSET(DATA!$R$6,AI$5,0,1,10),DATA!$R144:$AA144),"")</f>
        <v/>
      </c>
      <c r="AJ136" s="7" t="str">
        <f ca="1">IF(LEN(DATA!I144)&gt;0,SUMPRODUCT(OFFSET(DATA!$R$6,AJ$5,0,1,10),DATA!$R144:$AA144),"")</f>
        <v/>
      </c>
      <c r="AK136" s="7"/>
      <c r="AL136" s="7" t="e">
        <f t="shared" ca="1" si="64"/>
        <v>#DIV/0!</v>
      </c>
      <c r="AM136" s="7" t="e">
        <f t="shared" ca="1" si="65"/>
        <v>#DIV/0!</v>
      </c>
      <c r="AN136" s="7" t="e">
        <f t="shared" ca="1" si="66"/>
        <v>#DIV/0!</v>
      </c>
      <c r="AO136" s="7" t="e">
        <f t="shared" ca="1" si="67"/>
        <v>#DIV/0!</v>
      </c>
      <c r="AP136" s="7" t="e">
        <f t="shared" ca="1" si="68"/>
        <v>#DIV/0!</v>
      </c>
      <c r="AQ136" s="7" t="e">
        <f t="shared" ca="1" si="69"/>
        <v>#DIV/0!</v>
      </c>
      <c r="AS136">
        <f t="shared" si="70"/>
        <v>40</v>
      </c>
      <c r="AT136">
        <f t="shared" si="71"/>
        <v>1</v>
      </c>
      <c r="AU136">
        <f t="shared" ca="1" si="72"/>
        <v>1.6851590106007068</v>
      </c>
      <c r="AV136">
        <f t="shared" ca="1" si="73"/>
        <v>0.32284692614578892</v>
      </c>
      <c r="AW136">
        <f ca="1">IF(AND($AT136&lt;3,OFFSET(DATA!$C$14,$AS136,0)=AW$6),$AV136,dNULL)</f>
        <v>-99</v>
      </c>
      <c r="AX136">
        <f ca="1">IF(AND($AT136&lt;3,OFFSET(DATA!$C$14,$AS136,0)=AX$6),$AV136,dNULL)</f>
        <v>-99</v>
      </c>
      <c r="AY136">
        <f ca="1">IF(AND($AT136&lt;3,OFFSET(DATA!$C$14,$AS136,0)=AY$6),$AV136,dNULL)</f>
        <v>-99</v>
      </c>
      <c r="AZ136">
        <f ca="1">IF(AND($AT136&lt;3,OFFSET(DATA!$C$14,$AS136,0)=AZ$6),$AV136,dNULL)</f>
        <v>-99</v>
      </c>
      <c r="BA136">
        <f ca="1">IF(AND($AT136&lt;3,OFFSET(DATA!$C$14,$AS136,0)=BA$6),$AV136,dNULL)</f>
        <v>-99</v>
      </c>
      <c r="BB136">
        <f ca="1">IF(AND($AT136&lt;3,OFFSET(DATA!$C$14,$AS136,0)=BB$6),$AV136,dNULL)</f>
        <v>0.32284692614578892</v>
      </c>
      <c r="BC136">
        <f ca="1">IF(AND($AT136&lt;3,OFFSET(DATA!$C$14,$AS136,0)=BC$6),$AV136,dNULL)</f>
        <v>-99</v>
      </c>
      <c r="BD136">
        <f ca="1">IF(AND($AT136&lt;3,OFFSET(DATA!$C$14,$AS136,0)=BD$6),$AV136,dNULL)</f>
        <v>-99</v>
      </c>
      <c r="BE136">
        <f ca="1">IF(AND($AT136&lt;3,OFFSET(DATA!$C$14,$AS136,0)=BE$6),$AV136,dNULL)</f>
        <v>-99</v>
      </c>
      <c r="BF136">
        <f ca="1">IF(AND($AT136&lt;3,OFFSET(DATA!$C$14,$AS136,0)=BF$6),$AV136,dNULL)</f>
        <v>-99</v>
      </c>
      <c r="BG136">
        <f ca="1">IF(AND($AT136&lt;3,OFFSET(DATA!$C$14,$AS136,0)=BG$6),$AV136,dNULL)</f>
        <v>-99</v>
      </c>
      <c r="BH136">
        <f ca="1">IF(AND($AT136&lt;3,OFFSET(DATA!$C$14,$AS136,0)=BH$6),$AV136,dNULL)</f>
        <v>-99</v>
      </c>
      <c r="BU136">
        <f t="shared" ref="BU136:BU199" si="77">MATCH(BV136,$BL$7:$BL$9,1)</f>
        <v>2</v>
      </c>
      <c r="BV136">
        <f t="shared" si="59"/>
        <v>1.3800000000000008</v>
      </c>
      <c r="BW136">
        <f t="shared" ca="1" si="74"/>
        <v>0.39393734087269006</v>
      </c>
      <c r="BX136">
        <f t="shared" ca="1" si="75"/>
        <v>-0.77848499168469332</v>
      </c>
    </row>
    <row r="137" spans="14:76" x14ac:dyDescent="0.25">
      <c r="N137">
        <f>N47+1+dAnionOFF</f>
        <v>1.9000000000000001</v>
      </c>
      <c r="O137">
        <f t="shared" si="62"/>
        <v>0.69282032302755092</v>
      </c>
      <c r="Y137" s="26"/>
      <c r="Z137" s="26"/>
      <c r="AB137" s="26" t="str">
        <f t="shared" ca="1" si="63"/>
        <v/>
      </c>
      <c r="AC137">
        <f t="shared" ca="1" si="76"/>
        <v>90</v>
      </c>
      <c r="AD137" t="str">
        <f ca="1">IF(AND(AT137&lt;1,MAX(AW137:BH137)&gt;dNULL),DATA!$D145,"")</f>
        <v/>
      </c>
      <c r="AE137" s="7" t="str">
        <f ca="1">IF(LEN(DATA!D145)&gt;0,SUMPRODUCT(OFFSET(DATA!$R$6,AE$5,0,1,10),DATA!$R145:$AA145),"")</f>
        <v/>
      </c>
      <c r="AF137" s="7" t="str">
        <f ca="1">IF(LEN(DATA!E145)&gt;0,SUMPRODUCT(OFFSET(DATA!$R$6,AF$5,0,1,10),DATA!$R145:$AA145),"")</f>
        <v/>
      </c>
      <c r="AG137" s="7" t="str">
        <f ca="1">IF(LEN(DATA!F145)&gt;0,SUMPRODUCT(OFFSET(DATA!$R$6,AG$5,0,1,10),DATA!$R145:$AA145),"")</f>
        <v/>
      </c>
      <c r="AH137" s="7" t="str">
        <f ca="1">IF(LEN(DATA!G145)&gt;0,SUMPRODUCT(OFFSET(DATA!$R$6,AH$5,0,1,10),DATA!$R145:$AA145),"")</f>
        <v/>
      </c>
      <c r="AI137" s="7" t="str">
        <f ca="1">IF(LEN(DATA!H145)&gt;0,SUMPRODUCT(OFFSET(DATA!$R$6,AI$5,0,1,10),DATA!$R145:$AA145),"")</f>
        <v/>
      </c>
      <c r="AJ137" s="7" t="str">
        <f ca="1">IF(LEN(DATA!I145)&gt;0,SUMPRODUCT(OFFSET(DATA!$R$6,AJ$5,0,1,10),DATA!$R145:$AA145),"")</f>
        <v/>
      </c>
      <c r="AK137" s="7"/>
      <c r="AL137" s="7" t="e">
        <f t="shared" ca="1" si="64"/>
        <v>#DIV/0!</v>
      </c>
      <c r="AM137" s="7" t="e">
        <f t="shared" ca="1" si="65"/>
        <v>#DIV/0!</v>
      </c>
      <c r="AN137" s="7" t="e">
        <f t="shared" ca="1" si="66"/>
        <v>#DIV/0!</v>
      </c>
      <c r="AO137" s="7" t="e">
        <f t="shared" ca="1" si="67"/>
        <v>#DIV/0!</v>
      </c>
      <c r="AP137" s="7" t="e">
        <f t="shared" ca="1" si="68"/>
        <v>#DIV/0!</v>
      </c>
      <c r="AQ137" s="7" t="e">
        <f t="shared" ca="1" si="69"/>
        <v>#DIV/0!</v>
      </c>
      <c r="AS137">
        <f t="shared" si="70"/>
        <v>41</v>
      </c>
      <c r="AT137">
        <f t="shared" si="71"/>
        <v>1</v>
      </c>
      <c r="AU137">
        <f t="shared" ca="1" si="72"/>
        <v>1.6790238836967808</v>
      </c>
      <c r="AV137">
        <f t="shared" ca="1" si="73"/>
        <v>0.33633800728492214</v>
      </c>
      <c r="AW137">
        <f ca="1">IF(AND($AT137&lt;3,OFFSET(DATA!$C$14,$AS137,0)=AW$6),$AV137,dNULL)</f>
        <v>-99</v>
      </c>
      <c r="AX137">
        <f ca="1">IF(AND($AT137&lt;3,OFFSET(DATA!$C$14,$AS137,0)=AX$6),$AV137,dNULL)</f>
        <v>-99</v>
      </c>
      <c r="AY137">
        <f ca="1">IF(AND($AT137&lt;3,OFFSET(DATA!$C$14,$AS137,0)=AY$6),$AV137,dNULL)</f>
        <v>-99</v>
      </c>
      <c r="AZ137">
        <f ca="1">IF(AND($AT137&lt;3,OFFSET(DATA!$C$14,$AS137,0)=AZ$6),$AV137,dNULL)</f>
        <v>-99</v>
      </c>
      <c r="BA137">
        <f ca="1">IF(AND($AT137&lt;3,OFFSET(DATA!$C$14,$AS137,0)=BA$6),$AV137,dNULL)</f>
        <v>-99</v>
      </c>
      <c r="BB137">
        <f ca="1">IF(AND($AT137&lt;3,OFFSET(DATA!$C$14,$AS137,0)=BB$6),$AV137,dNULL)</f>
        <v>0.33633800728492214</v>
      </c>
      <c r="BC137">
        <f ca="1">IF(AND($AT137&lt;3,OFFSET(DATA!$C$14,$AS137,0)=BC$6),$AV137,dNULL)</f>
        <v>-99</v>
      </c>
      <c r="BD137">
        <f ca="1">IF(AND($AT137&lt;3,OFFSET(DATA!$C$14,$AS137,0)=BD$6),$AV137,dNULL)</f>
        <v>-99</v>
      </c>
      <c r="BE137">
        <f ca="1">IF(AND($AT137&lt;3,OFFSET(DATA!$C$14,$AS137,0)=BE$6),$AV137,dNULL)</f>
        <v>-99</v>
      </c>
      <c r="BF137">
        <f ca="1">IF(AND($AT137&lt;3,OFFSET(DATA!$C$14,$AS137,0)=BF$6),$AV137,dNULL)</f>
        <v>-99</v>
      </c>
      <c r="BG137">
        <f ca="1">IF(AND($AT137&lt;3,OFFSET(DATA!$C$14,$AS137,0)=BG$6),$AV137,dNULL)</f>
        <v>-99</v>
      </c>
      <c r="BH137">
        <f ca="1">IF(AND($AT137&lt;3,OFFSET(DATA!$C$14,$AS137,0)=BH$6),$AV137,dNULL)</f>
        <v>-99</v>
      </c>
      <c r="BU137">
        <f t="shared" si="77"/>
        <v>2</v>
      </c>
      <c r="BV137">
        <f t="shared" ref="BV137:BV200" si="78">BV136+MOD(ROW(BV137)-ROW($H$16),2)*$BV$4</f>
        <v>1.4000000000000008</v>
      </c>
      <c r="BW137">
        <f t="shared" ca="1" si="74"/>
        <v>0.2</v>
      </c>
      <c r="BX137">
        <f t="shared" ca="1" si="75"/>
        <v>-0.2</v>
      </c>
    </row>
    <row r="138" spans="14:76" x14ac:dyDescent="0.25">
      <c r="Y138" s="26"/>
      <c r="Z138" s="26"/>
      <c r="AB138" s="26" t="str">
        <f t="shared" ca="1" si="63"/>
        <v/>
      </c>
      <c r="AC138">
        <f t="shared" ca="1" si="76"/>
        <v>90</v>
      </c>
      <c r="AD138" t="str">
        <f ca="1">IF(AND(AT138&lt;1,MAX(AW138:BH138)&gt;dNULL),DATA!$D146,"")</f>
        <v/>
      </c>
      <c r="AE138" s="7" t="str">
        <f ca="1">IF(LEN(DATA!D146)&gt;0,SUMPRODUCT(OFFSET(DATA!$R$6,AE$5,0,1,10),DATA!$R146:$AA146),"")</f>
        <v/>
      </c>
      <c r="AF138" s="7" t="str">
        <f ca="1">IF(LEN(DATA!E146)&gt;0,SUMPRODUCT(OFFSET(DATA!$R$6,AF$5,0,1,10),DATA!$R146:$AA146),"")</f>
        <v/>
      </c>
      <c r="AG138" s="7" t="str">
        <f ca="1">IF(LEN(DATA!F146)&gt;0,SUMPRODUCT(OFFSET(DATA!$R$6,AG$5,0,1,10),DATA!$R146:$AA146),"")</f>
        <v/>
      </c>
      <c r="AH138" s="7" t="str">
        <f ca="1">IF(LEN(DATA!G146)&gt;0,SUMPRODUCT(OFFSET(DATA!$R$6,AH$5,0,1,10),DATA!$R146:$AA146),"")</f>
        <v/>
      </c>
      <c r="AI138" s="7" t="str">
        <f ca="1">IF(LEN(DATA!H146)&gt;0,SUMPRODUCT(OFFSET(DATA!$R$6,AI$5,0,1,10),DATA!$R146:$AA146),"")</f>
        <v/>
      </c>
      <c r="AJ138" s="7" t="str">
        <f ca="1">IF(LEN(DATA!I146)&gt;0,SUMPRODUCT(OFFSET(DATA!$R$6,AJ$5,0,1,10),DATA!$R146:$AA146),"")</f>
        <v/>
      </c>
      <c r="AK138" s="7"/>
      <c r="AL138" s="7" t="e">
        <f t="shared" ca="1" si="64"/>
        <v>#DIV/0!</v>
      </c>
      <c r="AM138" s="7" t="e">
        <f t="shared" ca="1" si="65"/>
        <v>#DIV/0!</v>
      </c>
      <c r="AN138" s="7" t="e">
        <f t="shared" ca="1" si="66"/>
        <v>#DIV/0!</v>
      </c>
      <c r="AO138" s="7" t="e">
        <f t="shared" ca="1" si="67"/>
        <v>#DIV/0!</v>
      </c>
      <c r="AP138" s="7" t="e">
        <f t="shared" ca="1" si="68"/>
        <v>#DIV/0!</v>
      </c>
      <c r="AQ138" s="7" t="e">
        <f t="shared" ca="1" si="69"/>
        <v>#DIV/0!</v>
      </c>
      <c r="AS138">
        <f t="shared" si="70"/>
        <v>42</v>
      </c>
      <c r="AT138">
        <f t="shared" si="71"/>
        <v>1</v>
      </c>
      <c r="AU138">
        <f t="shared" ca="1" si="72"/>
        <v>1.6652517275419547</v>
      </c>
      <c r="AV138">
        <f t="shared" ca="1" si="73"/>
        <v>0.33854497522076776</v>
      </c>
      <c r="AW138">
        <f ca="1">IF(AND($AT138&lt;3,OFFSET(DATA!$C$14,$AS138,0)=AW$6),$AV138,dNULL)</f>
        <v>-99</v>
      </c>
      <c r="AX138">
        <f ca="1">IF(AND($AT138&lt;3,OFFSET(DATA!$C$14,$AS138,0)=AX$6),$AV138,dNULL)</f>
        <v>-99</v>
      </c>
      <c r="AY138">
        <f ca="1">IF(AND($AT138&lt;3,OFFSET(DATA!$C$14,$AS138,0)=AY$6),$AV138,dNULL)</f>
        <v>-99</v>
      </c>
      <c r="AZ138">
        <f ca="1">IF(AND($AT138&lt;3,OFFSET(DATA!$C$14,$AS138,0)=AZ$6),$AV138,dNULL)</f>
        <v>-99</v>
      </c>
      <c r="BA138">
        <f ca="1">IF(AND($AT138&lt;3,OFFSET(DATA!$C$14,$AS138,0)=BA$6),$AV138,dNULL)</f>
        <v>-99</v>
      </c>
      <c r="BB138">
        <f ca="1">IF(AND($AT138&lt;3,OFFSET(DATA!$C$14,$AS138,0)=BB$6),$AV138,dNULL)</f>
        <v>0.33854497522076776</v>
      </c>
      <c r="BC138">
        <f ca="1">IF(AND($AT138&lt;3,OFFSET(DATA!$C$14,$AS138,0)=BC$6),$AV138,dNULL)</f>
        <v>-99</v>
      </c>
      <c r="BD138">
        <f ca="1">IF(AND($AT138&lt;3,OFFSET(DATA!$C$14,$AS138,0)=BD$6),$AV138,dNULL)</f>
        <v>-99</v>
      </c>
      <c r="BE138">
        <f ca="1">IF(AND($AT138&lt;3,OFFSET(DATA!$C$14,$AS138,0)=BE$6),$AV138,dNULL)</f>
        <v>-99</v>
      </c>
      <c r="BF138">
        <f ca="1">IF(AND($AT138&lt;3,OFFSET(DATA!$C$14,$AS138,0)=BF$6),$AV138,dNULL)</f>
        <v>-99</v>
      </c>
      <c r="BG138">
        <f ca="1">IF(AND($AT138&lt;3,OFFSET(DATA!$C$14,$AS138,0)=BG$6),$AV138,dNULL)</f>
        <v>-99</v>
      </c>
      <c r="BH138">
        <f ca="1">IF(AND($AT138&lt;3,OFFSET(DATA!$C$14,$AS138,0)=BH$6),$AV138,dNULL)</f>
        <v>-99</v>
      </c>
      <c r="BU138">
        <f t="shared" si="77"/>
        <v>2</v>
      </c>
      <c r="BV138">
        <f t="shared" si="78"/>
        <v>1.4000000000000008</v>
      </c>
      <c r="BW138">
        <f t="shared" ca="1" si="74"/>
        <v>0.38643272264874051</v>
      </c>
      <c r="BX138">
        <f t="shared" ca="1" si="75"/>
        <v>-0.76865685899038827</v>
      </c>
    </row>
    <row r="139" spans="14:76" x14ac:dyDescent="0.25">
      <c r="N139">
        <f>N49+1+dAnionOFF</f>
        <v>-97.7</v>
      </c>
      <c r="O139">
        <f t="shared" si="62"/>
        <v>0.8660254037844386</v>
      </c>
      <c r="Y139" s="26"/>
      <c r="Z139" s="26"/>
      <c r="AB139" s="26" t="str">
        <f t="shared" ca="1" si="63"/>
        <v/>
      </c>
      <c r="AC139">
        <f t="shared" ca="1" si="76"/>
        <v>90</v>
      </c>
      <c r="AD139" t="str">
        <f ca="1">IF(AND(AT139&lt;1,MAX(AW139:BH139)&gt;dNULL),DATA!$D147,"")</f>
        <v/>
      </c>
      <c r="AE139" s="7" t="str">
        <f ca="1">IF(LEN(DATA!D147)&gt;0,SUMPRODUCT(OFFSET(DATA!$R$6,AE$5,0,1,10),DATA!$R147:$AA147),"")</f>
        <v/>
      </c>
      <c r="AF139" s="7" t="str">
        <f ca="1">IF(LEN(DATA!E147)&gt;0,SUMPRODUCT(OFFSET(DATA!$R$6,AF$5,0,1,10),DATA!$R147:$AA147),"")</f>
        <v/>
      </c>
      <c r="AG139" s="7" t="str">
        <f ca="1">IF(LEN(DATA!F147)&gt;0,SUMPRODUCT(OFFSET(DATA!$R$6,AG$5,0,1,10),DATA!$R147:$AA147),"")</f>
        <v/>
      </c>
      <c r="AH139" s="7" t="str">
        <f ca="1">IF(LEN(DATA!G147)&gt;0,SUMPRODUCT(OFFSET(DATA!$R$6,AH$5,0,1,10),DATA!$R147:$AA147),"")</f>
        <v/>
      </c>
      <c r="AI139" s="7" t="str">
        <f ca="1">IF(LEN(DATA!H147)&gt;0,SUMPRODUCT(OFFSET(DATA!$R$6,AI$5,0,1,10),DATA!$R147:$AA147),"")</f>
        <v/>
      </c>
      <c r="AJ139" s="7" t="str">
        <f ca="1">IF(LEN(DATA!I147)&gt;0,SUMPRODUCT(OFFSET(DATA!$R$6,AJ$5,0,1,10),DATA!$R147:$AA147),"")</f>
        <v/>
      </c>
      <c r="AK139" s="7"/>
      <c r="AL139" s="7" t="e">
        <f t="shared" ca="1" si="64"/>
        <v>#DIV/0!</v>
      </c>
      <c r="AM139" s="7" t="e">
        <f t="shared" ca="1" si="65"/>
        <v>#DIV/0!</v>
      </c>
      <c r="AN139" s="7" t="e">
        <f t="shared" ca="1" si="66"/>
        <v>#DIV/0!</v>
      </c>
      <c r="AO139" s="7" t="e">
        <f t="shared" ca="1" si="67"/>
        <v>#DIV/0!</v>
      </c>
      <c r="AP139" s="7" t="e">
        <f t="shared" ca="1" si="68"/>
        <v>#DIV/0!</v>
      </c>
      <c r="AQ139" s="7" t="e">
        <f t="shared" ca="1" si="69"/>
        <v>#DIV/0!</v>
      </c>
      <c r="AS139">
        <f t="shared" si="70"/>
        <v>43</v>
      </c>
      <c r="AT139">
        <f t="shared" si="71"/>
        <v>1</v>
      </c>
      <c r="AU139">
        <f t="shared" ca="1" si="72"/>
        <v>1.7292114695340504</v>
      </c>
      <c r="AV139">
        <f t="shared" ca="1" si="73"/>
        <v>0.38024412890176967</v>
      </c>
      <c r="AW139">
        <f ca="1">IF(AND($AT139&lt;3,OFFSET(DATA!$C$14,$AS139,0)=AW$6),$AV139,dNULL)</f>
        <v>-99</v>
      </c>
      <c r="AX139">
        <f ca="1">IF(AND($AT139&lt;3,OFFSET(DATA!$C$14,$AS139,0)=AX$6),$AV139,dNULL)</f>
        <v>-99</v>
      </c>
      <c r="AY139">
        <f ca="1">IF(AND($AT139&lt;3,OFFSET(DATA!$C$14,$AS139,0)=AY$6),$AV139,dNULL)</f>
        <v>-99</v>
      </c>
      <c r="AZ139">
        <f ca="1">IF(AND($AT139&lt;3,OFFSET(DATA!$C$14,$AS139,0)=AZ$6),$AV139,dNULL)</f>
        <v>-99</v>
      </c>
      <c r="BA139">
        <f ca="1">IF(AND($AT139&lt;3,OFFSET(DATA!$C$14,$AS139,0)=BA$6),$AV139,dNULL)</f>
        <v>-99</v>
      </c>
      <c r="BB139">
        <f ca="1">IF(AND($AT139&lt;3,OFFSET(DATA!$C$14,$AS139,0)=BB$6),$AV139,dNULL)</f>
        <v>0.38024412890176967</v>
      </c>
      <c r="BC139">
        <f ca="1">IF(AND($AT139&lt;3,OFFSET(DATA!$C$14,$AS139,0)=BC$6),$AV139,dNULL)</f>
        <v>-99</v>
      </c>
      <c r="BD139">
        <f ca="1">IF(AND($AT139&lt;3,OFFSET(DATA!$C$14,$AS139,0)=BD$6),$AV139,dNULL)</f>
        <v>-99</v>
      </c>
      <c r="BE139">
        <f ca="1">IF(AND($AT139&lt;3,OFFSET(DATA!$C$14,$AS139,0)=BE$6),$AV139,dNULL)</f>
        <v>-99</v>
      </c>
      <c r="BF139">
        <f ca="1">IF(AND($AT139&lt;3,OFFSET(DATA!$C$14,$AS139,0)=BF$6),$AV139,dNULL)</f>
        <v>-99</v>
      </c>
      <c r="BG139">
        <f ca="1">IF(AND($AT139&lt;3,OFFSET(DATA!$C$14,$AS139,0)=BG$6),$AV139,dNULL)</f>
        <v>-99</v>
      </c>
      <c r="BH139">
        <f ca="1">IF(AND($AT139&lt;3,OFFSET(DATA!$C$14,$AS139,0)=BH$6),$AV139,dNULL)</f>
        <v>-99</v>
      </c>
      <c r="BU139">
        <f t="shared" si="77"/>
        <v>2</v>
      </c>
      <c r="BV139">
        <f t="shared" si="78"/>
        <v>1.4200000000000008</v>
      </c>
      <c r="BW139">
        <f t="shared" ca="1" si="74"/>
        <v>0.2</v>
      </c>
      <c r="BX139">
        <f t="shared" ca="1" si="75"/>
        <v>-0.2</v>
      </c>
    </row>
    <row r="140" spans="14:76" x14ac:dyDescent="0.25">
      <c r="N140">
        <f>N50+1+dAnionOFF</f>
        <v>-97.7</v>
      </c>
      <c r="O140">
        <f t="shared" si="62"/>
        <v>0.8660254037844386</v>
      </c>
      <c r="Y140" s="26"/>
      <c r="Z140" s="26"/>
      <c r="AB140" s="26" t="str">
        <f t="shared" ca="1" si="63"/>
        <v/>
      </c>
      <c r="AC140">
        <f t="shared" ca="1" si="76"/>
        <v>90</v>
      </c>
      <c r="AD140" t="str">
        <f ca="1">IF(AND(AT140&lt;1,MAX(AW140:BH140)&gt;dNULL),DATA!$D148,"")</f>
        <v/>
      </c>
      <c r="AE140" s="7" t="str">
        <f ca="1">IF(LEN(DATA!D148)&gt;0,SUMPRODUCT(OFFSET(DATA!$R$6,AE$5,0,1,10),DATA!$R148:$AA148),"")</f>
        <v/>
      </c>
      <c r="AF140" s="7" t="str">
        <f ca="1">IF(LEN(DATA!E148)&gt;0,SUMPRODUCT(OFFSET(DATA!$R$6,AF$5,0,1,10),DATA!$R148:$AA148),"")</f>
        <v/>
      </c>
      <c r="AG140" s="7" t="str">
        <f ca="1">IF(LEN(DATA!F148)&gt;0,SUMPRODUCT(OFFSET(DATA!$R$6,AG$5,0,1,10),DATA!$R148:$AA148),"")</f>
        <v/>
      </c>
      <c r="AH140" s="7" t="str">
        <f ca="1">IF(LEN(DATA!G148)&gt;0,SUMPRODUCT(OFFSET(DATA!$R$6,AH$5,0,1,10),DATA!$R148:$AA148),"")</f>
        <v/>
      </c>
      <c r="AI140" s="7" t="str">
        <f ca="1">IF(LEN(DATA!H148)&gt;0,SUMPRODUCT(OFFSET(DATA!$R$6,AI$5,0,1,10),DATA!$R148:$AA148),"")</f>
        <v/>
      </c>
      <c r="AJ140" s="7" t="str">
        <f ca="1">IF(LEN(DATA!I148)&gt;0,SUMPRODUCT(OFFSET(DATA!$R$6,AJ$5,0,1,10),DATA!$R148:$AA148),"")</f>
        <v/>
      </c>
      <c r="AK140" s="7"/>
      <c r="AL140" s="7" t="e">
        <f t="shared" ca="1" si="64"/>
        <v>#DIV/0!</v>
      </c>
      <c r="AM140" s="7" t="e">
        <f t="shared" ca="1" si="65"/>
        <v>#DIV/0!</v>
      </c>
      <c r="AN140" s="7" t="e">
        <f t="shared" ca="1" si="66"/>
        <v>#DIV/0!</v>
      </c>
      <c r="AO140" s="7" t="e">
        <f t="shared" ca="1" si="67"/>
        <v>#DIV/0!</v>
      </c>
      <c r="AP140" s="7" t="e">
        <f t="shared" ca="1" si="68"/>
        <v>#DIV/0!</v>
      </c>
      <c r="AQ140" s="7" t="e">
        <f t="shared" ca="1" si="69"/>
        <v>#DIV/0!</v>
      </c>
      <c r="AS140">
        <f t="shared" si="70"/>
        <v>44</v>
      </c>
      <c r="AT140">
        <f t="shared" si="71"/>
        <v>1</v>
      </c>
      <c r="AU140">
        <f t="shared" ca="1" si="72"/>
        <v>1.6587570621468928</v>
      </c>
      <c r="AV140">
        <f t="shared" ca="1" si="73"/>
        <v>0.3033535312691254</v>
      </c>
      <c r="AW140">
        <f ca="1">IF(AND($AT140&lt;3,OFFSET(DATA!$C$14,$AS140,0)=AW$6),$AV140,dNULL)</f>
        <v>-99</v>
      </c>
      <c r="AX140">
        <f ca="1">IF(AND($AT140&lt;3,OFFSET(DATA!$C$14,$AS140,0)=AX$6),$AV140,dNULL)</f>
        <v>-99</v>
      </c>
      <c r="AY140">
        <f ca="1">IF(AND($AT140&lt;3,OFFSET(DATA!$C$14,$AS140,0)=AY$6),$AV140,dNULL)</f>
        <v>-99</v>
      </c>
      <c r="AZ140">
        <f ca="1">IF(AND($AT140&lt;3,OFFSET(DATA!$C$14,$AS140,0)=AZ$6),$AV140,dNULL)</f>
        <v>-99</v>
      </c>
      <c r="BA140">
        <f ca="1">IF(AND($AT140&lt;3,OFFSET(DATA!$C$14,$AS140,0)=BA$6),$AV140,dNULL)</f>
        <v>-99</v>
      </c>
      <c r="BB140">
        <f ca="1">IF(AND($AT140&lt;3,OFFSET(DATA!$C$14,$AS140,0)=BB$6),$AV140,dNULL)</f>
        <v>0.3033535312691254</v>
      </c>
      <c r="BC140">
        <f ca="1">IF(AND($AT140&lt;3,OFFSET(DATA!$C$14,$AS140,0)=BC$6),$AV140,dNULL)</f>
        <v>-99</v>
      </c>
      <c r="BD140">
        <f ca="1">IF(AND($AT140&lt;3,OFFSET(DATA!$C$14,$AS140,0)=BD$6),$AV140,dNULL)</f>
        <v>-99</v>
      </c>
      <c r="BE140">
        <f ca="1">IF(AND($AT140&lt;3,OFFSET(DATA!$C$14,$AS140,0)=BE$6),$AV140,dNULL)</f>
        <v>-99</v>
      </c>
      <c r="BF140">
        <f ca="1">IF(AND($AT140&lt;3,OFFSET(DATA!$C$14,$AS140,0)=BF$6),$AV140,dNULL)</f>
        <v>-99</v>
      </c>
      <c r="BG140">
        <f ca="1">IF(AND($AT140&lt;3,OFFSET(DATA!$C$14,$AS140,0)=BG$6),$AV140,dNULL)</f>
        <v>-99</v>
      </c>
      <c r="BH140">
        <f ca="1">IF(AND($AT140&lt;3,OFFSET(DATA!$C$14,$AS140,0)=BH$6),$AV140,dNULL)</f>
        <v>-99</v>
      </c>
      <c r="BU140">
        <f t="shared" si="77"/>
        <v>2</v>
      </c>
      <c r="BV140">
        <f t="shared" si="78"/>
        <v>1.4200000000000008</v>
      </c>
      <c r="BW140">
        <f t="shared" ca="1" si="74"/>
        <v>0.37892810442479097</v>
      </c>
      <c r="BX140">
        <f t="shared" ca="1" si="75"/>
        <v>-0.75882872629608311</v>
      </c>
    </row>
    <row r="141" spans="14:76" x14ac:dyDescent="0.25">
      <c r="Y141" s="26"/>
      <c r="Z141" s="26"/>
      <c r="AB141" s="26" t="str">
        <f t="shared" ca="1" si="63"/>
        <v/>
      </c>
      <c r="AC141">
        <f t="shared" ca="1" si="76"/>
        <v>90</v>
      </c>
      <c r="AD141" t="str">
        <f ca="1">IF(AND(AT141&lt;1,MAX(AW141:BH141)&gt;dNULL),DATA!$D149,"")</f>
        <v/>
      </c>
      <c r="AE141" s="7" t="str">
        <f ca="1">IF(LEN(DATA!D149)&gt;0,SUMPRODUCT(OFFSET(DATA!$R$6,AE$5,0,1,10),DATA!$R149:$AA149),"")</f>
        <v/>
      </c>
      <c r="AF141" s="7" t="str">
        <f ca="1">IF(LEN(DATA!E149)&gt;0,SUMPRODUCT(OFFSET(DATA!$R$6,AF$5,0,1,10),DATA!$R149:$AA149),"")</f>
        <v/>
      </c>
      <c r="AG141" s="7" t="str">
        <f ca="1">IF(LEN(DATA!F149)&gt;0,SUMPRODUCT(OFFSET(DATA!$R$6,AG$5,0,1,10),DATA!$R149:$AA149),"")</f>
        <v/>
      </c>
      <c r="AH141" s="7" t="str">
        <f ca="1">IF(LEN(DATA!G149)&gt;0,SUMPRODUCT(OFFSET(DATA!$R$6,AH$5,0,1,10),DATA!$R149:$AA149),"")</f>
        <v/>
      </c>
      <c r="AI141" s="7" t="str">
        <f ca="1">IF(LEN(DATA!H149)&gt;0,SUMPRODUCT(OFFSET(DATA!$R$6,AI$5,0,1,10),DATA!$R149:$AA149),"")</f>
        <v/>
      </c>
      <c r="AJ141" s="7" t="str">
        <f ca="1">IF(LEN(DATA!I149)&gt;0,SUMPRODUCT(OFFSET(DATA!$R$6,AJ$5,0,1,10),DATA!$R149:$AA149),"")</f>
        <v/>
      </c>
      <c r="AK141" s="7"/>
      <c r="AL141" s="7" t="e">
        <f t="shared" ca="1" si="64"/>
        <v>#DIV/0!</v>
      </c>
      <c r="AM141" s="7" t="e">
        <f t="shared" ca="1" si="65"/>
        <v>#DIV/0!</v>
      </c>
      <c r="AN141" s="7" t="e">
        <f t="shared" ca="1" si="66"/>
        <v>#DIV/0!</v>
      </c>
      <c r="AO141" s="7" t="e">
        <f t="shared" ca="1" si="67"/>
        <v>#DIV/0!</v>
      </c>
      <c r="AP141" s="7" t="e">
        <f t="shared" ca="1" si="68"/>
        <v>#DIV/0!</v>
      </c>
      <c r="AQ141" s="7" t="e">
        <f t="shared" ca="1" si="69"/>
        <v>#DIV/0!</v>
      </c>
      <c r="AS141">
        <f t="shared" si="70"/>
        <v>45</v>
      </c>
      <c r="AT141">
        <f t="shared" si="71"/>
        <v>1</v>
      </c>
      <c r="AU141">
        <f t="shared" ca="1" si="72"/>
        <v>1.6333333333333333</v>
      </c>
      <c r="AV141">
        <f t="shared" ca="1" si="73"/>
        <v>0.27872081960878481</v>
      </c>
      <c r="AW141">
        <f ca="1">IF(AND($AT141&lt;3,OFFSET(DATA!$C$14,$AS141,0)=AW$6),$AV141,dNULL)</f>
        <v>-99</v>
      </c>
      <c r="AX141">
        <f ca="1">IF(AND($AT141&lt;3,OFFSET(DATA!$C$14,$AS141,0)=AX$6),$AV141,dNULL)</f>
        <v>-99</v>
      </c>
      <c r="AY141">
        <f ca="1">IF(AND($AT141&lt;3,OFFSET(DATA!$C$14,$AS141,0)=AY$6),$AV141,dNULL)</f>
        <v>0.27872081960878481</v>
      </c>
      <c r="AZ141">
        <f ca="1">IF(AND($AT141&lt;3,OFFSET(DATA!$C$14,$AS141,0)=AZ$6),$AV141,dNULL)</f>
        <v>-99</v>
      </c>
      <c r="BA141">
        <f ca="1">IF(AND($AT141&lt;3,OFFSET(DATA!$C$14,$AS141,0)=BA$6),$AV141,dNULL)</f>
        <v>-99</v>
      </c>
      <c r="BB141">
        <f ca="1">IF(AND($AT141&lt;3,OFFSET(DATA!$C$14,$AS141,0)=BB$6),$AV141,dNULL)</f>
        <v>-99</v>
      </c>
      <c r="BC141">
        <f ca="1">IF(AND($AT141&lt;3,OFFSET(DATA!$C$14,$AS141,0)=BC$6),$AV141,dNULL)</f>
        <v>-99</v>
      </c>
      <c r="BD141">
        <f ca="1">IF(AND($AT141&lt;3,OFFSET(DATA!$C$14,$AS141,0)=BD$6),$AV141,dNULL)</f>
        <v>-99</v>
      </c>
      <c r="BE141">
        <f ca="1">IF(AND($AT141&lt;3,OFFSET(DATA!$C$14,$AS141,0)=BE$6),$AV141,dNULL)</f>
        <v>-99</v>
      </c>
      <c r="BF141">
        <f ca="1">IF(AND($AT141&lt;3,OFFSET(DATA!$C$14,$AS141,0)=BF$6),$AV141,dNULL)</f>
        <v>-99</v>
      </c>
      <c r="BG141">
        <f ca="1">IF(AND($AT141&lt;3,OFFSET(DATA!$C$14,$AS141,0)=BG$6),$AV141,dNULL)</f>
        <v>-99</v>
      </c>
      <c r="BH141">
        <f ca="1">IF(AND($AT141&lt;3,OFFSET(DATA!$C$14,$AS141,0)=BH$6),$AV141,dNULL)</f>
        <v>-99</v>
      </c>
      <c r="BU141">
        <f t="shared" si="77"/>
        <v>2</v>
      </c>
      <c r="BV141">
        <f t="shared" si="78"/>
        <v>1.4400000000000008</v>
      </c>
      <c r="BW141">
        <f t="shared" ca="1" si="74"/>
        <v>0.2</v>
      </c>
      <c r="BX141">
        <f t="shared" ca="1" si="75"/>
        <v>-0.2</v>
      </c>
    </row>
    <row r="142" spans="14:76" x14ac:dyDescent="0.25">
      <c r="N142">
        <f>N52+1+dAnionOFF</f>
        <v>-97.7</v>
      </c>
      <c r="O142">
        <f t="shared" si="62"/>
        <v>1.0392304845413263</v>
      </c>
      <c r="Y142" s="26"/>
      <c r="Z142" s="26"/>
      <c r="AB142" s="26" t="str">
        <f t="shared" ca="1" si="63"/>
        <v/>
      </c>
      <c r="AC142">
        <f t="shared" ca="1" si="76"/>
        <v>90</v>
      </c>
      <c r="AD142" t="str">
        <f ca="1">IF(AND(AT142&lt;1,MAX(AW142:BH142)&gt;dNULL),DATA!$D150,"")</f>
        <v/>
      </c>
      <c r="AE142" s="7" t="str">
        <f ca="1">IF(LEN(DATA!D150)&gt;0,SUMPRODUCT(OFFSET(DATA!$R$6,AE$5,0,1,10),DATA!$R150:$AA150),"")</f>
        <v/>
      </c>
      <c r="AF142" s="7" t="str">
        <f ca="1">IF(LEN(DATA!E150)&gt;0,SUMPRODUCT(OFFSET(DATA!$R$6,AF$5,0,1,10),DATA!$R150:$AA150),"")</f>
        <v/>
      </c>
      <c r="AG142" s="7" t="str">
        <f ca="1">IF(LEN(DATA!F150)&gt;0,SUMPRODUCT(OFFSET(DATA!$R$6,AG$5,0,1,10),DATA!$R150:$AA150),"")</f>
        <v/>
      </c>
      <c r="AH142" s="7" t="str">
        <f ca="1">IF(LEN(DATA!G150)&gt;0,SUMPRODUCT(OFFSET(DATA!$R$6,AH$5,0,1,10),DATA!$R150:$AA150),"")</f>
        <v/>
      </c>
      <c r="AI142" s="7" t="str">
        <f ca="1">IF(LEN(DATA!H150)&gt;0,SUMPRODUCT(OFFSET(DATA!$R$6,AI$5,0,1,10),DATA!$R150:$AA150),"")</f>
        <v/>
      </c>
      <c r="AJ142" s="7" t="str">
        <f ca="1">IF(LEN(DATA!I150)&gt;0,SUMPRODUCT(OFFSET(DATA!$R$6,AJ$5,0,1,10),DATA!$R150:$AA150),"")</f>
        <v/>
      </c>
      <c r="AK142" s="7"/>
      <c r="AL142" s="7" t="e">
        <f t="shared" ca="1" si="64"/>
        <v>#DIV/0!</v>
      </c>
      <c r="AM142" s="7" t="e">
        <f t="shared" ca="1" si="65"/>
        <v>#DIV/0!</v>
      </c>
      <c r="AN142" s="7" t="e">
        <f t="shared" ca="1" si="66"/>
        <v>#DIV/0!</v>
      </c>
      <c r="AO142" s="7" t="e">
        <f t="shared" ca="1" si="67"/>
        <v>#DIV/0!</v>
      </c>
      <c r="AP142" s="7" t="e">
        <f t="shared" ca="1" si="68"/>
        <v>#DIV/0!</v>
      </c>
      <c r="AQ142" s="7" t="e">
        <f t="shared" ca="1" si="69"/>
        <v>#DIV/0!</v>
      </c>
      <c r="AS142">
        <f t="shared" si="70"/>
        <v>46</v>
      </c>
      <c r="AT142">
        <f t="shared" si="71"/>
        <v>1</v>
      </c>
      <c r="AU142">
        <f t="shared" ca="1" si="72"/>
        <v>1.4951456310679612</v>
      </c>
      <c r="AV142">
        <f t="shared" ca="1" si="73"/>
        <v>0.18665790256324793</v>
      </c>
      <c r="AW142">
        <f ca="1">IF(AND($AT142&lt;3,OFFSET(DATA!$C$14,$AS142,0)=AW$6),$AV142,dNULL)</f>
        <v>-99</v>
      </c>
      <c r="AX142">
        <f ca="1">IF(AND($AT142&lt;3,OFFSET(DATA!$C$14,$AS142,0)=AX$6),$AV142,dNULL)</f>
        <v>-99</v>
      </c>
      <c r="AY142">
        <f ca="1">IF(AND($AT142&lt;3,OFFSET(DATA!$C$14,$AS142,0)=AY$6),$AV142,dNULL)</f>
        <v>-99</v>
      </c>
      <c r="AZ142">
        <f ca="1">IF(AND($AT142&lt;3,OFFSET(DATA!$C$14,$AS142,0)=AZ$6),$AV142,dNULL)</f>
        <v>-99</v>
      </c>
      <c r="BA142">
        <f ca="1">IF(AND($AT142&lt;3,OFFSET(DATA!$C$14,$AS142,0)=BA$6),$AV142,dNULL)</f>
        <v>-99</v>
      </c>
      <c r="BB142">
        <f ca="1">IF(AND($AT142&lt;3,OFFSET(DATA!$C$14,$AS142,0)=BB$6),$AV142,dNULL)</f>
        <v>0.18665790256324793</v>
      </c>
      <c r="BC142">
        <f ca="1">IF(AND($AT142&lt;3,OFFSET(DATA!$C$14,$AS142,0)=BC$6),$AV142,dNULL)</f>
        <v>-99</v>
      </c>
      <c r="BD142">
        <f ca="1">IF(AND($AT142&lt;3,OFFSET(DATA!$C$14,$AS142,0)=BD$6),$AV142,dNULL)</f>
        <v>-99</v>
      </c>
      <c r="BE142">
        <f ca="1">IF(AND($AT142&lt;3,OFFSET(DATA!$C$14,$AS142,0)=BE$6),$AV142,dNULL)</f>
        <v>-99</v>
      </c>
      <c r="BF142">
        <f ca="1">IF(AND($AT142&lt;3,OFFSET(DATA!$C$14,$AS142,0)=BF$6),$AV142,dNULL)</f>
        <v>-99</v>
      </c>
      <c r="BG142">
        <f ca="1">IF(AND($AT142&lt;3,OFFSET(DATA!$C$14,$AS142,0)=BG$6),$AV142,dNULL)</f>
        <v>-99</v>
      </c>
      <c r="BH142">
        <f ca="1">IF(AND($AT142&lt;3,OFFSET(DATA!$C$14,$AS142,0)=BH$6),$AV142,dNULL)</f>
        <v>-99</v>
      </c>
      <c r="BU142">
        <f t="shared" si="77"/>
        <v>2</v>
      </c>
      <c r="BV142">
        <f t="shared" si="78"/>
        <v>1.4400000000000008</v>
      </c>
      <c r="BW142">
        <f t="shared" ca="1" si="74"/>
        <v>0.37142348620084137</v>
      </c>
      <c r="BX142">
        <f t="shared" ca="1" si="75"/>
        <v>-0.74900059360177806</v>
      </c>
    </row>
    <row r="143" spans="14:76" x14ac:dyDescent="0.25">
      <c r="N143">
        <f>N53+1+dAnionOFF</f>
        <v>-97.7</v>
      </c>
      <c r="O143">
        <f t="shared" si="62"/>
        <v>1.0392304845413263</v>
      </c>
      <c r="Y143" s="26"/>
      <c r="Z143" s="26"/>
      <c r="AB143" s="26" t="str">
        <f t="shared" ca="1" si="63"/>
        <v/>
      </c>
      <c r="AC143">
        <f t="shared" ca="1" si="76"/>
        <v>90</v>
      </c>
      <c r="AD143" t="str">
        <f ca="1">IF(AND(AT143&lt;1,MAX(AW143:BH143)&gt;dNULL),DATA!$D151,"")</f>
        <v/>
      </c>
      <c r="AE143" s="7" t="str">
        <f ca="1">IF(LEN(DATA!D151)&gt;0,SUMPRODUCT(OFFSET(DATA!$R$6,AE$5,0,1,10),DATA!$R151:$AA151),"")</f>
        <v/>
      </c>
      <c r="AF143" s="7" t="str">
        <f ca="1">IF(LEN(DATA!E151)&gt;0,SUMPRODUCT(OFFSET(DATA!$R$6,AF$5,0,1,10),DATA!$R151:$AA151),"")</f>
        <v/>
      </c>
      <c r="AG143" s="7" t="str">
        <f ca="1">IF(LEN(DATA!F151)&gt;0,SUMPRODUCT(OFFSET(DATA!$R$6,AG$5,0,1,10),DATA!$R151:$AA151),"")</f>
        <v/>
      </c>
      <c r="AH143" s="7" t="str">
        <f ca="1">IF(LEN(DATA!G151)&gt;0,SUMPRODUCT(OFFSET(DATA!$R$6,AH$5,0,1,10),DATA!$R151:$AA151),"")</f>
        <v/>
      </c>
      <c r="AI143" s="7" t="str">
        <f ca="1">IF(LEN(DATA!H151)&gt;0,SUMPRODUCT(OFFSET(DATA!$R$6,AI$5,0,1,10),DATA!$R151:$AA151),"")</f>
        <v/>
      </c>
      <c r="AJ143" s="7" t="str">
        <f ca="1">IF(LEN(DATA!I151)&gt;0,SUMPRODUCT(OFFSET(DATA!$R$6,AJ$5,0,1,10),DATA!$R151:$AA151),"")</f>
        <v/>
      </c>
      <c r="AK143" s="7"/>
      <c r="AL143" s="7" t="e">
        <f t="shared" ca="1" si="64"/>
        <v>#DIV/0!</v>
      </c>
      <c r="AM143" s="7" t="e">
        <f t="shared" ca="1" si="65"/>
        <v>#DIV/0!</v>
      </c>
      <c r="AN143" s="7" t="e">
        <f t="shared" ca="1" si="66"/>
        <v>#DIV/0!</v>
      </c>
      <c r="AO143" s="7" t="e">
        <f t="shared" ca="1" si="67"/>
        <v>#DIV/0!</v>
      </c>
      <c r="AP143" s="7" t="e">
        <f t="shared" ca="1" si="68"/>
        <v>#DIV/0!</v>
      </c>
      <c r="AQ143" s="7" t="e">
        <f t="shared" ca="1" si="69"/>
        <v>#DIV/0!</v>
      </c>
      <c r="AS143">
        <f t="shared" si="70"/>
        <v>47</v>
      </c>
      <c r="AT143">
        <f t="shared" si="71"/>
        <v>1</v>
      </c>
      <c r="AU143">
        <f t="shared" ca="1" si="72"/>
        <v>1.6054662379421221</v>
      </c>
      <c r="AV143">
        <f t="shared" ca="1" si="73"/>
        <v>0.25479525545426407</v>
      </c>
      <c r="AW143">
        <f ca="1">IF(AND($AT143&lt;3,OFFSET(DATA!$C$14,$AS143,0)=AW$6),$AV143,dNULL)</f>
        <v>-99</v>
      </c>
      <c r="AX143">
        <f ca="1">IF(AND($AT143&lt;3,OFFSET(DATA!$C$14,$AS143,0)=AX$6),$AV143,dNULL)</f>
        <v>-99</v>
      </c>
      <c r="AY143">
        <f ca="1">IF(AND($AT143&lt;3,OFFSET(DATA!$C$14,$AS143,0)=AY$6),$AV143,dNULL)</f>
        <v>0.25479525545426407</v>
      </c>
      <c r="AZ143">
        <f ca="1">IF(AND($AT143&lt;3,OFFSET(DATA!$C$14,$AS143,0)=AZ$6),$AV143,dNULL)</f>
        <v>-99</v>
      </c>
      <c r="BA143">
        <f ca="1">IF(AND($AT143&lt;3,OFFSET(DATA!$C$14,$AS143,0)=BA$6),$AV143,dNULL)</f>
        <v>-99</v>
      </c>
      <c r="BB143">
        <f ca="1">IF(AND($AT143&lt;3,OFFSET(DATA!$C$14,$AS143,0)=BB$6),$AV143,dNULL)</f>
        <v>-99</v>
      </c>
      <c r="BC143">
        <f ca="1">IF(AND($AT143&lt;3,OFFSET(DATA!$C$14,$AS143,0)=BC$6),$AV143,dNULL)</f>
        <v>-99</v>
      </c>
      <c r="BD143">
        <f ca="1">IF(AND($AT143&lt;3,OFFSET(DATA!$C$14,$AS143,0)=BD$6),$AV143,dNULL)</f>
        <v>-99</v>
      </c>
      <c r="BE143">
        <f ca="1">IF(AND($AT143&lt;3,OFFSET(DATA!$C$14,$AS143,0)=BE$6),$AV143,dNULL)</f>
        <v>-99</v>
      </c>
      <c r="BF143">
        <f ca="1">IF(AND($AT143&lt;3,OFFSET(DATA!$C$14,$AS143,0)=BF$6),$AV143,dNULL)</f>
        <v>-99</v>
      </c>
      <c r="BG143">
        <f ca="1">IF(AND($AT143&lt;3,OFFSET(DATA!$C$14,$AS143,0)=BG$6),$AV143,dNULL)</f>
        <v>-99</v>
      </c>
      <c r="BH143">
        <f ca="1">IF(AND($AT143&lt;3,OFFSET(DATA!$C$14,$AS143,0)=BH$6),$AV143,dNULL)</f>
        <v>-99</v>
      </c>
      <c r="BU143">
        <f t="shared" si="77"/>
        <v>2</v>
      </c>
      <c r="BV143">
        <f t="shared" si="78"/>
        <v>1.4600000000000009</v>
      </c>
      <c r="BW143">
        <f t="shared" ca="1" si="74"/>
        <v>0.2</v>
      </c>
      <c r="BX143">
        <f t="shared" ca="1" si="75"/>
        <v>-0.2</v>
      </c>
    </row>
    <row r="144" spans="14:76" x14ac:dyDescent="0.25">
      <c r="Y144" s="26"/>
      <c r="Z144" s="26"/>
      <c r="AB144" s="26" t="str">
        <f t="shared" ca="1" si="63"/>
        <v/>
      </c>
      <c r="AC144">
        <f t="shared" ca="1" si="76"/>
        <v>90</v>
      </c>
      <c r="AD144" t="str">
        <f ca="1">IF(AND(AT144&lt;1,MAX(AW144:BH144)&gt;dNULL),DATA!$D152,"")</f>
        <v/>
      </c>
      <c r="AE144" s="7" t="str">
        <f ca="1">IF(LEN(DATA!D152)&gt;0,SUMPRODUCT(OFFSET(DATA!$R$6,AE$5,0,1,10),DATA!$R152:$AA152),"")</f>
        <v/>
      </c>
      <c r="AF144" s="7" t="str">
        <f ca="1">IF(LEN(DATA!E152)&gt;0,SUMPRODUCT(OFFSET(DATA!$R$6,AF$5,0,1,10),DATA!$R152:$AA152),"")</f>
        <v/>
      </c>
      <c r="AG144" s="7" t="str">
        <f ca="1">IF(LEN(DATA!F152)&gt;0,SUMPRODUCT(OFFSET(DATA!$R$6,AG$5,0,1,10),DATA!$R152:$AA152),"")</f>
        <v/>
      </c>
      <c r="AH144" s="7" t="str">
        <f ca="1">IF(LEN(DATA!G152)&gt;0,SUMPRODUCT(OFFSET(DATA!$R$6,AH$5,0,1,10),DATA!$R152:$AA152),"")</f>
        <v/>
      </c>
      <c r="AI144" s="7" t="str">
        <f ca="1">IF(LEN(DATA!H152)&gt;0,SUMPRODUCT(OFFSET(DATA!$R$6,AI$5,0,1,10),DATA!$R152:$AA152),"")</f>
        <v/>
      </c>
      <c r="AJ144" s="7" t="str">
        <f ca="1">IF(LEN(DATA!I152)&gt;0,SUMPRODUCT(OFFSET(DATA!$R$6,AJ$5,0,1,10),DATA!$R152:$AA152),"")</f>
        <v/>
      </c>
      <c r="AK144" s="7"/>
      <c r="AL144" s="7" t="e">
        <f t="shared" ca="1" si="64"/>
        <v>#DIV/0!</v>
      </c>
      <c r="AM144" s="7" t="e">
        <f t="shared" ca="1" si="65"/>
        <v>#DIV/0!</v>
      </c>
      <c r="AN144" s="7" t="e">
        <f t="shared" ca="1" si="66"/>
        <v>#DIV/0!</v>
      </c>
      <c r="AO144" s="7" t="e">
        <f t="shared" ca="1" si="67"/>
        <v>#DIV/0!</v>
      </c>
      <c r="AP144" s="7" t="e">
        <f t="shared" ca="1" si="68"/>
        <v>#DIV/0!</v>
      </c>
      <c r="AQ144" s="7" t="e">
        <f t="shared" ca="1" si="69"/>
        <v>#DIV/0!</v>
      </c>
      <c r="AS144">
        <f t="shared" si="70"/>
        <v>48</v>
      </c>
      <c r="AT144">
        <f t="shared" si="71"/>
        <v>1</v>
      </c>
      <c r="AU144">
        <f t="shared" ca="1" si="72"/>
        <v>1.4858607744944223</v>
      </c>
      <c r="AV144">
        <f t="shared" ca="1" si="73"/>
        <v>0.19541074953059742</v>
      </c>
      <c r="AW144">
        <f ca="1">IF(AND($AT144&lt;3,OFFSET(DATA!$C$14,$AS144,0)=AW$6),$AV144,dNULL)</f>
        <v>-99</v>
      </c>
      <c r="AX144">
        <f ca="1">IF(AND($AT144&lt;3,OFFSET(DATA!$C$14,$AS144,0)=AX$6),$AV144,dNULL)</f>
        <v>-99</v>
      </c>
      <c r="AY144">
        <f ca="1">IF(AND($AT144&lt;3,OFFSET(DATA!$C$14,$AS144,0)=AY$6),$AV144,dNULL)</f>
        <v>0.19541074953059742</v>
      </c>
      <c r="AZ144">
        <f ca="1">IF(AND($AT144&lt;3,OFFSET(DATA!$C$14,$AS144,0)=AZ$6),$AV144,dNULL)</f>
        <v>-99</v>
      </c>
      <c r="BA144">
        <f ca="1">IF(AND($AT144&lt;3,OFFSET(DATA!$C$14,$AS144,0)=BA$6),$AV144,dNULL)</f>
        <v>-99</v>
      </c>
      <c r="BB144">
        <f ca="1">IF(AND($AT144&lt;3,OFFSET(DATA!$C$14,$AS144,0)=BB$6),$AV144,dNULL)</f>
        <v>-99</v>
      </c>
      <c r="BC144">
        <f ca="1">IF(AND($AT144&lt;3,OFFSET(DATA!$C$14,$AS144,0)=BC$6),$AV144,dNULL)</f>
        <v>-99</v>
      </c>
      <c r="BD144">
        <f ca="1">IF(AND($AT144&lt;3,OFFSET(DATA!$C$14,$AS144,0)=BD$6),$AV144,dNULL)</f>
        <v>-99</v>
      </c>
      <c r="BE144">
        <f ca="1">IF(AND($AT144&lt;3,OFFSET(DATA!$C$14,$AS144,0)=BE$6),$AV144,dNULL)</f>
        <v>-99</v>
      </c>
      <c r="BF144">
        <f ca="1">IF(AND($AT144&lt;3,OFFSET(DATA!$C$14,$AS144,0)=BF$6),$AV144,dNULL)</f>
        <v>-99</v>
      </c>
      <c r="BG144">
        <f ca="1">IF(AND($AT144&lt;3,OFFSET(DATA!$C$14,$AS144,0)=BG$6),$AV144,dNULL)</f>
        <v>-99</v>
      </c>
      <c r="BH144">
        <f ca="1">IF(AND($AT144&lt;3,OFFSET(DATA!$C$14,$AS144,0)=BH$6),$AV144,dNULL)</f>
        <v>-99</v>
      </c>
      <c r="BU144">
        <f t="shared" si="77"/>
        <v>2</v>
      </c>
      <c r="BV144">
        <f t="shared" si="78"/>
        <v>1.4600000000000009</v>
      </c>
      <c r="BW144">
        <f t="shared" ca="1" si="74"/>
        <v>0.36391886797689177</v>
      </c>
      <c r="BX144">
        <f t="shared" ca="1" si="75"/>
        <v>-0.73917246090747291</v>
      </c>
    </row>
    <row r="145" spans="13:76" x14ac:dyDescent="0.25">
      <c r="N145">
        <f>N55+1+dAnionOFF</f>
        <v>-97.7</v>
      </c>
      <c r="O145">
        <f t="shared" si="62"/>
        <v>1.2124355652982139</v>
      </c>
      <c r="Y145" s="26"/>
      <c r="Z145" s="26"/>
      <c r="AB145" s="26" t="str">
        <f t="shared" ca="1" si="63"/>
        <v/>
      </c>
      <c r="AC145">
        <f t="shared" ca="1" si="76"/>
        <v>90</v>
      </c>
      <c r="AD145" t="str">
        <f ca="1">IF(AND(AT145&lt;1,MAX(AW145:BH145)&gt;dNULL),DATA!$D153,"")</f>
        <v/>
      </c>
      <c r="AE145" s="7" t="str">
        <f ca="1">IF(LEN(DATA!D153)&gt;0,SUMPRODUCT(OFFSET(DATA!$R$6,AE$5,0,1,10),DATA!$R153:$AA153),"")</f>
        <v/>
      </c>
      <c r="AF145" s="7" t="str">
        <f ca="1">IF(LEN(DATA!E153)&gt;0,SUMPRODUCT(OFFSET(DATA!$R$6,AF$5,0,1,10),DATA!$R153:$AA153),"")</f>
        <v/>
      </c>
      <c r="AG145" s="7" t="str">
        <f ca="1">IF(LEN(DATA!F153)&gt;0,SUMPRODUCT(OFFSET(DATA!$R$6,AG$5,0,1,10),DATA!$R153:$AA153),"")</f>
        <v/>
      </c>
      <c r="AH145" s="7" t="str">
        <f ca="1">IF(LEN(DATA!G153)&gt;0,SUMPRODUCT(OFFSET(DATA!$R$6,AH$5,0,1,10),DATA!$R153:$AA153),"")</f>
        <v/>
      </c>
      <c r="AI145" s="7" t="str">
        <f ca="1">IF(LEN(DATA!H153)&gt;0,SUMPRODUCT(OFFSET(DATA!$R$6,AI$5,0,1,10),DATA!$R153:$AA153),"")</f>
        <v/>
      </c>
      <c r="AJ145" s="7" t="str">
        <f ca="1">IF(LEN(DATA!I153)&gt;0,SUMPRODUCT(OFFSET(DATA!$R$6,AJ$5,0,1,10),DATA!$R153:$AA153),"")</f>
        <v/>
      </c>
      <c r="AK145" s="7"/>
      <c r="AL145" s="7" t="e">
        <f t="shared" ca="1" si="64"/>
        <v>#DIV/0!</v>
      </c>
      <c r="AM145" s="7" t="e">
        <f t="shared" ca="1" si="65"/>
        <v>#DIV/0!</v>
      </c>
      <c r="AN145" s="7" t="e">
        <f t="shared" ca="1" si="66"/>
        <v>#DIV/0!</v>
      </c>
      <c r="AO145" s="7" t="e">
        <f t="shared" ca="1" si="67"/>
        <v>#DIV/0!</v>
      </c>
      <c r="AP145" s="7" t="e">
        <f t="shared" ca="1" si="68"/>
        <v>#DIV/0!</v>
      </c>
      <c r="AQ145" s="7" t="e">
        <f t="shared" ca="1" si="69"/>
        <v>#DIV/0!</v>
      </c>
      <c r="AS145">
        <f t="shared" si="70"/>
        <v>49</v>
      </c>
      <c r="AT145">
        <f t="shared" si="71"/>
        <v>1</v>
      </c>
      <c r="AU145">
        <f t="shared" ca="1" si="72"/>
        <v>1.6445402158020173</v>
      </c>
      <c r="AV145">
        <f t="shared" ca="1" si="73"/>
        <v>0.2523139596011314</v>
      </c>
      <c r="AW145">
        <f ca="1">IF(AND($AT145&lt;3,OFFSET(DATA!$C$14,$AS145,0)=AW$6),$AV145,dNULL)</f>
        <v>-99</v>
      </c>
      <c r="AX145">
        <f ca="1">IF(AND($AT145&lt;3,OFFSET(DATA!$C$14,$AS145,0)=AX$6),$AV145,dNULL)</f>
        <v>-99</v>
      </c>
      <c r="AY145">
        <f ca="1">IF(AND($AT145&lt;3,OFFSET(DATA!$C$14,$AS145,0)=AY$6),$AV145,dNULL)</f>
        <v>-99</v>
      </c>
      <c r="AZ145">
        <f ca="1">IF(AND($AT145&lt;3,OFFSET(DATA!$C$14,$AS145,0)=AZ$6),$AV145,dNULL)</f>
        <v>-99</v>
      </c>
      <c r="BA145">
        <f ca="1">IF(AND($AT145&lt;3,OFFSET(DATA!$C$14,$AS145,0)=BA$6),$AV145,dNULL)</f>
        <v>-99</v>
      </c>
      <c r="BB145">
        <f ca="1">IF(AND($AT145&lt;3,OFFSET(DATA!$C$14,$AS145,0)=BB$6),$AV145,dNULL)</f>
        <v>0.2523139596011314</v>
      </c>
      <c r="BC145">
        <f ca="1">IF(AND($AT145&lt;3,OFFSET(DATA!$C$14,$AS145,0)=BC$6),$AV145,dNULL)</f>
        <v>-99</v>
      </c>
      <c r="BD145">
        <f ca="1">IF(AND($AT145&lt;3,OFFSET(DATA!$C$14,$AS145,0)=BD$6),$AV145,dNULL)</f>
        <v>-99</v>
      </c>
      <c r="BE145">
        <f ca="1">IF(AND($AT145&lt;3,OFFSET(DATA!$C$14,$AS145,0)=BE$6),$AV145,dNULL)</f>
        <v>-99</v>
      </c>
      <c r="BF145">
        <f ca="1">IF(AND($AT145&lt;3,OFFSET(DATA!$C$14,$AS145,0)=BF$6),$AV145,dNULL)</f>
        <v>-99</v>
      </c>
      <c r="BG145">
        <f ca="1">IF(AND($AT145&lt;3,OFFSET(DATA!$C$14,$AS145,0)=BG$6),$AV145,dNULL)</f>
        <v>-99</v>
      </c>
      <c r="BH145">
        <f ca="1">IF(AND($AT145&lt;3,OFFSET(DATA!$C$14,$AS145,0)=BH$6),$AV145,dNULL)</f>
        <v>-99</v>
      </c>
      <c r="BU145">
        <f t="shared" si="77"/>
        <v>2</v>
      </c>
      <c r="BV145">
        <f t="shared" si="78"/>
        <v>1.4800000000000009</v>
      </c>
      <c r="BW145">
        <f t="shared" ca="1" si="74"/>
        <v>0.2</v>
      </c>
      <c r="BX145">
        <f t="shared" ca="1" si="75"/>
        <v>-0.2</v>
      </c>
    </row>
    <row r="146" spans="13:76" x14ac:dyDescent="0.25">
      <c r="N146">
        <f>N56+1+dAnionOFF</f>
        <v>-97.7</v>
      </c>
      <c r="O146">
        <f t="shared" si="62"/>
        <v>1.2124355652982139</v>
      </c>
      <c r="Y146" s="26"/>
      <c r="Z146" s="26"/>
      <c r="AB146" s="26" t="str">
        <f t="shared" ca="1" si="63"/>
        <v/>
      </c>
      <c r="AC146">
        <f t="shared" ca="1" si="76"/>
        <v>90</v>
      </c>
      <c r="AD146" t="str">
        <f ca="1">IF(AND(AT146&lt;1,MAX(AW146:BH146)&gt;dNULL),DATA!$D154,"")</f>
        <v/>
      </c>
      <c r="AE146" s="7" t="str">
        <f ca="1">IF(LEN(DATA!D154)&gt;0,SUMPRODUCT(OFFSET(DATA!$R$6,AE$5,0,1,10),DATA!$R154:$AA154),"")</f>
        <v/>
      </c>
      <c r="AF146" s="7" t="str">
        <f ca="1">IF(LEN(DATA!E154)&gt;0,SUMPRODUCT(OFFSET(DATA!$R$6,AF$5,0,1,10),DATA!$R154:$AA154),"")</f>
        <v/>
      </c>
      <c r="AG146" s="7" t="str">
        <f ca="1">IF(LEN(DATA!F154)&gt;0,SUMPRODUCT(OFFSET(DATA!$R$6,AG$5,0,1,10),DATA!$R154:$AA154),"")</f>
        <v/>
      </c>
      <c r="AH146" s="7" t="str">
        <f ca="1">IF(LEN(DATA!G154)&gt;0,SUMPRODUCT(OFFSET(DATA!$R$6,AH$5,0,1,10),DATA!$R154:$AA154),"")</f>
        <v/>
      </c>
      <c r="AI146" s="7" t="str">
        <f ca="1">IF(LEN(DATA!H154)&gt;0,SUMPRODUCT(OFFSET(DATA!$R$6,AI$5,0,1,10),DATA!$R154:$AA154),"")</f>
        <v/>
      </c>
      <c r="AJ146" s="7" t="str">
        <f ca="1">IF(LEN(DATA!I154)&gt;0,SUMPRODUCT(OFFSET(DATA!$R$6,AJ$5,0,1,10),DATA!$R154:$AA154),"")</f>
        <v/>
      </c>
      <c r="AK146" s="7"/>
      <c r="AL146" s="7" t="e">
        <f t="shared" ca="1" si="64"/>
        <v>#DIV/0!</v>
      </c>
      <c r="AM146" s="7" t="e">
        <f t="shared" ca="1" si="65"/>
        <v>#DIV/0!</v>
      </c>
      <c r="AN146" s="7" t="e">
        <f t="shared" ca="1" si="66"/>
        <v>#DIV/0!</v>
      </c>
      <c r="AO146" s="7" t="e">
        <f t="shared" ca="1" si="67"/>
        <v>#DIV/0!</v>
      </c>
      <c r="AP146" s="7" t="e">
        <f t="shared" ca="1" si="68"/>
        <v>#DIV/0!</v>
      </c>
      <c r="AQ146" s="7" t="e">
        <f t="shared" ca="1" si="69"/>
        <v>#DIV/0!</v>
      </c>
      <c r="AS146">
        <f t="shared" si="70"/>
        <v>50</v>
      </c>
      <c r="AT146">
        <f t="shared" si="71"/>
        <v>1</v>
      </c>
      <c r="AU146">
        <f t="shared" ca="1" si="72"/>
        <v>1.6777394096331739</v>
      </c>
      <c r="AV146">
        <f t="shared" ca="1" si="73"/>
        <v>0.29510124812452976</v>
      </c>
      <c r="AW146">
        <f ca="1">IF(AND($AT146&lt;3,OFFSET(DATA!$C$14,$AS146,0)=AW$6),$AV146,dNULL)</f>
        <v>-99</v>
      </c>
      <c r="AX146">
        <f ca="1">IF(AND($AT146&lt;3,OFFSET(DATA!$C$14,$AS146,0)=AX$6),$AV146,dNULL)</f>
        <v>-99</v>
      </c>
      <c r="AY146">
        <f ca="1">IF(AND($AT146&lt;3,OFFSET(DATA!$C$14,$AS146,0)=AY$6),$AV146,dNULL)</f>
        <v>-99</v>
      </c>
      <c r="AZ146">
        <f ca="1">IF(AND($AT146&lt;3,OFFSET(DATA!$C$14,$AS146,0)=AZ$6),$AV146,dNULL)</f>
        <v>-99</v>
      </c>
      <c r="BA146">
        <f ca="1">IF(AND($AT146&lt;3,OFFSET(DATA!$C$14,$AS146,0)=BA$6),$AV146,dNULL)</f>
        <v>-99</v>
      </c>
      <c r="BB146">
        <f ca="1">IF(AND($AT146&lt;3,OFFSET(DATA!$C$14,$AS146,0)=BB$6),$AV146,dNULL)</f>
        <v>0.29510124812452976</v>
      </c>
      <c r="BC146">
        <f ca="1">IF(AND($AT146&lt;3,OFFSET(DATA!$C$14,$AS146,0)=BC$6),$AV146,dNULL)</f>
        <v>-99</v>
      </c>
      <c r="BD146">
        <f ca="1">IF(AND($AT146&lt;3,OFFSET(DATA!$C$14,$AS146,0)=BD$6),$AV146,dNULL)</f>
        <v>-99</v>
      </c>
      <c r="BE146">
        <f ca="1">IF(AND($AT146&lt;3,OFFSET(DATA!$C$14,$AS146,0)=BE$6),$AV146,dNULL)</f>
        <v>-99</v>
      </c>
      <c r="BF146">
        <f ca="1">IF(AND($AT146&lt;3,OFFSET(DATA!$C$14,$AS146,0)=BF$6),$AV146,dNULL)</f>
        <v>-99</v>
      </c>
      <c r="BG146">
        <f ca="1">IF(AND($AT146&lt;3,OFFSET(DATA!$C$14,$AS146,0)=BG$6),$AV146,dNULL)</f>
        <v>-99</v>
      </c>
      <c r="BH146">
        <f ca="1">IF(AND($AT146&lt;3,OFFSET(DATA!$C$14,$AS146,0)=BH$6),$AV146,dNULL)</f>
        <v>-99</v>
      </c>
      <c r="BU146">
        <f t="shared" si="77"/>
        <v>2</v>
      </c>
      <c r="BV146">
        <f t="shared" si="78"/>
        <v>1.4800000000000009</v>
      </c>
      <c r="BW146">
        <f t="shared" ca="1" si="74"/>
        <v>0.35641424975294222</v>
      </c>
      <c r="BX146">
        <f t="shared" ca="1" si="75"/>
        <v>-0.72934432821316775</v>
      </c>
    </row>
    <row r="147" spans="13:76" x14ac:dyDescent="0.25">
      <c r="Y147" s="26"/>
      <c r="Z147" s="26"/>
      <c r="AB147" s="26" t="str">
        <f t="shared" ca="1" si="63"/>
        <v/>
      </c>
      <c r="AC147">
        <f t="shared" ca="1" si="76"/>
        <v>90</v>
      </c>
      <c r="AD147" t="str">
        <f ca="1">IF(AND(AT147&lt;1,MAX(AW147:BH147)&gt;dNULL),DATA!$D155,"")</f>
        <v/>
      </c>
      <c r="AE147" s="7" t="str">
        <f ca="1">IF(LEN(DATA!D155)&gt;0,SUMPRODUCT(OFFSET(DATA!$R$6,AE$5,0,1,10),DATA!$R155:$AA155),"")</f>
        <v/>
      </c>
      <c r="AF147" s="7" t="str">
        <f ca="1">IF(LEN(DATA!E155)&gt;0,SUMPRODUCT(OFFSET(DATA!$R$6,AF$5,0,1,10),DATA!$R155:$AA155),"")</f>
        <v/>
      </c>
      <c r="AG147" s="7" t="str">
        <f ca="1">IF(LEN(DATA!F155)&gt;0,SUMPRODUCT(OFFSET(DATA!$R$6,AG$5,0,1,10),DATA!$R155:$AA155),"")</f>
        <v/>
      </c>
      <c r="AH147" s="7" t="str">
        <f ca="1">IF(LEN(DATA!G155)&gt;0,SUMPRODUCT(OFFSET(DATA!$R$6,AH$5,0,1,10),DATA!$R155:$AA155),"")</f>
        <v/>
      </c>
      <c r="AI147" s="7" t="str">
        <f ca="1">IF(LEN(DATA!H155)&gt;0,SUMPRODUCT(OFFSET(DATA!$R$6,AI$5,0,1,10),DATA!$R155:$AA155),"")</f>
        <v/>
      </c>
      <c r="AJ147" s="7" t="str">
        <f ca="1">IF(LEN(DATA!I155)&gt;0,SUMPRODUCT(OFFSET(DATA!$R$6,AJ$5,0,1,10),DATA!$R155:$AA155),"")</f>
        <v/>
      </c>
      <c r="AK147" s="7"/>
      <c r="AL147" s="7" t="e">
        <f t="shared" ca="1" si="64"/>
        <v>#DIV/0!</v>
      </c>
      <c r="AM147" s="7" t="e">
        <f t="shared" ca="1" si="65"/>
        <v>#DIV/0!</v>
      </c>
      <c r="AN147" s="7" t="e">
        <f t="shared" ca="1" si="66"/>
        <v>#DIV/0!</v>
      </c>
      <c r="AO147" s="7" t="e">
        <f t="shared" ca="1" si="67"/>
        <v>#DIV/0!</v>
      </c>
      <c r="AP147" s="7" t="e">
        <f t="shared" ca="1" si="68"/>
        <v>#DIV/0!</v>
      </c>
      <c r="AQ147" s="7" t="e">
        <f t="shared" ca="1" si="69"/>
        <v>#DIV/0!</v>
      </c>
      <c r="AS147">
        <f t="shared" si="70"/>
        <v>51</v>
      </c>
      <c r="AT147">
        <f t="shared" si="71"/>
        <v>1</v>
      </c>
      <c r="AU147">
        <f t="shared" ca="1" si="72"/>
        <v>1.5376677098243881</v>
      </c>
      <c r="AV147">
        <f t="shared" ca="1" si="73"/>
        <v>0.23957006141047868</v>
      </c>
      <c r="AW147">
        <f ca="1">IF(AND($AT147&lt;3,OFFSET(DATA!$C$14,$AS147,0)=AW$6),$AV147,dNULL)</f>
        <v>0.23957006141047868</v>
      </c>
      <c r="AX147">
        <f ca="1">IF(AND($AT147&lt;3,OFFSET(DATA!$C$14,$AS147,0)=AX$6),$AV147,dNULL)</f>
        <v>-99</v>
      </c>
      <c r="AY147">
        <f ca="1">IF(AND($AT147&lt;3,OFFSET(DATA!$C$14,$AS147,0)=AY$6),$AV147,dNULL)</f>
        <v>-99</v>
      </c>
      <c r="AZ147">
        <f ca="1">IF(AND($AT147&lt;3,OFFSET(DATA!$C$14,$AS147,0)=AZ$6),$AV147,dNULL)</f>
        <v>-99</v>
      </c>
      <c r="BA147">
        <f ca="1">IF(AND($AT147&lt;3,OFFSET(DATA!$C$14,$AS147,0)=BA$6),$AV147,dNULL)</f>
        <v>-99</v>
      </c>
      <c r="BB147">
        <f ca="1">IF(AND($AT147&lt;3,OFFSET(DATA!$C$14,$AS147,0)=BB$6),$AV147,dNULL)</f>
        <v>-99</v>
      </c>
      <c r="BC147">
        <f ca="1">IF(AND($AT147&lt;3,OFFSET(DATA!$C$14,$AS147,0)=BC$6),$AV147,dNULL)</f>
        <v>-99</v>
      </c>
      <c r="BD147">
        <f ca="1">IF(AND($AT147&lt;3,OFFSET(DATA!$C$14,$AS147,0)=BD$6),$AV147,dNULL)</f>
        <v>-99</v>
      </c>
      <c r="BE147">
        <f ca="1">IF(AND($AT147&lt;3,OFFSET(DATA!$C$14,$AS147,0)=BE$6),$AV147,dNULL)</f>
        <v>-99</v>
      </c>
      <c r="BF147">
        <f ca="1">IF(AND($AT147&lt;3,OFFSET(DATA!$C$14,$AS147,0)=BF$6),$AV147,dNULL)</f>
        <v>-99</v>
      </c>
      <c r="BG147">
        <f ca="1">IF(AND($AT147&lt;3,OFFSET(DATA!$C$14,$AS147,0)=BG$6),$AV147,dNULL)</f>
        <v>-99</v>
      </c>
      <c r="BH147">
        <f ca="1">IF(AND($AT147&lt;3,OFFSET(DATA!$C$14,$AS147,0)=BH$6),$AV147,dNULL)</f>
        <v>-99</v>
      </c>
      <c r="BU147">
        <f t="shared" si="77"/>
        <v>2</v>
      </c>
      <c r="BV147">
        <f t="shared" si="78"/>
        <v>1.5000000000000009</v>
      </c>
      <c r="BW147">
        <f t="shared" ca="1" si="74"/>
        <v>0.2</v>
      </c>
      <c r="BX147">
        <f t="shared" ca="1" si="75"/>
        <v>-0.2</v>
      </c>
    </row>
    <row r="148" spans="13:76" x14ac:dyDescent="0.25">
      <c r="N148">
        <f>N58+1+dAnionOFF</f>
        <v>-97.7</v>
      </c>
      <c r="O148">
        <f t="shared" si="62"/>
        <v>1.3856406460551016</v>
      </c>
      <c r="Y148" s="26"/>
      <c r="Z148" s="26"/>
      <c r="AB148" s="26" t="str">
        <f t="shared" ca="1" si="63"/>
        <v/>
      </c>
      <c r="AC148">
        <f t="shared" ca="1" si="76"/>
        <v>90</v>
      </c>
      <c r="AD148" t="str">
        <f ca="1">IF(AND(AT148&lt;1,MAX(AW148:BH148)&gt;dNULL),DATA!$D156,"")</f>
        <v/>
      </c>
      <c r="AE148" s="7" t="str">
        <f ca="1">IF(LEN(DATA!D156)&gt;0,SUMPRODUCT(OFFSET(DATA!$R$6,AE$5,0,1,10),DATA!$R156:$AA156),"")</f>
        <v/>
      </c>
      <c r="AF148" s="7" t="str">
        <f ca="1">IF(LEN(DATA!E156)&gt;0,SUMPRODUCT(OFFSET(DATA!$R$6,AF$5,0,1,10),DATA!$R156:$AA156),"")</f>
        <v/>
      </c>
      <c r="AG148" s="7" t="str">
        <f ca="1">IF(LEN(DATA!F156)&gt;0,SUMPRODUCT(OFFSET(DATA!$R$6,AG$5,0,1,10),DATA!$R156:$AA156),"")</f>
        <v/>
      </c>
      <c r="AH148" s="7" t="str">
        <f ca="1">IF(LEN(DATA!G156)&gt;0,SUMPRODUCT(OFFSET(DATA!$R$6,AH$5,0,1,10),DATA!$R156:$AA156),"")</f>
        <v/>
      </c>
      <c r="AI148" s="7" t="str">
        <f ca="1">IF(LEN(DATA!H156)&gt;0,SUMPRODUCT(OFFSET(DATA!$R$6,AI$5,0,1,10),DATA!$R156:$AA156),"")</f>
        <v/>
      </c>
      <c r="AJ148" s="7" t="str">
        <f ca="1">IF(LEN(DATA!I156)&gt;0,SUMPRODUCT(OFFSET(DATA!$R$6,AJ$5,0,1,10),DATA!$R156:$AA156),"")</f>
        <v/>
      </c>
      <c r="AK148" s="7"/>
      <c r="AL148" s="7" t="e">
        <f t="shared" ca="1" si="64"/>
        <v>#DIV/0!</v>
      </c>
      <c r="AM148" s="7" t="e">
        <f t="shared" ca="1" si="65"/>
        <v>#DIV/0!</v>
      </c>
      <c r="AN148" s="7" t="e">
        <f t="shared" ca="1" si="66"/>
        <v>#DIV/0!</v>
      </c>
      <c r="AO148" s="7" t="e">
        <f t="shared" ca="1" si="67"/>
        <v>#DIV/0!</v>
      </c>
      <c r="AP148" s="7" t="e">
        <f t="shared" ca="1" si="68"/>
        <v>#DIV/0!</v>
      </c>
      <c r="AQ148" s="7" t="e">
        <f t="shared" ca="1" si="69"/>
        <v>#DIV/0!</v>
      </c>
      <c r="AS148">
        <f t="shared" si="70"/>
        <v>52</v>
      </c>
      <c r="AT148">
        <f t="shared" si="71"/>
        <v>1</v>
      </c>
      <c r="AU148">
        <f t="shared" ca="1" si="72"/>
        <v>1.6471654460146496</v>
      </c>
      <c r="AV148">
        <f t="shared" ca="1" si="73"/>
        <v>0.26912066022843678</v>
      </c>
      <c r="AW148">
        <f ca="1">IF(AND($AT148&lt;3,OFFSET(DATA!$C$14,$AS148,0)=AW$6),$AV148,dNULL)</f>
        <v>-99</v>
      </c>
      <c r="AX148">
        <f ca="1">IF(AND($AT148&lt;3,OFFSET(DATA!$C$14,$AS148,0)=AX$6),$AV148,dNULL)</f>
        <v>-99</v>
      </c>
      <c r="AY148">
        <f ca="1">IF(AND($AT148&lt;3,OFFSET(DATA!$C$14,$AS148,0)=AY$6),$AV148,dNULL)</f>
        <v>-99</v>
      </c>
      <c r="AZ148">
        <f ca="1">IF(AND($AT148&lt;3,OFFSET(DATA!$C$14,$AS148,0)=AZ$6),$AV148,dNULL)</f>
        <v>-99</v>
      </c>
      <c r="BA148">
        <f ca="1">IF(AND($AT148&lt;3,OFFSET(DATA!$C$14,$AS148,0)=BA$6),$AV148,dNULL)</f>
        <v>-99</v>
      </c>
      <c r="BB148">
        <f ca="1">IF(AND($AT148&lt;3,OFFSET(DATA!$C$14,$AS148,0)=BB$6),$AV148,dNULL)</f>
        <v>0.26912066022843678</v>
      </c>
      <c r="BC148">
        <f ca="1">IF(AND($AT148&lt;3,OFFSET(DATA!$C$14,$AS148,0)=BC$6),$AV148,dNULL)</f>
        <v>-99</v>
      </c>
      <c r="BD148">
        <f ca="1">IF(AND($AT148&lt;3,OFFSET(DATA!$C$14,$AS148,0)=BD$6),$AV148,dNULL)</f>
        <v>-99</v>
      </c>
      <c r="BE148">
        <f ca="1">IF(AND($AT148&lt;3,OFFSET(DATA!$C$14,$AS148,0)=BE$6),$AV148,dNULL)</f>
        <v>-99</v>
      </c>
      <c r="BF148">
        <f ca="1">IF(AND($AT148&lt;3,OFFSET(DATA!$C$14,$AS148,0)=BF$6),$AV148,dNULL)</f>
        <v>-99</v>
      </c>
      <c r="BG148">
        <f ca="1">IF(AND($AT148&lt;3,OFFSET(DATA!$C$14,$AS148,0)=BG$6),$AV148,dNULL)</f>
        <v>-99</v>
      </c>
      <c r="BH148">
        <f ca="1">IF(AND($AT148&lt;3,OFFSET(DATA!$C$14,$AS148,0)=BH$6),$AV148,dNULL)</f>
        <v>-99</v>
      </c>
      <c r="BU148">
        <f t="shared" si="77"/>
        <v>2</v>
      </c>
      <c r="BV148">
        <f t="shared" si="78"/>
        <v>1.5000000000000009</v>
      </c>
      <c r="BW148">
        <f t="shared" ca="1" si="74"/>
        <v>0.34890963152899268</v>
      </c>
      <c r="BX148">
        <f t="shared" ca="1" si="75"/>
        <v>-0.71951619551886259</v>
      </c>
    </row>
    <row r="149" spans="13:76" x14ac:dyDescent="0.25">
      <c r="N149">
        <f>N59+1+dAnionOFF</f>
        <v>-97.7</v>
      </c>
      <c r="O149">
        <f t="shared" si="62"/>
        <v>1.3856406460551016</v>
      </c>
      <c r="Y149" s="26"/>
      <c r="Z149" s="26"/>
      <c r="AB149" s="26" t="str">
        <f t="shared" ca="1" si="63"/>
        <v/>
      </c>
      <c r="AC149">
        <f t="shared" ca="1" si="76"/>
        <v>90</v>
      </c>
      <c r="AD149" t="str">
        <f ca="1">IF(AND(AT149&lt;1,MAX(AW149:BH149)&gt;dNULL),DATA!$D157,"")</f>
        <v/>
      </c>
      <c r="AE149" s="7" t="str">
        <f ca="1">IF(LEN(DATA!D157)&gt;0,SUMPRODUCT(OFFSET(DATA!$R$6,AE$5,0,1,10),DATA!$R157:$AA157),"")</f>
        <v/>
      </c>
      <c r="AF149" s="7" t="str">
        <f ca="1">IF(LEN(DATA!E157)&gt;0,SUMPRODUCT(OFFSET(DATA!$R$6,AF$5,0,1,10),DATA!$R157:$AA157),"")</f>
        <v/>
      </c>
      <c r="AG149" s="7" t="str">
        <f ca="1">IF(LEN(DATA!F157)&gt;0,SUMPRODUCT(OFFSET(DATA!$R$6,AG$5,0,1,10),DATA!$R157:$AA157),"")</f>
        <v/>
      </c>
      <c r="AH149" s="7" t="str">
        <f ca="1">IF(LEN(DATA!G157)&gt;0,SUMPRODUCT(OFFSET(DATA!$R$6,AH$5,0,1,10),DATA!$R157:$AA157),"")</f>
        <v/>
      </c>
      <c r="AI149" s="7" t="str">
        <f ca="1">IF(LEN(DATA!H157)&gt;0,SUMPRODUCT(OFFSET(DATA!$R$6,AI$5,0,1,10),DATA!$R157:$AA157),"")</f>
        <v/>
      </c>
      <c r="AJ149" s="7" t="str">
        <f ca="1">IF(LEN(DATA!I157)&gt;0,SUMPRODUCT(OFFSET(DATA!$R$6,AJ$5,0,1,10),DATA!$R157:$AA157),"")</f>
        <v/>
      </c>
      <c r="AK149" s="7"/>
      <c r="AL149" s="7" t="e">
        <f t="shared" ca="1" si="64"/>
        <v>#DIV/0!</v>
      </c>
      <c r="AM149" s="7" t="e">
        <f t="shared" ca="1" si="65"/>
        <v>#DIV/0!</v>
      </c>
      <c r="AN149" s="7" t="e">
        <f t="shared" ca="1" si="66"/>
        <v>#DIV/0!</v>
      </c>
      <c r="AO149" s="7" t="e">
        <f t="shared" ca="1" si="67"/>
        <v>#DIV/0!</v>
      </c>
      <c r="AP149" s="7" t="e">
        <f t="shared" ca="1" si="68"/>
        <v>#DIV/0!</v>
      </c>
      <c r="AQ149" s="7" t="e">
        <f t="shared" ca="1" si="69"/>
        <v>#DIV/0!</v>
      </c>
      <c r="AS149">
        <f t="shared" si="70"/>
        <v>53</v>
      </c>
      <c r="AT149">
        <f t="shared" si="71"/>
        <v>1</v>
      </c>
      <c r="AU149">
        <f t="shared" ca="1" si="72"/>
        <v>1.3269635073628534</v>
      </c>
      <c r="AV149">
        <f t="shared" ca="1" si="73"/>
        <v>3.2352768245356621E-2</v>
      </c>
      <c r="AW149">
        <f ca="1">IF(AND($AT149&lt;3,OFFSET(DATA!$C$14,$AS149,0)=AW$6),$AV149,dNULL)</f>
        <v>-99</v>
      </c>
      <c r="AX149">
        <f ca="1">IF(AND($AT149&lt;3,OFFSET(DATA!$C$14,$AS149,0)=AX$6),$AV149,dNULL)</f>
        <v>3.2352768245356621E-2</v>
      </c>
      <c r="AY149">
        <f ca="1">IF(AND($AT149&lt;3,OFFSET(DATA!$C$14,$AS149,0)=AY$6),$AV149,dNULL)</f>
        <v>-99</v>
      </c>
      <c r="AZ149">
        <f ca="1">IF(AND($AT149&lt;3,OFFSET(DATA!$C$14,$AS149,0)=AZ$6),$AV149,dNULL)</f>
        <v>-99</v>
      </c>
      <c r="BA149">
        <f ca="1">IF(AND($AT149&lt;3,OFFSET(DATA!$C$14,$AS149,0)=BA$6),$AV149,dNULL)</f>
        <v>-99</v>
      </c>
      <c r="BB149">
        <f ca="1">IF(AND($AT149&lt;3,OFFSET(DATA!$C$14,$AS149,0)=BB$6),$AV149,dNULL)</f>
        <v>-99</v>
      </c>
      <c r="BC149">
        <f ca="1">IF(AND($AT149&lt;3,OFFSET(DATA!$C$14,$AS149,0)=BC$6),$AV149,dNULL)</f>
        <v>-99</v>
      </c>
      <c r="BD149">
        <f ca="1">IF(AND($AT149&lt;3,OFFSET(DATA!$C$14,$AS149,0)=BD$6),$AV149,dNULL)</f>
        <v>-99</v>
      </c>
      <c r="BE149">
        <f ca="1">IF(AND($AT149&lt;3,OFFSET(DATA!$C$14,$AS149,0)=BE$6),$AV149,dNULL)</f>
        <v>-99</v>
      </c>
      <c r="BF149">
        <f ca="1">IF(AND($AT149&lt;3,OFFSET(DATA!$C$14,$AS149,0)=BF$6),$AV149,dNULL)</f>
        <v>-99</v>
      </c>
      <c r="BG149">
        <f ca="1">IF(AND($AT149&lt;3,OFFSET(DATA!$C$14,$AS149,0)=BG$6),$AV149,dNULL)</f>
        <v>-99</v>
      </c>
      <c r="BH149">
        <f ca="1">IF(AND($AT149&lt;3,OFFSET(DATA!$C$14,$AS149,0)=BH$6),$AV149,dNULL)</f>
        <v>-99</v>
      </c>
      <c r="BU149">
        <f t="shared" si="77"/>
        <v>2</v>
      </c>
      <c r="BV149">
        <f t="shared" si="78"/>
        <v>1.5200000000000009</v>
      </c>
      <c r="BW149">
        <f t="shared" ca="1" si="74"/>
        <v>0.2</v>
      </c>
      <c r="BX149">
        <f t="shared" ca="1" si="75"/>
        <v>-0.2</v>
      </c>
    </row>
    <row r="150" spans="13:76" x14ac:dyDescent="0.25">
      <c r="Y150" s="26"/>
      <c r="Z150" s="26"/>
      <c r="AB150" s="26" t="str">
        <f t="shared" ca="1" si="63"/>
        <v/>
      </c>
      <c r="AC150">
        <f t="shared" ca="1" si="76"/>
        <v>90</v>
      </c>
      <c r="AD150" t="str">
        <f ca="1">IF(AND(AT150&lt;1,MAX(AW150:BH150)&gt;dNULL),DATA!$D158,"")</f>
        <v/>
      </c>
      <c r="AE150" s="7" t="str">
        <f ca="1">IF(LEN(DATA!D158)&gt;0,SUMPRODUCT(OFFSET(DATA!$R$6,AE$5,0,1,10),DATA!$R158:$AA158),"")</f>
        <v/>
      </c>
      <c r="AF150" s="7" t="str">
        <f ca="1">IF(LEN(DATA!E158)&gt;0,SUMPRODUCT(OFFSET(DATA!$R$6,AF$5,0,1,10),DATA!$R158:$AA158),"")</f>
        <v/>
      </c>
      <c r="AG150" s="7" t="str">
        <f ca="1">IF(LEN(DATA!F158)&gt;0,SUMPRODUCT(OFFSET(DATA!$R$6,AG$5,0,1,10),DATA!$R158:$AA158),"")</f>
        <v/>
      </c>
      <c r="AH150" s="7" t="str">
        <f ca="1">IF(LEN(DATA!G158)&gt;0,SUMPRODUCT(OFFSET(DATA!$R$6,AH$5,0,1,10),DATA!$R158:$AA158),"")</f>
        <v/>
      </c>
      <c r="AI150" s="7" t="str">
        <f ca="1">IF(LEN(DATA!H158)&gt;0,SUMPRODUCT(OFFSET(DATA!$R$6,AI$5,0,1,10),DATA!$R158:$AA158),"")</f>
        <v/>
      </c>
      <c r="AJ150" s="7" t="str">
        <f ca="1">IF(LEN(DATA!I158)&gt;0,SUMPRODUCT(OFFSET(DATA!$R$6,AJ$5,0,1,10),DATA!$R158:$AA158),"")</f>
        <v/>
      </c>
      <c r="AK150" s="7"/>
      <c r="AL150" s="7" t="e">
        <f t="shared" ca="1" si="64"/>
        <v>#DIV/0!</v>
      </c>
      <c r="AM150" s="7" t="e">
        <f t="shared" ca="1" si="65"/>
        <v>#DIV/0!</v>
      </c>
      <c r="AN150" s="7" t="e">
        <f t="shared" ca="1" si="66"/>
        <v>#DIV/0!</v>
      </c>
      <c r="AO150" s="7" t="e">
        <f t="shared" ca="1" si="67"/>
        <v>#DIV/0!</v>
      </c>
      <c r="AP150" s="7" t="e">
        <f t="shared" ca="1" si="68"/>
        <v>#DIV/0!</v>
      </c>
      <c r="AQ150" s="7" t="e">
        <f t="shared" ca="1" si="69"/>
        <v>#DIV/0!</v>
      </c>
      <c r="AS150">
        <f t="shared" si="70"/>
        <v>54</v>
      </c>
      <c r="AT150">
        <f t="shared" si="71"/>
        <v>1</v>
      </c>
      <c r="AU150">
        <f t="shared" ca="1" si="72"/>
        <v>1.5168348938588829</v>
      </c>
      <c r="AV150">
        <f t="shared" ca="1" si="73"/>
        <v>0.2067958571401706</v>
      </c>
      <c r="AW150">
        <f ca="1">IF(AND($AT150&lt;3,OFFSET(DATA!$C$14,$AS150,0)=AW$6),$AV150,dNULL)</f>
        <v>0.2067958571401706</v>
      </c>
      <c r="AX150">
        <f ca="1">IF(AND($AT150&lt;3,OFFSET(DATA!$C$14,$AS150,0)=AX$6),$AV150,dNULL)</f>
        <v>-99</v>
      </c>
      <c r="AY150">
        <f ca="1">IF(AND($AT150&lt;3,OFFSET(DATA!$C$14,$AS150,0)=AY$6),$AV150,dNULL)</f>
        <v>-99</v>
      </c>
      <c r="AZ150">
        <f ca="1">IF(AND($AT150&lt;3,OFFSET(DATA!$C$14,$AS150,0)=AZ$6),$AV150,dNULL)</f>
        <v>-99</v>
      </c>
      <c r="BA150">
        <f ca="1">IF(AND($AT150&lt;3,OFFSET(DATA!$C$14,$AS150,0)=BA$6),$AV150,dNULL)</f>
        <v>-99</v>
      </c>
      <c r="BB150">
        <f ca="1">IF(AND($AT150&lt;3,OFFSET(DATA!$C$14,$AS150,0)=BB$6),$AV150,dNULL)</f>
        <v>-99</v>
      </c>
      <c r="BC150">
        <f ca="1">IF(AND($AT150&lt;3,OFFSET(DATA!$C$14,$AS150,0)=BC$6),$AV150,dNULL)</f>
        <v>-99</v>
      </c>
      <c r="BD150">
        <f ca="1">IF(AND($AT150&lt;3,OFFSET(DATA!$C$14,$AS150,0)=BD$6),$AV150,dNULL)</f>
        <v>-99</v>
      </c>
      <c r="BE150">
        <f ca="1">IF(AND($AT150&lt;3,OFFSET(DATA!$C$14,$AS150,0)=BE$6),$AV150,dNULL)</f>
        <v>-99</v>
      </c>
      <c r="BF150">
        <f ca="1">IF(AND($AT150&lt;3,OFFSET(DATA!$C$14,$AS150,0)=BF$6),$AV150,dNULL)</f>
        <v>-99</v>
      </c>
      <c r="BG150">
        <f ca="1">IF(AND($AT150&lt;3,OFFSET(DATA!$C$14,$AS150,0)=BG$6),$AV150,dNULL)</f>
        <v>-99</v>
      </c>
      <c r="BH150">
        <f ca="1">IF(AND($AT150&lt;3,OFFSET(DATA!$C$14,$AS150,0)=BH$6),$AV150,dNULL)</f>
        <v>-99</v>
      </c>
      <c r="BU150">
        <f t="shared" si="77"/>
        <v>2</v>
      </c>
      <c r="BV150">
        <f t="shared" si="78"/>
        <v>1.5200000000000009</v>
      </c>
      <c r="BW150">
        <f t="shared" ca="1" si="74"/>
        <v>0.34140501330504314</v>
      </c>
      <c r="BX150">
        <f t="shared" ca="1" si="75"/>
        <v>-0.70968806282455754</v>
      </c>
    </row>
    <row r="151" spans="13:76" x14ac:dyDescent="0.25">
      <c r="N151">
        <f>N61+1+dAnionOFF</f>
        <v>-97.7</v>
      </c>
      <c r="O151">
        <f t="shared" si="62"/>
        <v>1.5588457268119893</v>
      </c>
      <c r="Y151" s="26"/>
      <c r="Z151" s="26"/>
      <c r="AB151" s="26" t="str">
        <f t="shared" ca="1" si="63"/>
        <v/>
      </c>
      <c r="AC151">
        <f t="shared" ca="1" si="76"/>
        <v>90</v>
      </c>
      <c r="AD151" t="str">
        <f ca="1">IF(AND(AT151&lt;1,MAX(AW151:BH151)&gt;dNULL),DATA!$D159,"")</f>
        <v/>
      </c>
      <c r="AE151" s="7" t="str">
        <f ca="1">IF(LEN(DATA!D159)&gt;0,SUMPRODUCT(OFFSET(DATA!$R$6,AE$5,0,1,10),DATA!$R159:$AA159),"")</f>
        <v/>
      </c>
      <c r="AF151" s="7" t="str">
        <f ca="1">IF(LEN(DATA!E159)&gt;0,SUMPRODUCT(OFFSET(DATA!$R$6,AF$5,0,1,10),DATA!$R159:$AA159),"")</f>
        <v/>
      </c>
      <c r="AG151" s="7" t="str">
        <f ca="1">IF(LEN(DATA!F159)&gt;0,SUMPRODUCT(OFFSET(DATA!$R$6,AG$5,0,1,10),DATA!$R159:$AA159),"")</f>
        <v/>
      </c>
      <c r="AH151" s="7" t="str">
        <f ca="1">IF(LEN(DATA!G159)&gt;0,SUMPRODUCT(OFFSET(DATA!$R$6,AH$5,0,1,10),DATA!$R159:$AA159),"")</f>
        <v/>
      </c>
      <c r="AI151" s="7" t="str">
        <f ca="1">IF(LEN(DATA!H159)&gt;0,SUMPRODUCT(OFFSET(DATA!$R$6,AI$5,0,1,10),DATA!$R159:$AA159),"")</f>
        <v/>
      </c>
      <c r="AJ151" s="7" t="str">
        <f ca="1">IF(LEN(DATA!I159)&gt;0,SUMPRODUCT(OFFSET(DATA!$R$6,AJ$5,0,1,10),DATA!$R159:$AA159),"")</f>
        <v/>
      </c>
      <c r="AK151" s="7"/>
      <c r="AL151" s="7" t="e">
        <f t="shared" ca="1" si="64"/>
        <v>#DIV/0!</v>
      </c>
      <c r="AM151" s="7" t="e">
        <f t="shared" ca="1" si="65"/>
        <v>#DIV/0!</v>
      </c>
      <c r="AN151" s="7" t="e">
        <f t="shared" ca="1" si="66"/>
        <v>#DIV/0!</v>
      </c>
      <c r="AO151" s="7" t="e">
        <f t="shared" ca="1" si="67"/>
        <v>#DIV/0!</v>
      </c>
      <c r="AP151" s="7" t="e">
        <f t="shared" ca="1" si="68"/>
        <v>#DIV/0!</v>
      </c>
      <c r="AQ151" s="7" t="e">
        <f t="shared" ca="1" si="69"/>
        <v>#DIV/0!</v>
      </c>
      <c r="AS151">
        <f t="shared" si="70"/>
        <v>55</v>
      </c>
      <c r="AT151">
        <f t="shared" si="71"/>
        <v>1</v>
      </c>
      <c r="AU151">
        <f t="shared" ca="1" si="72"/>
        <v>1.5288607899825548</v>
      </c>
      <c r="AV151">
        <f t="shared" ca="1" si="73"/>
        <v>0.17874601715985336</v>
      </c>
      <c r="AW151">
        <f ca="1">IF(AND($AT151&lt;3,OFFSET(DATA!$C$14,$AS151,0)=AW$6),$AV151,dNULL)</f>
        <v>-99</v>
      </c>
      <c r="AX151">
        <f ca="1">IF(AND($AT151&lt;3,OFFSET(DATA!$C$14,$AS151,0)=AX$6),$AV151,dNULL)</f>
        <v>-99</v>
      </c>
      <c r="AY151">
        <f ca="1">IF(AND($AT151&lt;3,OFFSET(DATA!$C$14,$AS151,0)=AY$6),$AV151,dNULL)</f>
        <v>-99</v>
      </c>
      <c r="AZ151">
        <f ca="1">IF(AND($AT151&lt;3,OFFSET(DATA!$C$14,$AS151,0)=AZ$6),$AV151,dNULL)</f>
        <v>-99</v>
      </c>
      <c r="BA151">
        <f ca="1">IF(AND($AT151&lt;3,OFFSET(DATA!$C$14,$AS151,0)=BA$6),$AV151,dNULL)</f>
        <v>-99</v>
      </c>
      <c r="BB151">
        <f ca="1">IF(AND($AT151&lt;3,OFFSET(DATA!$C$14,$AS151,0)=BB$6),$AV151,dNULL)</f>
        <v>0.17874601715985336</v>
      </c>
      <c r="BC151">
        <f ca="1">IF(AND($AT151&lt;3,OFFSET(DATA!$C$14,$AS151,0)=BC$6),$AV151,dNULL)</f>
        <v>-99</v>
      </c>
      <c r="BD151">
        <f ca="1">IF(AND($AT151&lt;3,OFFSET(DATA!$C$14,$AS151,0)=BD$6),$AV151,dNULL)</f>
        <v>-99</v>
      </c>
      <c r="BE151">
        <f ca="1">IF(AND($AT151&lt;3,OFFSET(DATA!$C$14,$AS151,0)=BE$6),$AV151,dNULL)</f>
        <v>-99</v>
      </c>
      <c r="BF151">
        <f ca="1">IF(AND($AT151&lt;3,OFFSET(DATA!$C$14,$AS151,0)=BF$6),$AV151,dNULL)</f>
        <v>-99</v>
      </c>
      <c r="BG151">
        <f ca="1">IF(AND($AT151&lt;3,OFFSET(DATA!$C$14,$AS151,0)=BG$6),$AV151,dNULL)</f>
        <v>-99</v>
      </c>
      <c r="BH151">
        <f ca="1">IF(AND($AT151&lt;3,OFFSET(DATA!$C$14,$AS151,0)=BH$6),$AV151,dNULL)</f>
        <v>-99</v>
      </c>
      <c r="BU151">
        <f t="shared" si="77"/>
        <v>2</v>
      </c>
      <c r="BV151">
        <f t="shared" si="78"/>
        <v>1.5400000000000009</v>
      </c>
      <c r="BW151">
        <f t="shared" ca="1" si="74"/>
        <v>0.2</v>
      </c>
      <c r="BX151">
        <f t="shared" ca="1" si="75"/>
        <v>-0.2</v>
      </c>
    </row>
    <row r="152" spans="13:76" x14ac:dyDescent="0.25">
      <c r="N152">
        <f>N62+1+dAnionOFF</f>
        <v>-97.7</v>
      </c>
      <c r="O152">
        <f t="shared" si="62"/>
        <v>1.5588457268119893</v>
      </c>
      <c r="Y152" s="26"/>
      <c r="Z152" s="26"/>
      <c r="AB152" s="26" t="str">
        <f t="shared" ca="1" si="63"/>
        <v/>
      </c>
      <c r="AC152">
        <f t="shared" ca="1" si="76"/>
        <v>90</v>
      </c>
      <c r="AD152" t="str">
        <f ca="1">IF(AND(AT152&lt;1,MAX(AW152:BH152)&gt;dNULL),DATA!$D160,"")</f>
        <v/>
      </c>
      <c r="AE152" s="7" t="str">
        <f ca="1">IF(LEN(DATA!D160)&gt;0,SUMPRODUCT(OFFSET(DATA!$R$6,AE$5,0,1,10),DATA!$R160:$AA160),"")</f>
        <v/>
      </c>
      <c r="AF152" s="7" t="str">
        <f ca="1">IF(LEN(DATA!E160)&gt;0,SUMPRODUCT(OFFSET(DATA!$R$6,AF$5,0,1,10),DATA!$R160:$AA160),"")</f>
        <v/>
      </c>
      <c r="AG152" s="7" t="str">
        <f ca="1">IF(LEN(DATA!F160)&gt;0,SUMPRODUCT(OFFSET(DATA!$R$6,AG$5,0,1,10),DATA!$R160:$AA160),"")</f>
        <v/>
      </c>
      <c r="AH152" s="7" t="str">
        <f ca="1">IF(LEN(DATA!G160)&gt;0,SUMPRODUCT(OFFSET(DATA!$R$6,AH$5,0,1,10),DATA!$R160:$AA160),"")</f>
        <v/>
      </c>
      <c r="AI152" s="7" t="str">
        <f ca="1">IF(LEN(DATA!H160)&gt;0,SUMPRODUCT(OFFSET(DATA!$R$6,AI$5,0,1,10),DATA!$R160:$AA160),"")</f>
        <v/>
      </c>
      <c r="AJ152" s="7" t="str">
        <f ca="1">IF(LEN(DATA!I160)&gt;0,SUMPRODUCT(OFFSET(DATA!$R$6,AJ$5,0,1,10),DATA!$R160:$AA160),"")</f>
        <v/>
      </c>
      <c r="AK152" s="7"/>
      <c r="AL152" s="7" t="e">
        <f t="shared" ca="1" si="64"/>
        <v>#DIV/0!</v>
      </c>
      <c r="AM152" s="7" t="e">
        <f t="shared" ca="1" si="65"/>
        <v>#DIV/0!</v>
      </c>
      <c r="AN152" s="7" t="e">
        <f t="shared" ca="1" si="66"/>
        <v>#DIV/0!</v>
      </c>
      <c r="AO152" s="7" t="e">
        <f t="shared" ca="1" si="67"/>
        <v>#DIV/0!</v>
      </c>
      <c r="AP152" s="7" t="e">
        <f t="shared" ca="1" si="68"/>
        <v>#DIV/0!</v>
      </c>
      <c r="AQ152" s="7" t="e">
        <f t="shared" ca="1" si="69"/>
        <v>#DIV/0!</v>
      </c>
      <c r="AS152">
        <f t="shared" si="70"/>
        <v>56</v>
      </c>
      <c r="AT152">
        <f t="shared" si="71"/>
        <v>1</v>
      </c>
      <c r="AU152">
        <f t="shared" ca="1" si="72"/>
        <v>1.5182043356762309</v>
      </c>
      <c r="AV152">
        <f t="shared" ca="1" si="73"/>
        <v>0.2016865833093088</v>
      </c>
      <c r="AW152">
        <f ca="1">IF(AND($AT152&lt;3,OFFSET(DATA!$C$14,$AS152,0)=AW$6),$AV152,dNULL)</f>
        <v>0.2016865833093088</v>
      </c>
      <c r="AX152">
        <f ca="1">IF(AND($AT152&lt;3,OFFSET(DATA!$C$14,$AS152,0)=AX$6),$AV152,dNULL)</f>
        <v>-99</v>
      </c>
      <c r="AY152">
        <f ca="1">IF(AND($AT152&lt;3,OFFSET(DATA!$C$14,$AS152,0)=AY$6),$AV152,dNULL)</f>
        <v>-99</v>
      </c>
      <c r="AZ152">
        <f ca="1">IF(AND($AT152&lt;3,OFFSET(DATA!$C$14,$AS152,0)=AZ$6),$AV152,dNULL)</f>
        <v>-99</v>
      </c>
      <c r="BA152">
        <f ca="1">IF(AND($AT152&lt;3,OFFSET(DATA!$C$14,$AS152,0)=BA$6),$AV152,dNULL)</f>
        <v>-99</v>
      </c>
      <c r="BB152">
        <f ca="1">IF(AND($AT152&lt;3,OFFSET(DATA!$C$14,$AS152,0)=BB$6),$AV152,dNULL)</f>
        <v>-99</v>
      </c>
      <c r="BC152">
        <f ca="1">IF(AND($AT152&lt;3,OFFSET(DATA!$C$14,$AS152,0)=BC$6),$AV152,dNULL)</f>
        <v>-99</v>
      </c>
      <c r="BD152">
        <f ca="1">IF(AND($AT152&lt;3,OFFSET(DATA!$C$14,$AS152,0)=BD$6),$AV152,dNULL)</f>
        <v>-99</v>
      </c>
      <c r="BE152">
        <f ca="1">IF(AND($AT152&lt;3,OFFSET(DATA!$C$14,$AS152,0)=BE$6),$AV152,dNULL)</f>
        <v>-99</v>
      </c>
      <c r="BF152">
        <f ca="1">IF(AND($AT152&lt;3,OFFSET(DATA!$C$14,$AS152,0)=BF$6),$AV152,dNULL)</f>
        <v>-99</v>
      </c>
      <c r="BG152">
        <f ca="1">IF(AND($AT152&lt;3,OFFSET(DATA!$C$14,$AS152,0)=BG$6),$AV152,dNULL)</f>
        <v>-99</v>
      </c>
      <c r="BH152">
        <f ca="1">IF(AND($AT152&lt;3,OFFSET(DATA!$C$14,$AS152,0)=BH$6),$AV152,dNULL)</f>
        <v>-99</v>
      </c>
      <c r="BU152">
        <f t="shared" si="77"/>
        <v>2</v>
      </c>
      <c r="BV152">
        <f t="shared" si="78"/>
        <v>1.5400000000000009</v>
      </c>
      <c r="BW152">
        <f t="shared" ca="1" si="74"/>
        <v>0.33390039508109359</v>
      </c>
      <c r="BX152">
        <f t="shared" ca="1" si="75"/>
        <v>-0.69985993013025238</v>
      </c>
    </row>
    <row r="153" spans="13:76" x14ac:dyDescent="0.25">
      <c r="Y153" s="26"/>
      <c r="Z153" s="26"/>
      <c r="AB153" s="26" t="str">
        <f t="shared" ca="1" si="63"/>
        <v/>
      </c>
      <c r="AC153">
        <f t="shared" ca="1" si="76"/>
        <v>90</v>
      </c>
      <c r="AD153" t="str">
        <f ca="1">IF(AND(AT153&lt;1,MAX(AW153:BH153)&gt;dNULL),DATA!$D161,"")</f>
        <v/>
      </c>
      <c r="AE153" s="7" t="str">
        <f ca="1">IF(LEN(DATA!D161)&gt;0,SUMPRODUCT(OFFSET(DATA!$R$6,AE$5,0,1,10),DATA!$R161:$AA161),"")</f>
        <v/>
      </c>
      <c r="AF153" s="7" t="str">
        <f ca="1">IF(LEN(DATA!E161)&gt;0,SUMPRODUCT(OFFSET(DATA!$R$6,AF$5,0,1,10),DATA!$R161:$AA161),"")</f>
        <v/>
      </c>
      <c r="AG153" s="7" t="str">
        <f ca="1">IF(LEN(DATA!F161)&gt;0,SUMPRODUCT(OFFSET(DATA!$R$6,AG$5,0,1,10),DATA!$R161:$AA161),"")</f>
        <v/>
      </c>
      <c r="AH153" s="7" t="str">
        <f ca="1">IF(LEN(DATA!G161)&gt;0,SUMPRODUCT(OFFSET(DATA!$R$6,AH$5,0,1,10),DATA!$R161:$AA161),"")</f>
        <v/>
      </c>
      <c r="AI153" s="7" t="str">
        <f ca="1">IF(LEN(DATA!H161)&gt;0,SUMPRODUCT(OFFSET(DATA!$R$6,AI$5,0,1,10),DATA!$R161:$AA161),"")</f>
        <v/>
      </c>
      <c r="AJ153" s="7" t="str">
        <f ca="1">IF(LEN(DATA!I161)&gt;0,SUMPRODUCT(OFFSET(DATA!$R$6,AJ$5,0,1,10),DATA!$R161:$AA161),"")</f>
        <v/>
      </c>
      <c r="AK153" s="7"/>
      <c r="AL153" s="7" t="e">
        <f t="shared" ca="1" si="64"/>
        <v>#DIV/0!</v>
      </c>
      <c r="AM153" s="7" t="e">
        <f t="shared" ca="1" si="65"/>
        <v>#DIV/0!</v>
      </c>
      <c r="AN153" s="7" t="e">
        <f t="shared" ca="1" si="66"/>
        <v>#DIV/0!</v>
      </c>
      <c r="AO153" s="7" t="e">
        <f t="shared" ca="1" si="67"/>
        <v>#DIV/0!</v>
      </c>
      <c r="AP153" s="7" t="e">
        <f t="shared" ca="1" si="68"/>
        <v>#DIV/0!</v>
      </c>
      <c r="AQ153" s="7" t="e">
        <f t="shared" ca="1" si="69"/>
        <v>#DIV/0!</v>
      </c>
      <c r="AS153">
        <f t="shared" si="70"/>
        <v>57</v>
      </c>
      <c r="AT153">
        <f t="shared" si="71"/>
        <v>1</v>
      </c>
      <c r="AU153">
        <f t="shared" ca="1" si="72"/>
        <v>1.5028184195124872</v>
      </c>
      <c r="AV153">
        <f t="shared" ca="1" si="73"/>
        <v>0.19350536003758967</v>
      </c>
      <c r="AW153">
        <f ca="1">IF(AND($AT153&lt;3,OFFSET(DATA!$C$14,$AS153,0)=AW$6),$AV153,dNULL)</f>
        <v>0.19350536003758967</v>
      </c>
      <c r="AX153">
        <f ca="1">IF(AND($AT153&lt;3,OFFSET(DATA!$C$14,$AS153,0)=AX$6),$AV153,dNULL)</f>
        <v>-99</v>
      </c>
      <c r="AY153">
        <f ca="1">IF(AND($AT153&lt;3,OFFSET(DATA!$C$14,$AS153,0)=AY$6),$AV153,dNULL)</f>
        <v>-99</v>
      </c>
      <c r="AZ153">
        <f ca="1">IF(AND($AT153&lt;3,OFFSET(DATA!$C$14,$AS153,0)=AZ$6),$AV153,dNULL)</f>
        <v>-99</v>
      </c>
      <c r="BA153">
        <f ca="1">IF(AND($AT153&lt;3,OFFSET(DATA!$C$14,$AS153,0)=BA$6),$AV153,dNULL)</f>
        <v>-99</v>
      </c>
      <c r="BB153">
        <f ca="1">IF(AND($AT153&lt;3,OFFSET(DATA!$C$14,$AS153,0)=BB$6),$AV153,dNULL)</f>
        <v>-99</v>
      </c>
      <c r="BC153">
        <f ca="1">IF(AND($AT153&lt;3,OFFSET(DATA!$C$14,$AS153,0)=BC$6),$AV153,dNULL)</f>
        <v>-99</v>
      </c>
      <c r="BD153">
        <f ca="1">IF(AND($AT153&lt;3,OFFSET(DATA!$C$14,$AS153,0)=BD$6),$AV153,dNULL)</f>
        <v>-99</v>
      </c>
      <c r="BE153">
        <f ca="1">IF(AND($AT153&lt;3,OFFSET(DATA!$C$14,$AS153,0)=BE$6),$AV153,dNULL)</f>
        <v>-99</v>
      </c>
      <c r="BF153">
        <f ca="1">IF(AND($AT153&lt;3,OFFSET(DATA!$C$14,$AS153,0)=BF$6),$AV153,dNULL)</f>
        <v>-99</v>
      </c>
      <c r="BG153">
        <f ca="1">IF(AND($AT153&lt;3,OFFSET(DATA!$C$14,$AS153,0)=BG$6),$AV153,dNULL)</f>
        <v>-99</v>
      </c>
      <c r="BH153">
        <f ca="1">IF(AND($AT153&lt;3,OFFSET(DATA!$C$14,$AS153,0)=BH$6),$AV153,dNULL)</f>
        <v>-99</v>
      </c>
      <c r="BU153">
        <f t="shared" si="77"/>
        <v>2</v>
      </c>
      <c r="BV153">
        <f t="shared" si="78"/>
        <v>1.5600000000000009</v>
      </c>
      <c r="BW153">
        <f t="shared" ca="1" si="74"/>
        <v>0.2</v>
      </c>
      <c r="BX153">
        <f t="shared" ca="1" si="75"/>
        <v>-0.2</v>
      </c>
    </row>
    <row r="154" spans="13:76" x14ac:dyDescent="0.25">
      <c r="N154">
        <f>N64+1+dAnionOFF</f>
        <v>-97.7</v>
      </c>
      <c r="O154">
        <f t="shared" si="62"/>
        <v>1.732050807568877</v>
      </c>
      <c r="Y154" s="26"/>
      <c r="Z154" s="26"/>
      <c r="AB154" s="26" t="str">
        <f t="shared" ca="1" si="63"/>
        <v/>
      </c>
      <c r="AC154">
        <f t="shared" ca="1" si="76"/>
        <v>90</v>
      </c>
      <c r="AD154" t="str">
        <f ca="1">IF(AND(AT154&lt;1,MAX(AW154:BH154)&gt;dNULL),DATA!$D162,"")</f>
        <v/>
      </c>
      <c r="AE154" s="7" t="str">
        <f ca="1">IF(LEN(DATA!D162)&gt;0,SUMPRODUCT(OFFSET(DATA!$R$6,AE$5,0,1,10),DATA!$R162:$AA162),"")</f>
        <v/>
      </c>
      <c r="AF154" s="7" t="str">
        <f ca="1">IF(LEN(DATA!E162)&gt;0,SUMPRODUCT(OFFSET(DATA!$R$6,AF$5,0,1,10),DATA!$R162:$AA162),"")</f>
        <v/>
      </c>
      <c r="AG154" s="7" t="str">
        <f ca="1">IF(LEN(DATA!F162)&gt;0,SUMPRODUCT(OFFSET(DATA!$R$6,AG$5,0,1,10),DATA!$R162:$AA162),"")</f>
        <v/>
      </c>
      <c r="AH154" s="7" t="str">
        <f ca="1">IF(LEN(DATA!G162)&gt;0,SUMPRODUCT(OFFSET(DATA!$R$6,AH$5,0,1,10),DATA!$R162:$AA162),"")</f>
        <v/>
      </c>
      <c r="AI154" s="7" t="str">
        <f ca="1">IF(LEN(DATA!H162)&gt;0,SUMPRODUCT(OFFSET(DATA!$R$6,AI$5,0,1,10),DATA!$R162:$AA162),"")</f>
        <v/>
      </c>
      <c r="AJ154" s="7" t="str">
        <f ca="1">IF(LEN(DATA!I162)&gt;0,SUMPRODUCT(OFFSET(DATA!$R$6,AJ$5,0,1,10),DATA!$R162:$AA162),"")</f>
        <v/>
      </c>
      <c r="AK154" s="7"/>
      <c r="AL154" s="7" t="e">
        <f t="shared" ca="1" si="64"/>
        <v>#DIV/0!</v>
      </c>
      <c r="AM154" s="7" t="e">
        <f t="shared" ca="1" si="65"/>
        <v>#DIV/0!</v>
      </c>
      <c r="AN154" s="7" t="e">
        <f t="shared" ca="1" si="66"/>
        <v>#DIV/0!</v>
      </c>
      <c r="AO154" s="7" t="e">
        <f t="shared" ca="1" si="67"/>
        <v>#DIV/0!</v>
      </c>
      <c r="AP154" s="7" t="e">
        <f t="shared" ca="1" si="68"/>
        <v>#DIV/0!</v>
      </c>
      <c r="AQ154" s="7" t="e">
        <f t="shared" ca="1" si="69"/>
        <v>#DIV/0!</v>
      </c>
      <c r="AS154">
        <f t="shared" si="70"/>
        <v>58</v>
      </c>
      <c r="AT154">
        <f t="shared" si="71"/>
        <v>1</v>
      </c>
      <c r="AU154">
        <f t="shared" ca="1" si="72"/>
        <v>1.5056835376390145</v>
      </c>
      <c r="AV154">
        <f t="shared" ca="1" si="73"/>
        <v>0.19588377053232289</v>
      </c>
      <c r="AW154">
        <f ca="1">IF(AND($AT154&lt;3,OFFSET(DATA!$C$14,$AS154,0)=AW$6),$AV154,dNULL)</f>
        <v>0.19588377053232289</v>
      </c>
      <c r="AX154">
        <f ca="1">IF(AND($AT154&lt;3,OFFSET(DATA!$C$14,$AS154,0)=AX$6),$AV154,dNULL)</f>
        <v>-99</v>
      </c>
      <c r="AY154">
        <f ca="1">IF(AND($AT154&lt;3,OFFSET(DATA!$C$14,$AS154,0)=AY$6),$AV154,dNULL)</f>
        <v>-99</v>
      </c>
      <c r="AZ154">
        <f ca="1">IF(AND($AT154&lt;3,OFFSET(DATA!$C$14,$AS154,0)=AZ$6),$AV154,dNULL)</f>
        <v>-99</v>
      </c>
      <c r="BA154">
        <f ca="1">IF(AND($AT154&lt;3,OFFSET(DATA!$C$14,$AS154,0)=BA$6),$AV154,dNULL)</f>
        <v>-99</v>
      </c>
      <c r="BB154">
        <f ca="1">IF(AND($AT154&lt;3,OFFSET(DATA!$C$14,$AS154,0)=BB$6),$AV154,dNULL)</f>
        <v>-99</v>
      </c>
      <c r="BC154">
        <f ca="1">IF(AND($AT154&lt;3,OFFSET(DATA!$C$14,$AS154,0)=BC$6),$AV154,dNULL)</f>
        <v>-99</v>
      </c>
      <c r="BD154">
        <f ca="1">IF(AND($AT154&lt;3,OFFSET(DATA!$C$14,$AS154,0)=BD$6),$AV154,dNULL)</f>
        <v>-99</v>
      </c>
      <c r="BE154">
        <f ca="1">IF(AND($AT154&lt;3,OFFSET(DATA!$C$14,$AS154,0)=BE$6),$AV154,dNULL)</f>
        <v>-99</v>
      </c>
      <c r="BF154">
        <f ca="1">IF(AND($AT154&lt;3,OFFSET(DATA!$C$14,$AS154,0)=BF$6),$AV154,dNULL)</f>
        <v>-99</v>
      </c>
      <c r="BG154">
        <f ca="1">IF(AND($AT154&lt;3,OFFSET(DATA!$C$14,$AS154,0)=BG$6),$AV154,dNULL)</f>
        <v>-99</v>
      </c>
      <c r="BH154">
        <f ca="1">IF(AND($AT154&lt;3,OFFSET(DATA!$C$14,$AS154,0)=BH$6),$AV154,dNULL)</f>
        <v>-99</v>
      </c>
      <c r="BU154">
        <f t="shared" si="77"/>
        <v>2</v>
      </c>
      <c r="BV154">
        <f t="shared" si="78"/>
        <v>1.5600000000000009</v>
      </c>
      <c r="BW154">
        <f t="shared" ca="1" si="74"/>
        <v>0.32639577685714405</v>
      </c>
      <c r="BX154">
        <f t="shared" ca="1" si="75"/>
        <v>-0.69003179743594734</v>
      </c>
    </row>
    <row r="155" spans="13:76" x14ac:dyDescent="0.25">
      <c r="N155">
        <f>N65+1+dAnionOFF</f>
        <v>-97.7</v>
      </c>
      <c r="O155">
        <f t="shared" si="62"/>
        <v>1.732050807568877</v>
      </c>
      <c r="Y155" s="26"/>
      <c r="Z155" s="26"/>
      <c r="AB155" s="26" t="str">
        <f t="shared" ca="1" si="63"/>
        <v/>
      </c>
      <c r="AC155">
        <f t="shared" ca="1" si="76"/>
        <v>90</v>
      </c>
      <c r="AD155" t="str">
        <f ca="1">IF(AND(AT155&lt;1,MAX(AW155:BH155)&gt;dNULL),DATA!$D163,"")</f>
        <v/>
      </c>
      <c r="AE155" s="7" t="str">
        <f ca="1">IF(LEN(DATA!D163)&gt;0,SUMPRODUCT(OFFSET(DATA!$R$6,AE$5,0,1,10),DATA!$R163:$AA163),"")</f>
        <v/>
      </c>
      <c r="AF155" s="7" t="str">
        <f ca="1">IF(LEN(DATA!E163)&gt;0,SUMPRODUCT(OFFSET(DATA!$R$6,AF$5,0,1,10),DATA!$R163:$AA163),"")</f>
        <v/>
      </c>
      <c r="AG155" s="7" t="str">
        <f ca="1">IF(LEN(DATA!F163)&gt;0,SUMPRODUCT(OFFSET(DATA!$R$6,AG$5,0,1,10),DATA!$R163:$AA163),"")</f>
        <v/>
      </c>
      <c r="AH155" s="7" t="str">
        <f ca="1">IF(LEN(DATA!G163)&gt;0,SUMPRODUCT(OFFSET(DATA!$R$6,AH$5,0,1,10),DATA!$R163:$AA163),"")</f>
        <v/>
      </c>
      <c r="AI155" s="7" t="str">
        <f ca="1">IF(LEN(DATA!H163)&gt;0,SUMPRODUCT(OFFSET(DATA!$R$6,AI$5,0,1,10),DATA!$R163:$AA163),"")</f>
        <v/>
      </c>
      <c r="AJ155" s="7" t="str">
        <f ca="1">IF(LEN(DATA!I163)&gt;0,SUMPRODUCT(OFFSET(DATA!$R$6,AJ$5,0,1,10),DATA!$R163:$AA163),"")</f>
        <v/>
      </c>
      <c r="AK155" s="7"/>
      <c r="AL155" s="7" t="e">
        <f t="shared" ca="1" si="64"/>
        <v>#DIV/0!</v>
      </c>
      <c r="AM155" s="7" t="e">
        <f t="shared" ca="1" si="65"/>
        <v>#DIV/0!</v>
      </c>
      <c r="AN155" s="7" t="e">
        <f t="shared" ca="1" si="66"/>
        <v>#DIV/0!</v>
      </c>
      <c r="AO155" s="7" t="e">
        <f t="shared" ca="1" si="67"/>
        <v>#DIV/0!</v>
      </c>
      <c r="AP155" s="7" t="e">
        <f t="shared" ca="1" si="68"/>
        <v>#DIV/0!</v>
      </c>
      <c r="AQ155" s="7" t="e">
        <f t="shared" ca="1" si="69"/>
        <v>#DIV/0!</v>
      </c>
      <c r="AS155">
        <f t="shared" si="70"/>
        <v>59</v>
      </c>
      <c r="AT155">
        <f t="shared" si="71"/>
        <v>1</v>
      </c>
      <c r="AU155">
        <f t="shared" ca="1" si="72"/>
        <v>1.5226108442122723</v>
      </c>
      <c r="AV155">
        <f t="shared" ca="1" si="73"/>
        <v>0.21836962493947201</v>
      </c>
      <c r="AW155">
        <f ca="1">IF(AND($AT155&lt;3,OFFSET(DATA!$C$14,$AS155,0)=AW$6),$AV155,dNULL)</f>
        <v>0.21836962493947201</v>
      </c>
      <c r="AX155">
        <f ca="1">IF(AND($AT155&lt;3,OFFSET(DATA!$C$14,$AS155,0)=AX$6),$AV155,dNULL)</f>
        <v>-99</v>
      </c>
      <c r="AY155">
        <f ca="1">IF(AND($AT155&lt;3,OFFSET(DATA!$C$14,$AS155,0)=AY$6),$AV155,dNULL)</f>
        <v>-99</v>
      </c>
      <c r="AZ155">
        <f ca="1">IF(AND($AT155&lt;3,OFFSET(DATA!$C$14,$AS155,0)=AZ$6),$AV155,dNULL)</f>
        <v>-99</v>
      </c>
      <c r="BA155">
        <f ca="1">IF(AND($AT155&lt;3,OFFSET(DATA!$C$14,$AS155,0)=BA$6),$AV155,dNULL)</f>
        <v>-99</v>
      </c>
      <c r="BB155">
        <f ca="1">IF(AND($AT155&lt;3,OFFSET(DATA!$C$14,$AS155,0)=BB$6),$AV155,dNULL)</f>
        <v>-99</v>
      </c>
      <c r="BC155">
        <f ca="1">IF(AND($AT155&lt;3,OFFSET(DATA!$C$14,$AS155,0)=BC$6),$AV155,dNULL)</f>
        <v>-99</v>
      </c>
      <c r="BD155">
        <f ca="1">IF(AND($AT155&lt;3,OFFSET(DATA!$C$14,$AS155,0)=BD$6),$AV155,dNULL)</f>
        <v>-99</v>
      </c>
      <c r="BE155">
        <f ca="1">IF(AND($AT155&lt;3,OFFSET(DATA!$C$14,$AS155,0)=BE$6),$AV155,dNULL)</f>
        <v>-99</v>
      </c>
      <c r="BF155">
        <f ca="1">IF(AND($AT155&lt;3,OFFSET(DATA!$C$14,$AS155,0)=BF$6),$AV155,dNULL)</f>
        <v>-99</v>
      </c>
      <c r="BG155">
        <f ca="1">IF(AND($AT155&lt;3,OFFSET(DATA!$C$14,$AS155,0)=BG$6),$AV155,dNULL)</f>
        <v>-99</v>
      </c>
      <c r="BH155">
        <f ca="1">IF(AND($AT155&lt;3,OFFSET(DATA!$C$14,$AS155,0)=BH$6),$AV155,dNULL)</f>
        <v>-99</v>
      </c>
      <c r="BU155">
        <f t="shared" si="77"/>
        <v>2</v>
      </c>
      <c r="BV155">
        <f t="shared" si="78"/>
        <v>1.580000000000001</v>
      </c>
      <c r="BW155">
        <f t="shared" ca="1" si="74"/>
        <v>0.2</v>
      </c>
      <c r="BX155">
        <f t="shared" ca="1" si="75"/>
        <v>-0.2</v>
      </c>
    </row>
    <row r="156" spans="13:76" x14ac:dyDescent="0.25">
      <c r="M156" t="s">
        <v>70</v>
      </c>
      <c r="Y156" s="26"/>
      <c r="Z156" s="26"/>
      <c r="AB156" s="26" t="str">
        <f t="shared" ca="1" si="63"/>
        <v/>
      </c>
      <c r="AC156">
        <f t="shared" ca="1" si="76"/>
        <v>90</v>
      </c>
      <c r="AD156" t="str">
        <f ca="1">IF(AND(AT156&lt;1,MAX(AW156:BH156)&gt;dNULL),DATA!$D164,"")</f>
        <v/>
      </c>
      <c r="AE156" s="7" t="str">
        <f ca="1">IF(LEN(DATA!D164)&gt;0,SUMPRODUCT(OFFSET(DATA!$R$6,AE$5,0,1,10),DATA!$R164:$AA164),"")</f>
        <v/>
      </c>
      <c r="AF156" s="7" t="str">
        <f ca="1">IF(LEN(DATA!E164)&gt;0,SUMPRODUCT(OFFSET(DATA!$R$6,AF$5,0,1,10),DATA!$R164:$AA164),"")</f>
        <v/>
      </c>
      <c r="AG156" s="7" t="str">
        <f ca="1">IF(LEN(DATA!F164)&gt;0,SUMPRODUCT(OFFSET(DATA!$R$6,AG$5,0,1,10),DATA!$R164:$AA164),"")</f>
        <v/>
      </c>
      <c r="AH156" s="7" t="str">
        <f ca="1">IF(LEN(DATA!G164)&gt;0,SUMPRODUCT(OFFSET(DATA!$R$6,AH$5,0,1,10),DATA!$R164:$AA164),"")</f>
        <v/>
      </c>
      <c r="AI156" s="7" t="str">
        <f ca="1">IF(LEN(DATA!H164)&gt;0,SUMPRODUCT(OFFSET(DATA!$R$6,AI$5,0,1,10),DATA!$R164:$AA164),"")</f>
        <v/>
      </c>
      <c r="AJ156" s="7" t="str">
        <f ca="1">IF(LEN(DATA!I164)&gt;0,SUMPRODUCT(OFFSET(DATA!$R$6,AJ$5,0,1,10),DATA!$R164:$AA164),"")</f>
        <v/>
      </c>
      <c r="AK156" s="7"/>
      <c r="AL156" s="7" t="e">
        <f t="shared" ca="1" si="64"/>
        <v>#DIV/0!</v>
      </c>
      <c r="AM156" s="7" t="e">
        <f t="shared" ca="1" si="65"/>
        <v>#DIV/0!</v>
      </c>
      <c r="AN156" s="7" t="e">
        <f t="shared" ca="1" si="66"/>
        <v>#DIV/0!</v>
      </c>
      <c r="AO156" s="7" t="e">
        <f t="shared" ca="1" si="67"/>
        <v>#DIV/0!</v>
      </c>
      <c r="AP156" s="7" t="e">
        <f t="shared" ca="1" si="68"/>
        <v>#DIV/0!</v>
      </c>
      <c r="AQ156" s="7" t="e">
        <f t="shared" ca="1" si="69"/>
        <v>#DIV/0!</v>
      </c>
      <c r="AS156">
        <f t="shared" si="70"/>
        <v>60</v>
      </c>
      <c r="AT156">
        <f t="shared" si="71"/>
        <v>1</v>
      </c>
      <c r="AU156">
        <f t="shared" ca="1" si="72"/>
        <v>1.5300450610139422</v>
      </c>
      <c r="AV156">
        <f t="shared" ca="1" si="73"/>
        <v>0.31676013554919091</v>
      </c>
      <c r="AW156">
        <f ca="1">IF(AND($AT156&lt;3,OFFSET(DATA!$C$14,$AS156,0)=AW$6),$AV156,dNULL)</f>
        <v>-99</v>
      </c>
      <c r="AX156">
        <f ca="1">IF(AND($AT156&lt;3,OFFSET(DATA!$C$14,$AS156,0)=AX$6),$AV156,dNULL)</f>
        <v>0.31676013554919091</v>
      </c>
      <c r="AY156">
        <f ca="1">IF(AND($AT156&lt;3,OFFSET(DATA!$C$14,$AS156,0)=AY$6),$AV156,dNULL)</f>
        <v>-99</v>
      </c>
      <c r="AZ156">
        <f ca="1">IF(AND($AT156&lt;3,OFFSET(DATA!$C$14,$AS156,0)=AZ$6),$AV156,dNULL)</f>
        <v>-99</v>
      </c>
      <c r="BA156">
        <f ca="1">IF(AND($AT156&lt;3,OFFSET(DATA!$C$14,$AS156,0)=BA$6),$AV156,dNULL)</f>
        <v>-99</v>
      </c>
      <c r="BB156">
        <f ca="1">IF(AND($AT156&lt;3,OFFSET(DATA!$C$14,$AS156,0)=BB$6),$AV156,dNULL)</f>
        <v>-99</v>
      </c>
      <c r="BC156">
        <f ca="1">IF(AND($AT156&lt;3,OFFSET(DATA!$C$14,$AS156,0)=BC$6),$AV156,dNULL)</f>
        <v>-99</v>
      </c>
      <c r="BD156">
        <f ca="1">IF(AND($AT156&lt;3,OFFSET(DATA!$C$14,$AS156,0)=BD$6),$AV156,dNULL)</f>
        <v>-99</v>
      </c>
      <c r="BE156">
        <f ca="1">IF(AND($AT156&lt;3,OFFSET(DATA!$C$14,$AS156,0)=BE$6),$AV156,dNULL)</f>
        <v>-99</v>
      </c>
      <c r="BF156">
        <f ca="1">IF(AND($AT156&lt;3,OFFSET(DATA!$C$14,$AS156,0)=BF$6),$AV156,dNULL)</f>
        <v>-99</v>
      </c>
      <c r="BG156">
        <f ca="1">IF(AND($AT156&lt;3,OFFSET(DATA!$C$14,$AS156,0)=BG$6),$AV156,dNULL)</f>
        <v>-99</v>
      </c>
      <c r="BH156">
        <f ca="1">IF(AND($AT156&lt;3,OFFSET(DATA!$C$14,$AS156,0)=BH$6),$AV156,dNULL)</f>
        <v>-99</v>
      </c>
      <c r="BU156">
        <f t="shared" si="77"/>
        <v>2</v>
      </c>
      <c r="BV156">
        <f t="shared" si="78"/>
        <v>1.580000000000001</v>
      </c>
      <c r="BW156">
        <f t="shared" ca="1" si="74"/>
        <v>0.31889115863319445</v>
      </c>
      <c r="BX156">
        <f t="shared" ca="1" si="75"/>
        <v>-0.68020366474164218</v>
      </c>
    </row>
    <row r="157" spans="13:76" x14ac:dyDescent="0.25">
      <c r="N157">
        <f>N67+1+dAnionOFF</f>
        <v>1.5</v>
      </c>
      <c r="O157">
        <f>O67</f>
        <v>0</v>
      </c>
      <c r="Y157" s="26"/>
      <c r="Z157" s="26"/>
      <c r="AB157" s="26" t="str">
        <f t="shared" ca="1" si="63"/>
        <v/>
      </c>
      <c r="AC157">
        <f t="shared" ca="1" si="76"/>
        <v>90</v>
      </c>
      <c r="AD157" t="str">
        <f ca="1">IF(AND(AT157&lt;1,MAX(AW157:BH157)&gt;dNULL),DATA!$D165,"")</f>
        <v/>
      </c>
      <c r="AE157" s="7" t="str">
        <f ca="1">IF(LEN(DATA!D165)&gt;0,SUMPRODUCT(OFFSET(DATA!$R$6,AE$5,0,1,10),DATA!$R165:$AA165),"")</f>
        <v/>
      </c>
      <c r="AF157" s="7" t="str">
        <f ca="1">IF(LEN(DATA!E165)&gt;0,SUMPRODUCT(OFFSET(DATA!$R$6,AF$5,0,1,10),DATA!$R165:$AA165),"")</f>
        <v/>
      </c>
      <c r="AG157" s="7" t="str">
        <f ca="1">IF(LEN(DATA!F165)&gt;0,SUMPRODUCT(OFFSET(DATA!$R$6,AG$5,0,1,10),DATA!$R165:$AA165),"")</f>
        <v/>
      </c>
      <c r="AH157" s="7" t="str">
        <f ca="1">IF(LEN(DATA!G165)&gt;0,SUMPRODUCT(OFFSET(DATA!$R$6,AH$5,0,1,10),DATA!$R165:$AA165),"")</f>
        <v/>
      </c>
      <c r="AI157" s="7" t="str">
        <f ca="1">IF(LEN(DATA!H165)&gt;0,SUMPRODUCT(OFFSET(DATA!$R$6,AI$5,0,1,10),DATA!$R165:$AA165),"")</f>
        <v/>
      </c>
      <c r="AJ157" s="7" t="str">
        <f ca="1">IF(LEN(DATA!I165)&gt;0,SUMPRODUCT(OFFSET(DATA!$R$6,AJ$5,0,1,10),DATA!$R165:$AA165),"")</f>
        <v/>
      </c>
      <c r="AK157" s="7"/>
      <c r="AL157" s="7" t="e">
        <f t="shared" ca="1" si="64"/>
        <v>#DIV/0!</v>
      </c>
      <c r="AM157" s="7" t="e">
        <f t="shared" ca="1" si="65"/>
        <v>#DIV/0!</v>
      </c>
      <c r="AN157" s="7" t="e">
        <f t="shared" ca="1" si="66"/>
        <v>#DIV/0!</v>
      </c>
      <c r="AO157" s="7" t="e">
        <f t="shared" ca="1" si="67"/>
        <v>#DIV/0!</v>
      </c>
      <c r="AP157" s="7" t="e">
        <f t="shared" ca="1" si="68"/>
        <v>#DIV/0!</v>
      </c>
      <c r="AQ157" s="7" t="e">
        <f t="shared" ca="1" si="69"/>
        <v>#DIV/0!</v>
      </c>
      <c r="AS157">
        <f t="shared" si="70"/>
        <v>61</v>
      </c>
      <c r="AT157">
        <f t="shared" si="71"/>
        <v>1</v>
      </c>
      <c r="AU157">
        <f t="shared" ca="1" si="72"/>
        <v>1.5973915302157617</v>
      </c>
      <c r="AV157">
        <f t="shared" ca="1" si="73"/>
        <v>0.23853633627266699</v>
      </c>
      <c r="AW157">
        <f ca="1">IF(AND($AT157&lt;3,OFFSET(DATA!$C$14,$AS157,0)=AW$6),$AV157,dNULL)</f>
        <v>-99</v>
      </c>
      <c r="AX157">
        <f ca="1">IF(AND($AT157&lt;3,OFFSET(DATA!$C$14,$AS157,0)=AX$6),$AV157,dNULL)</f>
        <v>-99</v>
      </c>
      <c r="AY157">
        <f ca="1">IF(AND($AT157&lt;3,OFFSET(DATA!$C$14,$AS157,0)=AY$6),$AV157,dNULL)</f>
        <v>-99</v>
      </c>
      <c r="AZ157">
        <f ca="1">IF(AND($AT157&lt;3,OFFSET(DATA!$C$14,$AS157,0)=AZ$6),$AV157,dNULL)</f>
        <v>-99</v>
      </c>
      <c r="BA157">
        <f ca="1">IF(AND($AT157&lt;3,OFFSET(DATA!$C$14,$AS157,0)=BA$6),$AV157,dNULL)</f>
        <v>-99</v>
      </c>
      <c r="BB157">
        <f ca="1">IF(AND($AT157&lt;3,OFFSET(DATA!$C$14,$AS157,0)=BB$6),$AV157,dNULL)</f>
        <v>0.23853633627266699</v>
      </c>
      <c r="BC157">
        <f ca="1">IF(AND($AT157&lt;3,OFFSET(DATA!$C$14,$AS157,0)=BC$6),$AV157,dNULL)</f>
        <v>-99</v>
      </c>
      <c r="BD157">
        <f ca="1">IF(AND($AT157&lt;3,OFFSET(DATA!$C$14,$AS157,0)=BD$6),$AV157,dNULL)</f>
        <v>-99</v>
      </c>
      <c r="BE157">
        <f ca="1">IF(AND($AT157&lt;3,OFFSET(DATA!$C$14,$AS157,0)=BE$6),$AV157,dNULL)</f>
        <v>-99</v>
      </c>
      <c r="BF157">
        <f ca="1">IF(AND($AT157&lt;3,OFFSET(DATA!$C$14,$AS157,0)=BF$6),$AV157,dNULL)</f>
        <v>-99</v>
      </c>
      <c r="BG157">
        <f ca="1">IF(AND($AT157&lt;3,OFFSET(DATA!$C$14,$AS157,0)=BG$6),$AV157,dNULL)</f>
        <v>-99</v>
      </c>
      <c r="BH157">
        <f ca="1">IF(AND($AT157&lt;3,OFFSET(DATA!$C$14,$AS157,0)=BH$6),$AV157,dNULL)</f>
        <v>-99</v>
      </c>
      <c r="BU157">
        <f t="shared" si="77"/>
        <v>2</v>
      </c>
      <c r="BV157">
        <f t="shared" si="78"/>
        <v>1.600000000000001</v>
      </c>
      <c r="BW157">
        <f t="shared" ca="1" si="74"/>
        <v>0.2</v>
      </c>
      <c r="BX157">
        <f t="shared" ca="1" si="75"/>
        <v>-0.2</v>
      </c>
    </row>
    <row r="158" spans="13:76" x14ac:dyDescent="0.25">
      <c r="N158">
        <f>N68+1+dAnionOFF</f>
        <v>1.9000000000000001</v>
      </c>
      <c r="O158">
        <f t="shared" ref="O158:O185" si="79">O68</f>
        <v>0.69282032302755092</v>
      </c>
      <c r="Y158" s="26"/>
      <c r="Z158" s="26"/>
      <c r="AB158" s="26" t="str">
        <f t="shared" ca="1" si="63"/>
        <v/>
      </c>
      <c r="AC158">
        <f t="shared" ca="1" si="76"/>
        <v>90</v>
      </c>
      <c r="AD158" t="str">
        <f ca="1">IF(AND(AT158&lt;1,MAX(AW158:BH158)&gt;dNULL),DATA!$D166,"")</f>
        <v/>
      </c>
      <c r="AE158" s="7" t="str">
        <f ca="1">IF(LEN(DATA!D166)&gt;0,SUMPRODUCT(OFFSET(DATA!$R$6,AE$5,0,1,10),DATA!$R166:$AA166),"")</f>
        <v/>
      </c>
      <c r="AF158" s="7" t="str">
        <f ca="1">IF(LEN(DATA!E166)&gt;0,SUMPRODUCT(OFFSET(DATA!$R$6,AF$5,0,1,10),DATA!$R166:$AA166),"")</f>
        <v/>
      </c>
      <c r="AG158" s="7" t="str">
        <f ca="1">IF(LEN(DATA!F166)&gt;0,SUMPRODUCT(OFFSET(DATA!$R$6,AG$5,0,1,10),DATA!$R166:$AA166),"")</f>
        <v/>
      </c>
      <c r="AH158" s="7" t="str">
        <f ca="1">IF(LEN(DATA!G166)&gt;0,SUMPRODUCT(OFFSET(DATA!$R$6,AH$5,0,1,10),DATA!$R166:$AA166),"")</f>
        <v/>
      </c>
      <c r="AI158" s="7" t="str">
        <f ca="1">IF(LEN(DATA!H166)&gt;0,SUMPRODUCT(OFFSET(DATA!$R$6,AI$5,0,1,10),DATA!$R166:$AA166),"")</f>
        <v/>
      </c>
      <c r="AJ158" s="7" t="str">
        <f ca="1">IF(LEN(DATA!I166)&gt;0,SUMPRODUCT(OFFSET(DATA!$R$6,AJ$5,0,1,10),DATA!$R166:$AA166),"")</f>
        <v/>
      </c>
      <c r="AK158" s="7"/>
      <c r="AL158" s="7" t="e">
        <f t="shared" ca="1" si="64"/>
        <v>#DIV/0!</v>
      </c>
      <c r="AM158" s="7" t="e">
        <f t="shared" ca="1" si="65"/>
        <v>#DIV/0!</v>
      </c>
      <c r="AN158" s="7" t="e">
        <f t="shared" ca="1" si="66"/>
        <v>#DIV/0!</v>
      </c>
      <c r="AO158" s="7" t="e">
        <f t="shared" ca="1" si="67"/>
        <v>#DIV/0!</v>
      </c>
      <c r="AP158" s="7" t="e">
        <f t="shared" ca="1" si="68"/>
        <v>#DIV/0!</v>
      </c>
      <c r="AQ158" s="7" t="e">
        <f t="shared" ca="1" si="69"/>
        <v>#DIV/0!</v>
      </c>
      <c r="AS158">
        <f t="shared" si="70"/>
        <v>62</v>
      </c>
      <c r="AT158">
        <f t="shared" si="71"/>
        <v>1</v>
      </c>
      <c r="AU158">
        <f t="shared" ca="1" si="72"/>
        <v>1.6661687878436104</v>
      </c>
      <c r="AV158">
        <f t="shared" ca="1" si="73"/>
        <v>0.28777219707191892</v>
      </c>
      <c r="AW158">
        <f ca="1">IF(AND($AT158&lt;3,OFFSET(DATA!$C$14,$AS158,0)=AW$6),$AV158,dNULL)</f>
        <v>-99</v>
      </c>
      <c r="AX158">
        <f ca="1">IF(AND($AT158&lt;3,OFFSET(DATA!$C$14,$AS158,0)=AX$6),$AV158,dNULL)</f>
        <v>-99</v>
      </c>
      <c r="AY158">
        <f ca="1">IF(AND($AT158&lt;3,OFFSET(DATA!$C$14,$AS158,0)=AY$6),$AV158,dNULL)</f>
        <v>-99</v>
      </c>
      <c r="AZ158">
        <f ca="1">IF(AND($AT158&lt;3,OFFSET(DATA!$C$14,$AS158,0)=AZ$6),$AV158,dNULL)</f>
        <v>-99</v>
      </c>
      <c r="BA158">
        <f ca="1">IF(AND($AT158&lt;3,OFFSET(DATA!$C$14,$AS158,0)=BA$6),$AV158,dNULL)</f>
        <v>-99</v>
      </c>
      <c r="BB158">
        <f ca="1">IF(AND($AT158&lt;3,OFFSET(DATA!$C$14,$AS158,0)=BB$6),$AV158,dNULL)</f>
        <v>0.28777219707191892</v>
      </c>
      <c r="BC158">
        <f ca="1">IF(AND($AT158&lt;3,OFFSET(DATA!$C$14,$AS158,0)=BC$6),$AV158,dNULL)</f>
        <v>-99</v>
      </c>
      <c r="BD158">
        <f ca="1">IF(AND($AT158&lt;3,OFFSET(DATA!$C$14,$AS158,0)=BD$6),$AV158,dNULL)</f>
        <v>-99</v>
      </c>
      <c r="BE158">
        <f ca="1">IF(AND($AT158&lt;3,OFFSET(DATA!$C$14,$AS158,0)=BE$6),$AV158,dNULL)</f>
        <v>-99</v>
      </c>
      <c r="BF158">
        <f ca="1">IF(AND($AT158&lt;3,OFFSET(DATA!$C$14,$AS158,0)=BF$6),$AV158,dNULL)</f>
        <v>-99</v>
      </c>
      <c r="BG158">
        <f ca="1">IF(AND($AT158&lt;3,OFFSET(DATA!$C$14,$AS158,0)=BG$6),$AV158,dNULL)</f>
        <v>-99</v>
      </c>
      <c r="BH158">
        <f ca="1">IF(AND($AT158&lt;3,OFFSET(DATA!$C$14,$AS158,0)=BH$6),$AV158,dNULL)</f>
        <v>-99</v>
      </c>
      <c r="BU158">
        <f t="shared" si="77"/>
        <v>2</v>
      </c>
      <c r="BV158">
        <f t="shared" si="78"/>
        <v>1.600000000000001</v>
      </c>
      <c r="BW158">
        <f t="shared" ca="1" si="74"/>
        <v>0.31138654040924491</v>
      </c>
      <c r="BX158">
        <f t="shared" ca="1" si="75"/>
        <v>-0.67037553204733702</v>
      </c>
    </row>
    <row r="159" spans="13:76" x14ac:dyDescent="0.25">
      <c r="Y159" s="26"/>
      <c r="Z159" s="26"/>
      <c r="AB159" s="26" t="str">
        <f t="shared" ca="1" si="63"/>
        <v/>
      </c>
      <c r="AC159">
        <f t="shared" ca="1" si="76"/>
        <v>90</v>
      </c>
      <c r="AD159" t="str">
        <f ca="1">IF(AND(AT159&lt;1,MAX(AW159:BH159)&gt;dNULL),DATA!$D167,"")</f>
        <v/>
      </c>
      <c r="AE159" s="7" t="str">
        <f ca="1">IF(LEN(DATA!D167)&gt;0,SUMPRODUCT(OFFSET(DATA!$R$6,AE$5,0,1,10),DATA!$R167:$AA167),"")</f>
        <v/>
      </c>
      <c r="AF159" s="7" t="str">
        <f ca="1">IF(LEN(DATA!E167)&gt;0,SUMPRODUCT(OFFSET(DATA!$R$6,AF$5,0,1,10),DATA!$R167:$AA167),"")</f>
        <v/>
      </c>
      <c r="AG159" s="7" t="str">
        <f ca="1">IF(LEN(DATA!F167)&gt;0,SUMPRODUCT(OFFSET(DATA!$R$6,AG$5,0,1,10),DATA!$R167:$AA167),"")</f>
        <v/>
      </c>
      <c r="AH159" s="7" t="str">
        <f ca="1">IF(LEN(DATA!G167)&gt;0,SUMPRODUCT(OFFSET(DATA!$R$6,AH$5,0,1,10),DATA!$R167:$AA167),"")</f>
        <v/>
      </c>
      <c r="AI159" s="7" t="str">
        <f ca="1">IF(LEN(DATA!H167)&gt;0,SUMPRODUCT(OFFSET(DATA!$R$6,AI$5,0,1,10),DATA!$R167:$AA167),"")</f>
        <v/>
      </c>
      <c r="AJ159" s="7" t="str">
        <f ca="1">IF(LEN(DATA!I167)&gt;0,SUMPRODUCT(OFFSET(DATA!$R$6,AJ$5,0,1,10),DATA!$R167:$AA167),"")</f>
        <v/>
      </c>
      <c r="AK159" s="7"/>
      <c r="AL159" s="7" t="e">
        <f t="shared" ca="1" si="64"/>
        <v>#DIV/0!</v>
      </c>
      <c r="AM159" s="7" t="e">
        <f t="shared" ca="1" si="65"/>
        <v>#DIV/0!</v>
      </c>
      <c r="AN159" s="7" t="e">
        <f t="shared" ca="1" si="66"/>
        <v>#DIV/0!</v>
      </c>
      <c r="AO159" s="7" t="e">
        <f t="shared" ca="1" si="67"/>
        <v>#DIV/0!</v>
      </c>
      <c r="AP159" s="7" t="e">
        <f t="shared" ca="1" si="68"/>
        <v>#DIV/0!</v>
      </c>
      <c r="AQ159" s="7" t="e">
        <f t="shared" ca="1" si="69"/>
        <v>#DIV/0!</v>
      </c>
      <c r="AS159">
        <f t="shared" si="70"/>
        <v>63</v>
      </c>
      <c r="AT159">
        <f t="shared" si="71"/>
        <v>1</v>
      </c>
      <c r="AU159">
        <f t="shared" ca="1" si="72"/>
        <v>1.5266819194465282</v>
      </c>
      <c r="AV159">
        <f t="shared" ca="1" si="73"/>
        <v>0.23429717989256432</v>
      </c>
      <c r="AW159">
        <f ca="1">IF(AND($AT159&lt;3,OFFSET(DATA!$C$14,$AS159,0)=AW$6),$AV159,dNULL)</f>
        <v>-99</v>
      </c>
      <c r="AX159">
        <f ca="1">IF(AND($AT159&lt;3,OFFSET(DATA!$C$14,$AS159,0)=AX$6),$AV159,dNULL)</f>
        <v>-99</v>
      </c>
      <c r="AY159">
        <f ca="1">IF(AND($AT159&lt;3,OFFSET(DATA!$C$14,$AS159,0)=AY$6),$AV159,dNULL)</f>
        <v>-99</v>
      </c>
      <c r="AZ159">
        <f ca="1">IF(AND($AT159&lt;3,OFFSET(DATA!$C$14,$AS159,0)=AZ$6),$AV159,dNULL)</f>
        <v>-99</v>
      </c>
      <c r="BA159">
        <f ca="1">IF(AND($AT159&lt;3,OFFSET(DATA!$C$14,$AS159,0)=BA$6),$AV159,dNULL)</f>
        <v>-99</v>
      </c>
      <c r="BB159">
        <f ca="1">IF(AND($AT159&lt;3,OFFSET(DATA!$C$14,$AS159,0)=BB$6),$AV159,dNULL)</f>
        <v>0.23429717989256432</v>
      </c>
      <c r="BC159">
        <f ca="1">IF(AND($AT159&lt;3,OFFSET(DATA!$C$14,$AS159,0)=BC$6),$AV159,dNULL)</f>
        <v>-99</v>
      </c>
      <c r="BD159">
        <f ca="1">IF(AND($AT159&lt;3,OFFSET(DATA!$C$14,$AS159,0)=BD$6),$AV159,dNULL)</f>
        <v>-99</v>
      </c>
      <c r="BE159">
        <f ca="1">IF(AND($AT159&lt;3,OFFSET(DATA!$C$14,$AS159,0)=BE$6),$AV159,dNULL)</f>
        <v>-99</v>
      </c>
      <c r="BF159">
        <f ca="1">IF(AND($AT159&lt;3,OFFSET(DATA!$C$14,$AS159,0)=BF$6),$AV159,dNULL)</f>
        <v>-99</v>
      </c>
      <c r="BG159">
        <f ca="1">IF(AND($AT159&lt;3,OFFSET(DATA!$C$14,$AS159,0)=BG$6),$AV159,dNULL)</f>
        <v>-99</v>
      </c>
      <c r="BH159">
        <f ca="1">IF(AND($AT159&lt;3,OFFSET(DATA!$C$14,$AS159,0)=BH$6),$AV159,dNULL)</f>
        <v>-99</v>
      </c>
      <c r="BU159">
        <f t="shared" si="77"/>
        <v>2</v>
      </c>
      <c r="BV159">
        <f t="shared" si="78"/>
        <v>1.620000000000001</v>
      </c>
      <c r="BW159">
        <f t="shared" ca="1" si="74"/>
        <v>0.2</v>
      </c>
      <c r="BX159">
        <f t="shared" ca="1" si="75"/>
        <v>-0.2</v>
      </c>
    </row>
    <row r="160" spans="13:76" x14ac:dyDescent="0.25">
      <c r="N160">
        <f>N70+1+dAnionOFF</f>
        <v>1.7</v>
      </c>
      <c r="O160">
        <f t="shared" si="79"/>
        <v>0</v>
      </c>
      <c r="Y160" s="26"/>
      <c r="Z160" s="26"/>
      <c r="AB160" s="26" t="str">
        <f t="shared" ca="1" si="63"/>
        <v/>
      </c>
      <c r="AC160">
        <f t="shared" ca="1" si="76"/>
        <v>90</v>
      </c>
      <c r="AD160" t="str">
        <f ca="1">IF(AND(AT160&lt;1,MAX(AW160:BH160)&gt;dNULL),DATA!$D168,"")</f>
        <v/>
      </c>
      <c r="AE160" s="7" t="str">
        <f ca="1">IF(LEN(DATA!D168)&gt;0,SUMPRODUCT(OFFSET(DATA!$R$6,AE$5,0,1,10),DATA!$R168:$AA168),"")</f>
        <v/>
      </c>
      <c r="AF160" s="7" t="str">
        <f ca="1">IF(LEN(DATA!E168)&gt;0,SUMPRODUCT(OFFSET(DATA!$R$6,AF$5,0,1,10),DATA!$R168:$AA168),"")</f>
        <v/>
      </c>
      <c r="AG160" s="7" t="str">
        <f ca="1">IF(LEN(DATA!F168)&gt;0,SUMPRODUCT(OFFSET(DATA!$R$6,AG$5,0,1,10),DATA!$R168:$AA168),"")</f>
        <v/>
      </c>
      <c r="AH160" s="7" t="str">
        <f ca="1">IF(LEN(DATA!G168)&gt;0,SUMPRODUCT(OFFSET(DATA!$R$6,AH$5,0,1,10),DATA!$R168:$AA168),"")</f>
        <v/>
      </c>
      <c r="AI160" s="7" t="str">
        <f ca="1">IF(LEN(DATA!H168)&gt;0,SUMPRODUCT(OFFSET(DATA!$R$6,AI$5,0,1,10),DATA!$R168:$AA168),"")</f>
        <v/>
      </c>
      <c r="AJ160" s="7" t="str">
        <f ca="1">IF(LEN(DATA!I168)&gt;0,SUMPRODUCT(OFFSET(DATA!$R$6,AJ$5,0,1,10),DATA!$R168:$AA168),"")</f>
        <v/>
      </c>
      <c r="AK160" s="7"/>
      <c r="AL160" s="7" t="e">
        <f t="shared" ca="1" si="64"/>
        <v>#DIV/0!</v>
      </c>
      <c r="AM160" s="7" t="e">
        <f t="shared" ca="1" si="65"/>
        <v>#DIV/0!</v>
      </c>
      <c r="AN160" s="7" t="e">
        <f t="shared" ca="1" si="66"/>
        <v>#DIV/0!</v>
      </c>
      <c r="AO160" s="7" t="e">
        <f t="shared" ca="1" si="67"/>
        <v>#DIV/0!</v>
      </c>
      <c r="AP160" s="7" t="e">
        <f t="shared" ca="1" si="68"/>
        <v>#DIV/0!</v>
      </c>
      <c r="AQ160" s="7" t="e">
        <f t="shared" ca="1" si="69"/>
        <v>#DIV/0!</v>
      </c>
      <c r="AS160">
        <f t="shared" si="70"/>
        <v>64</v>
      </c>
      <c r="AT160">
        <f t="shared" si="71"/>
        <v>1</v>
      </c>
      <c r="AU160">
        <f t="shared" ca="1" si="72"/>
        <v>1.5001473309741447</v>
      </c>
      <c r="AV160">
        <f t="shared" ca="1" si="73"/>
        <v>0.14555227422087197</v>
      </c>
      <c r="AW160">
        <f ca="1">IF(AND($AT160&lt;3,OFFSET(DATA!$C$14,$AS160,0)=AW$6),$AV160,dNULL)</f>
        <v>-99</v>
      </c>
      <c r="AX160">
        <f ca="1">IF(AND($AT160&lt;3,OFFSET(DATA!$C$14,$AS160,0)=AX$6),$AV160,dNULL)</f>
        <v>-99</v>
      </c>
      <c r="AY160">
        <f ca="1">IF(AND($AT160&lt;3,OFFSET(DATA!$C$14,$AS160,0)=AY$6),$AV160,dNULL)</f>
        <v>-99</v>
      </c>
      <c r="AZ160">
        <f ca="1">IF(AND($AT160&lt;3,OFFSET(DATA!$C$14,$AS160,0)=AZ$6),$AV160,dNULL)</f>
        <v>-99</v>
      </c>
      <c r="BA160">
        <f ca="1">IF(AND($AT160&lt;3,OFFSET(DATA!$C$14,$AS160,0)=BA$6),$AV160,dNULL)</f>
        <v>-99</v>
      </c>
      <c r="BB160">
        <f ca="1">IF(AND($AT160&lt;3,OFFSET(DATA!$C$14,$AS160,0)=BB$6),$AV160,dNULL)</f>
        <v>-99</v>
      </c>
      <c r="BC160">
        <f ca="1">IF(AND($AT160&lt;3,OFFSET(DATA!$C$14,$AS160,0)=BC$6),$AV160,dNULL)</f>
        <v>0.14555227422087197</v>
      </c>
      <c r="BD160">
        <f ca="1">IF(AND($AT160&lt;3,OFFSET(DATA!$C$14,$AS160,0)=BD$6),$AV160,dNULL)</f>
        <v>-99</v>
      </c>
      <c r="BE160">
        <f ca="1">IF(AND($AT160&lt;3,OFFSET(DATA!$C$14,$AS160,0)=BE$6),$AV160,dNULL)</f>
        <v>-99</v>
      </c>
      <c r="BF160">
        <f ca="1">IF(AND($AT160&lt;3,OFFSET(DATA!$C$14,$AS160,0)=BF$6),$AV160,dNULL)</f>
        <v>-99</v>
      </c>
      <c r="BG160">
        <f ca="1">IF(AND($AT160&lt;3,OFFSET(DATA!$C$14,$AS160,0)=BG$6),$AV160,dNULL)</f>
        <v>-99</v>
      </c>
      <c r="BH160">
        <f ca="1">IF(AND($AT160&lt;3,OFFSET(DATA!$C$14,$AS160,0)=BH$6),$AV160,dNULL)</f>
        <v>-99</v>
      </c>
      <c r="BU160">
        <f t="shared" si="77"/>
        <v>2</v>
      </c>
      <c r="BV160">
        <f t="shared" si="78"/>
        <v>1.620000000000001</v>
      </c>
      <c r="BW160">
        <f t="shared" ca="1" si="74"/>
        <v>0.30388192218529531</v>
      </c>
      <c r="BX160">
        <f t="shared" ca="1" si="75"/>
        <v>-0.66054739935303197</v>
      </c>
    </row>
    <row r="161" spans="14:76" x14ac:dyDescent="0.25">
      <c r="N161">
        <f>N71+1+dAnionOFF</f>
        <v>2</v>
      </c>
      <c r="O161">
        <f t="shared" si="79"/>
        <v>0.51961524227066314</v>
      </c>
      <c r="Y161" s="26"/>
      <c r="Z161" s="26"/>
      <c r="AB161" s="26" t="str">
        <f t="shared" ca="1" si="63"/>
        <v/>
      </c>
      <c r="AC161">
        <f t="shared" ca="1" si="76"/>
        <v>90</v>
      </c>
      <c r="AD161" t="str">
        <f ca="1">IF(AND(AT161&lt;1,MAX(AW161:BH161)&gt;dNULL),DATA!$D169,"")</f>
        <v/>
      </c>
      <c r="AE161" s="7" t="str">
        <f ca="1">IF(LEN(DATA!D169)&gt;0,SUMPRODUCT(OFFSET(DATA!$R$6,AE$5,0,1,10),DATA!$R169:$AA169),"")</f>
        <v/>
      </c>
      <c r="AF161" s="7" t="str">
        <f ca="1">IF(LEN(DATA!E169)&gt;0,SUMPRODUCT(OFFSET(DATA!$R$6,AF$5,0,1,10),DATA!$R169:$AA169),"")</f>
        <v/>
      </c>
      <c r="AG161" s="7" t="str">
        <f ca="1">IF(LEN(DATA!F169)&gt;0,SUMPRODUCT(OFFSET(DATA!$R$6,AG$5,0,1,10),DATA!$R169:$AA169),"")</f>
        <v/>
      </c>
      <c r="AH161" s="7" t="str">
        <f ca="1">IF(LEN(DATA!G169)&gt;0,SUMPRODUCT(OFFSET(DATA!$R$6,AH$5,0,1,10),DATA!$R169:$AA169),"")</f>
        <v/>
      </c>
      <c r="AI161" s="7" t="str">
        <f ca="1">IF(LEN(DATA!H169)&gt;0,SUMPRODUCT(OFFSET(DATA!$R$6,AI$5,0,1,10),DATA!$R169:$AA169),"")</f>
        <v/>
      </c>
      <c r="AJ161" s="7" t="str">
        <f ca="1">IF(LEN(DATA!I169)&gt;0,SUMPRODUCT(OFFSET(DATA!$R$6,AJ$5,0,1,10),DATA!$R169:$AA169),"")</f>
        <v/>
      </c>
      <c r="AK161" s="7"/>
      <c r="AL161" s="7" t="e">
        <f t="shared" ca="1" si="64"/>
        <v>#DIV/0!</v>
      </c>
      <c r="AM161" s="7" t="e">
        <f t="shared" ca="1" si="65"/>
        <v>#DIV/0!</v>
      </c>
      <c r="AN161" s="7" t="e">
        <f t="shared" ca="1" si="66"/>
        <v>#DIV/0!</v>
      </c>
      <c r="AO161" s="7" t="e">
        <f t="shared" ca="1" si="67"/>
        <v>#DIV/0!</v>
      </c>
      <c r="AP161" s="7" t="e">
        <f t="shared" ca="1" si="68"/>
        <v>#DIV/0!</v>
      </c>
      <c r="AQ161" s="7" t="e">
        <f t="shared" ca="1" si="69"/>
        <v>#DIV/0!</v>
      </c>
      <c r="AS161">
        <f t="shared" si="70"/>
        <v>65</v>
      </c>
      <c r="AT161">
        <f t="shared" si="71"/>
        <v>1</v>
      </c>
      <c r="AU161">
        <f t="shared" ca="1" si="72"/>
        <v>1.4855887675170605</v>
      </c>
      <c r="AV161">
        <f t="shared" ca="1" si="73"/>
        <v>0.11296893527686305</v>
      </c>
      <c r="AW161">
        <f ca="1">IF(AND($AT161&lt;3,OFFSET(DATA!$C$14,$AS161,0)=AW$6),$AV161,dNULL)</f>
        <v>-99</v>
      </c>
      <c r="AX161">
        <f ca="1">IF(AND($AT161&lt;3,OFFSET(DATA!$C$14,$AS161,0)=AX$6),$AV161,dNULL)</f>
        <v>-99</v>
      </c>
      <c r="AY161">
        <f ca="1">IF(AND($AT161&lt;3,OFFSET(DATA!$C$14,$AS161,0)=AY$6),$AV161,dNULL)</f>
        <v>-99</v>
      </c>
      <c r="AZ161">
        <f ca="1">IF(AND($AT161&lt;3,OFFSET(DATA!$C$14,$AS161,0)=AZ$6),$AV161,dNULL)</f>
        <v>-99</v>
      </c>
      <c r="BA161">
        <f ca="1">IF(AND($AT161&lt;3,OFFSET(DATA!$C$14,$AS161,0)=BA$6),$AV161,dNULL)</f>
        <v>-99</v>
      </c>
      <c r="BB161">
        <f ca="1">IF(AND($AT161&lt;3,OFFSET(DATA!$C$14,$AS161,0)=BB$6),$AV161,dNULL)</f>
        <v>-99</v>
      </c>
      <c r="BC161">
        <f ca="1">IF(AND($AT161&lt;3,OFFSET(DATA!$C$14,$AS161,0)=BC$6),$AV161,dNULL)</f>
        <v>0.11296893527686305</v>
      </c>
      <c r="BD161">
        <f ca="1">IF(AND($AT161&lt;3,OFFSET(DATA!$C$14,$AS161,0)=BD$6),$AV161,dNULL)</f>
        <v>-99</v>
      </c>
      <c r="BE161">
        <f ca="1">IF(AND($AT161&lt;3,OFFSET(DATA!$C$14,$AS161,0)=BE$6),$AV161,dNULL)</f>
        <v>-99</v>
      </c>
      <c r="BF161">
        <f ca="1">IF(AND($AT161&lt;3,OFFSET(DATA!$C$14,$AS161,0)=BF$6),$AV161,dNULL)</f>
        <v>-99</v>
      </c>
      <c r="BG161">
        <f ca="1">IF(AND($AT161&lt;3,OFFSET(DATA!$C$14,$AS161,0)=BG$6),$AV161,dNULL)</f>
        <v>-99</v>
      </c>
      <c r="BH161">
        <f ca="1">IF(AND($AT161&lt;3,OFFSET(DATA!$C$14,$AS161,0)=BH$6),$AV161,dNULL)</f>
        <v>-99</v>
      </c>
      <c r="BU161">
        <f t="shared" si="77"/>
        <v>2</v>
      </c>
      <c r="BV161">
        <f t="shared" si="78"/>
        <v>1.640000000000001</v>
      </c>
      <c r="BW161">
        <f t="shared" ca="1" si="74"/>
        <v>0.2</v>
      </c>
      <c r="BX161">
        <f t="shared" ca="1" si="75"/>
        <v>-0.2</v>
      </c>
    </row>
    <row r="162" spans="14:76" x14ac:dyDescent="0.25">
      <c r="Y162" s="26"/>
      <c r="Z162" s="26"/>
      <c r="AB162" s="26" t="str">
        <f t="shared" ca="1" si="63"/>
        <v/>
      </c>
      <c r="AC162">
        <f t="shared" ca="1" si="76"/>
        <v>90</v>
      </c>
      <c r="AD162" t="str">
        <f ca="1">IF(AND(AT162&lt;1,MAX(AW162:BH162)&gt;dNULL),DATA!$D170,"")</f>
        <v/>
      </c>
      <c r="AE162" s="7" t="str">
        <f ca="1">IF(LEN(DATA!D170)&gt;0,SUMPRODUCT(OFFSET(DATA!$R$6,AE$5,0,1,10),DATA!$R170:$AA170),"")</f>
        <v/>
      </c>
      <c r="AF162" s="7" t="str">
        <f ca="1">IF(LEN(DATA!E170)&gt;0,SUMPRODUCT(OFFSET(DATA!$R$6,AF$5,0,1,10),DATA!$R170:$AA170),"")</f>
        <v/>
      </c>
      <c r="AG162" s="7" t="str">
        <f ca="1">IF(LEN(DATA!F170)&gt;0,SUMPRODUCT(OFFSET(DATA!$R$6,AG$5,0,1,10),DATA!$R170:$AA170),"")</f>
        <v/>
      </c>
      <c r="AH162" s="7" t="str">
        <f ca="1">IF(LEN(DATA!G170)&gt;0,SUMPRODUCT(OFFSET(DATA!$R$6,AH$5,0,1,10),DATA!$R170:$AA170),"")</f>
        <v/>
      </c>
      <c r="AI162" s="7" t="str">
        <f ca="1">IF(LEN(DATA!H170)&gt;0,SUMPRODUCT(OFFSET(DATA!$R$6,AI$5,0,1,10),DATA!$R170:$AA170),"")</f>
        <v/>
      </c>
      <c r="AJ162" s="7" t="str">
        <f ca="1">IF(LEN(DATA!I170)&gt;0,SUMPRODUCT(OFFSET(DATA!$R$6,AJ$5,0,1,10),DATA!$R170:$AA170),"")</f>
        <v/>
      </c>
      <c r="AK162" s="7"/>
      <c r="AL162" s="7" t="e">
        <f t="shared" ca="1" si="64"/>
        <v>#DIV/0!</v>
      </c>
      <c r="AM162" s="7" t="e">
        <f t="shared" ca="1" si="65"/>
        <v>#DIV/0!</v>
      </c>
      <c r="AN162" s="7" t="e">
        <f t="shared" ca="1" si="66"/>
        <v>#DIV/0!</v>
      </c>
      <c r="AO162" s="7" t="e">
        <f t="shared" ca="1" si="67"/>
        <v>#DIV/0!</v>
      </c>
      <c r="AP162" s="7" t="e">
        <f t="shared" ca="1" si="68"/>
        <v>#DIV/0!</v>
      </c>
      <c r="AQ162" s="7" t="e">
        <f t="shared" ca="1" si="69"/>
        <v>#DIV/0!</v>
      </c>
      <c r="AS162">
        <f t="shared" si="70"/>
        <v>66</v>
      </c>
      <c r="AT162">
        <f t="shared" si="71"/>
        <v>1</v>
      </c>
      <c r="AU162">
        <f t="shared" ca="1" si="72"/>
        <v>1.5025115639860973</v>
      </c>
      <c r="AV162">
        <f t="shared" ca="1" si="73"/>
        <v>0.19573761602271655</v>
      </c>
      <c r="AW162">
        <f ca="1">IF(AND($AT162&lt;3,OFFSET(DATA!$C$14,$AS162,0)=AW$6),$AV162,dNULL)</f>
        <v>0.19573761602271655</v>
      </c>
      <c r="AX162">
        <f ca="1">IF(AND($AT162&lt;3,OFFSET(DATA!$C$14,$AS162,0)=AX$6),$AV162,dNULL)</f>
        <v>-99</v>
      </c>
      <c r="AY162">
        <f ca="1">IF(AND($AT162&lt;3,OFFSET(DATA!$C$14,$AS162,0)=AY$6),$AV162,dNULL)</f>
        <v>-99</v>
      </c>
      <c r="AZ162">
        <f ca="1">IF(AND($AT162&lt;3,OFFSET(DATA!$C$14,$AS162,0)=AZ$6),$AV162,dNULL)</f>
        <v>-99</v>
      </c>
      <c r="BA162">
        <f ca="1">IF(AND($AT162&lt;3,OFFSET(DATA!$C$14,$AS162,0)=BA$6),$AV162,dNULL)</f>
        <v>-99</v>
      </c>
      <c r="BB162">
        <f ca="1">IF(AND($AT162&lt;3,OFFSET(DATA!$C$14,$AS162,0)=BB$6),$AV162,dNULL)</f>
        <v>-99</v>
      </c>
      <c r="BC162">
        <f ca="1">IF(AND($AT162&lt;3,OFFSET(DATA!$C$14,$AS162,0)=BC$6),$AV162,dNULL)</f>
        <v>-99</v>
      </c>
      <c r="BD162">
        <f ca="1">IF(AND($AT162&lt;3,OFFSET(DATA!$C$14,$AS162,0)=BD$6),$AV162,dNULL)</f>
        <v>-99</v>
      </c>
      <c r="BE162">
        <f ca="1">IF(AND($AT162&lt;3,OFFSET(DATA!$C$14,$AS162,0)=BE$6),$AV162,dNULL)</f>
        <v>-99</v>
      </c>
      <c r="BF162">
        <f ca="1">IF(AND($AT162&lt;3,OFFSET(DATA!$C$14,$AS162,0)=BF$6),$AV162,dNULL)</f>
        <v>-99</v>
      </c>
      <c r="BG162">
        <f ca="1">IF(AND($AT162&lt;3,OFFSET(DATA!$C$14,$AS162,0)=BG$6),$AV162,dNULL)</f>
        <v>-99</v>
      </c>
      <c r="BH162">
        <f ca="1">IF(AND($AT162&lt;3,OFFSET(DATA!$C$14,$AS162,0)=BH$6),$AV162,dNULL)</f>
        <v>-99</v>
      </c>
      <c r="BU162">
        <f t="shared" si="77"/>
        <v>2</v>
      </c>
      <c r="BV162">
        <f t="shared" si="78"/>
        <v>1.640000000000001</v>
      </c>
      <c r="BW162">
        <f t="shared" ca="1" si="74"/>
        <v>0.29637730396134576</v>
      </c>
      <c r="BX162">
        <f t="shared" ca="1" si="75"/>
        <v>-0.65071926665872681</v>
      </c>
    </row>
    <row r="163" spans="14:76" x14ac:dyDescent="0.25">
      <c r="N163">
        <f>N73+1+dAnionOFF</f>
        <v>1.9000000000000001</v>
      </c>
      <c r="O163">
        <f t="shared" si="79"/>
        <v>0</v>
      </c>
      <c r="Y163" s="26"/>
      <c r="Z163" s="26"/>
      <c r="AB163" s="26" t="str">
        <f t="shared" ca="1" si="63"/>
        <v/>
      </c>
      <c r="AC163">
        <f t="shared" ca="1" si="76"/>
        <v>90</v>
      </c>
      <c r="AD163" t="str">
        <f ca="1">IF(AND(AT163&lt;1,MAX(AW163:BH163)&gt;dNULL),DATA!$D171,"")</f>
        <v/>
      </c>
      <c r="AE163" s="7" t="str">
        <f ca="1">IF(LEN(DATA!D171)&gt;0,SUMPRODUCT(OFFSET(DATA!$R$6,AE$5,0,1,10),DATA!$R171:$AA171),"")</f>
        <v/>
      </c>
      <c r="AF163" s="7" t="str">
        <f ca="1">IF(LEN(DATA!E171)&gt;0,SUMPRODUCT(OFFSET(DATA!$R$6,AF$5,0,1,10),DATA!$R171:$AA171),"")</f>
        <v/>
      </c>
      <c r="AG163" s="7" t="str">
        <f ca="1">IF(LEN(DATA!F171)&gt;0,SUMPRODUCT(OFFSET(DATA!$R$6,AG$5,0,1,10),DATA!$R171:$AA171),"")</f>
        <v/>
      </c>
      <c r="AH163" s="7" t="str">
        <f ca="1">IF(LEN(DATA!G171)&gt;0,SUMPRODUCT(OFFSET(DATA!$R$6,AH$5,0,1,10),DATA!$R171:$AA171),"")</f>
        <v/>
      </c>
      <c r="AI163" s="7" t="str">
        <f ca="1">IF(LEN(DATA!H171)&gt;0,SUMPRODUCT(OFFSET(DATA!$R$6,AI$5,0,1,10),DATA!$R171:$AA171),"")</f>
        <v/>
      </c>
      <c r="AJ163" s="7" t="str">
        <f ca="1">IF(LEN(DATA!I171)&gt;0,SUMPRODUCT(OFFSET(DATA!$R$6,AJ$5,0,1,10),DATA!$R171:$AA171),"")</f>
        <v/>
      </c>
      <c r="AK163" s="7"/>
      <c r="AL163" s="7" t="e">
        <f t="shared" ca="1" si="64"/>
        <v>#DIV/0!</v>
      </c>
      <c r="AM163" s="7" t="e">
        <f t="shared" ca="1" si="65"/>
        <v>#DIV/0!</v>
      </c>
      <c r="AN163" s="7" t="e">
        <f t="shared" ca="1" si="66"/>
        <v>#DIV/0!</v>
      </c>
      <c r="AO163" s="7" t="e">
        <f t="shared" ca="1" si="67"/>
        <v>#DIV/0!</v>
      </c>
      <c r="AP163" s="7" t="e">
        <f t="shared" ca="1" si="68"/>
        <v>#DIV/0!</v>
      </c>
      <c r="AQ163" s="7" t="e">
        <f t="shared" ca="1" si="69"/>
        <v>#DIV/0!</v>
      </c>
      <c r="AS163">
        <f t="shared" si="70"/>
        <v>67</v>
      </c>
      <c r="AT163">
        <f t="shared" si="71"/>
        <v>1</v>
      </c>
      <c r="AU163">
        <f t="shared" ca="1" si="72"/>
        <v>1.5140861330981321</v>
      </c>
      <c r="AV163">
        <f t="shared" ca="1" si="73"/>
        <v>0.20808916483779738</v>
      </c>
      <c r="AW163">
        <f ca="1">IF(AND($AT163&lt;3,OFFSET(DATA!$C$14,$AS163,0)=AW$6),$AV163,dNULL)</f>
        <v>0.20808916483779738</v>
      </c>
      <c r="AX163">
        <f ca="1">IF(AND($AT163&lt;3,OFFSET(DATA!$C$14,$AS163,0)=AX$6),$AV163,dNULL)</f>
        <v>-99</v>
      </c>
      <c r="AY163">
        <f ca="1">IF(AND($AT163&lt;3,OFFSET(DATA!$C$14,$AS163,0)=AY$6),$AV163,dNULL)</f>
        <v>-99</v>
      </c>
      <c r="AZ163">
        <f ca="1">IF(AND($AT163&lt;3,OFFSET(DATA!$C$14,$AS163,0)=AZ$6),$AV163,dNULL)</f>
        <v>-99</v>
      </c>
      <c r="BA163">
        <f ca="1">IF(AND($AT163&lt;3,OFFSET(DATA!$C$14,$AS163,0)=BA$6),$AV163,dNULL)</f>
        <v>-99</v>
      </c>
      <c r="BB163">
        <f ca="1">IF(AND($AT163&lt;3,OFFSET(DATA!$C$14,$AS163,0)=BB$6),$AV163,dNULL)</f>
        <v>-99</v>
      </c>
      <c r="BC163">
        <f ca="1">IF(AND($AT163&lt;3,OFFSET(DATA!$C$14,$AS163,0)=BC$6),$AV163,dNULL)</f>
        <v>-99</v>
      </c>
      <c r="BD163">
        <f ca="1">IF(AND($AT163&lt;3,OFFSET(DATA!$C$14,$AS163,0)=BD$6),$AV163,dNULL)</f>
        <v>-99</v>
      </c>
      <c r="BE163">
        <f ca="1">IF(AND($AT163&lt;3,OFFSET(DATA!$C$14,$AS163,0)=BE$6),$AV163,dNULL)</f>
        <v>-99</v>
      </c>
      <c r="BF163">
        <f ca="1">IF(AND($AT163&lt;3,OFFSET(DATA!$C$14,$AS163,0)=BF$6),$AV163,dNULL)</f>
        <v>-99</v>
      </c>
      <c r="BG163">
        <f ca="1">IF(AND($AT163&lt;3,OFFSET(DATA!$C$14,$AS163,0)=BG$6),$AV163,dNULL)</f>
        <v>-99</v>
      </c>
      <c r="BH163">
        <f ca="1">IF(AND($AT163&lt;3,OFFSET(DATA!$C$14,$AS163,0)=BH$6),$AV163,dNULL)</f>
        <v>-99</v>
      </c>
      <c r="BU163">
        <f t="shared" si="77"/>
        <v>2</v>
      </c>
      <c r="BV163">
        <f t="shared" si="78"/>
        <v>1.660000000000001</v>
      </c>
      <c r="BW163">
        <f t="shared" ca="1" si="74"/>
        <v>0.2</v>
      </c>
      <c r="BX163">
        <f t="shared" ca="1" si="75"/>
        <v>-0.2</v>
      </c>
    </row>
    <row r="164" spans="14:76" x14ac:dyDescent="0.25">
      <c r="N164">
        <f>N74+1+dAnionOFF</f>
        <v>2.1</v>
      </c>
      <c r="O164">
        <f t="shared" si="79"/>
        <v>0.34641016151377535</v>
      </c>
      <c r="Y164" s="26"/>
      <c r="Z164" s="26"/>
      <c r="AB164" s="26" t="str">
        <f t="shared" ca="1" si="63"/>
        <v/>
      </c>
      <c r="AC164">
        <f t="shared" ca="1" si="76"/>
        <v>90</v>
      </c>
      <c r="AD164" t="str">
        <f ca="1">IF(AND(AT164&lt;1,MAX(AW164:BH164)&gt;dNULL),DATA!$D172,"")</f>
        <v/>
      </c>
      <c r="AE164" s="7" t="str">
        <f ca="1">IF(LEN(DATA!D172)&gt;0,SUMPRODUCT(OFFSET(DATA!$R$6,AE$5,0,1,10),DATA!$R172:$AA172),"")</f>
        <v/>
      </c>
      <c r="AF164" s="7" t="str">
        <f ca="1">IF(LEN(DATA!E172)&gt;0,SUMPRODUCT(OFFSET(DATA!$R$6,AF$5,0,1,10),DATA!$R172:$AA172),"")</f>
        <v/>
      </c>
      <c r="AG164" s="7" t="str">
        <f ca="1">IF(LEN(DATA!F172)&gt;0,SUMPRODUCT(OFFSET(DATA!$R$6,AG$5,0,1,10),DATA!$R172:$AA172),"")</f>
        <v/>
      </c>
      <c r="AH164" s="7" t="str">
        <f ca="1">IF(LEN(DATA!G172)&gt;0,SUMPRODUCT(OFFSET(DATA!$R$6,AH$5,0,1,10),DATA!$R172:$AA172),"")</f>
        <v/>
      </c>
      <c r="AI164" s="7" t="str">
        <f ca="1">IF(LEN(DATA!H172)&gt;0,SUMPRODUCT(OFFSET(DATA!$R$6,AI$5,0,1,10),DATA!$R172:$AA172),"")</f>
        <v/>
      </c>
      <c r="AJ164" s="7" t="str">
        <f ca="1">IF(LEN(DATA!I172)&gt;0,SUMPRODUCT(OFFSET(DATA!$R$6,AJ$5,0,1,10),DATA!$R172:$AA172),"")</f>
        <v/>
      </c>
      <c r="AK164" s="7"/>
      <c r="AL164" s="7" t="e">
        <f t="shared" ca="1" si="64"/>
        <v>#DIV/0!</v>
      </c>
      <c r="AM164" s="7" t="e">
        <f t="shared" ca="1" si="65"/>
        <v>#DIV/0!</v>
      </c>
      <c r="AN164" s="7" t="e">
        <f t="shared" ca="1" si="66"/>
        <v>#DIV/0!</v>
      </c>
      <c r="AO164" s="7" t="e">
        <f t="shared" ca="1" si="67"/>
        <v>#DIV/0!</v>
      </c>
      <c r="AP164" s="7" t="e">
        <f t="shared" ca="1" si="68"/>
        <v>#DIV/0!</v>
      </c>
      <c r="AQ164" s="7" t="e">
        <f t="shared" ca="1" si="69"/>
        <v>#DIV/0!</v>
      </c>
      <c r="AS164">
        <f t="shared" si="70"/>
        <v>68</v>
      </c>
      <c r="AT164">
        <f t="shared" si="71"/>
        <v>1</v>
      </c>
      <c r="AU164">
        <f t="shared" ca="1" si="72"/>
        <v>1.4920957564742576</v>
      </c>
      <c r="AV164">
        <f t="shared" ca="1" si="73"/>
        <v>0.19171228120802816</v>
      </c>
      <c r="AW164">
        <f ca="1">IF(AND($AT164&lt;3,OFFSET(DATA!$C$14,$AS164,0)=AW$6),$AV164,dNULL)</f>
        <v>0.19171228120802816</v>
      </c>
      <c r="AX164">
        <f ca="1">IF(AND($AT164&lt;3,OFFSET(DATA!$C$14,$AS164,0)=AX$6),$AV164,dNULL)</f>
        <v>-99</v>
      </c>
      <c r="AY164">
        <f ca="1">IF(AND($AT164&lt;3,OFFSET(DATA!$C$14,$AS164,0)=AY$6),$AV164,dNULL)</f>
        <v>-99</v>
      </c>
      <c r="AZ164">
        <f ca="1">IF(AND($AT164&lt;3,OFFSET(DATA!$C$14,$AS164,0)=AZ$6),$AV164,dNULL)</f>
        <v>-99</v>
      </c>
      <c r="BA164">
        <f ca="1">IF(AND($AT164&lt;3,OFFSET(DATA!$C$14,$AS164,0)=BA$6),$AV164,dNULL)</f>
        <v>-99</v>
      </c>
      <c r="BB164">
        <f ca="1">IF(AND($AT164&lt;3,OFFSET(DATA!$C$14,$AS164,0)=BB$6),$AV164,dNULL)</f>
        <v>-99</v>
      </c>
      <c r="BC164">
        <f ca="1">IF(AND($AT164&lt;3,OFFSET(DATA!$C$14,$AS164,0)=BC$6),$AV164,dNULL)</f>
        <v>-99</v>
      </c>
      <c r="BD164">
        <f ca="1">IF(AND($AT164&lt;3,OFFSET(DATA!$C$14,$AS164,0)=BD$6),$AV164,dNULL)</f>
        <v>-99</v>
      </c>
      <c r="BE164">
        <f ca="1">IF(AND($AT164&lt;3,OFFSET(DATA!$C$14,$AS164,0)=BE$6),$AV164,dNULL)</f>
        <v>-99</v>
      </c>
      <c r="BF164">
        <f ca="1">IF(AND($AT164&lt;3,OFFSET(DATA!$C$14,$AS164,0)=BF$6),$AV164,dNULL)</f>
        <v>-99</v>
      </c>
      <c r="BG164">
        <f ca="1">IF(AND($AT164&lt;3,OFFSET(DATA!$C$14,$AS164,0)=BG$6),$AV164,dNULL)</f>
        <v>-99</v>
      </c>
      <c r="BH164">
        <f ca="1">IF(AND($AT164&lt;3,OFFSET(DATA!$C$14,$AS164,0)=BH$6),$AV164,dNULL)</f>
        <v>-99</v>
      </c>
      <c r="BU164">
        <f t="shared" si="77"/>
        <v>2</v>
      </c>
      <c r="BV164">
        <f t="shared" si="78"/>
        <v>1.660000000000001</v>
      </c>
      <c r="BW164">
        <f t="shared" ca="1" si="74"/>
        <v>0.28887268573739622</v>
      </c>
      <c r="BX164">
        <f t="shared" ca="1" si="75"/>
        <v>-0.64089113396442166</v>
      </c>
    </row>
    <row r="165" spans="14:76" x14ac:dyDescent="0.25">
      <c r="Y165" s="26"/>
      <c r="Z165" s="26"/>
      <c r="AB165" s="26" t="str">
        <f t="shared" ca="1" si="63"/>
        <v/>
      </c>
      <c r="AC165">
        <f t="shared" ca="1" si="76"/>
        <v>90</v>
      </c>
      <c r="AD165" t="str">
        <f ca="1">IF(AND(AT165&lt;1,MAX(AW165:BH165)&gt;dNULL),DATA!$D173,"")</f>
        <v/>
      </c>
      <c r="AE165" s="7" t="str">
        <f ca="1">IF(LEN(DATA!D173)&gt;0,SUMPRODUCT(OFFSET(DATA!$R$6,AE$5,0,1,10),DATA!$R173:$AA173),"")</f>
        <v/>
      </c>
      <c r="AF165" s="7" t="str">
        <f ca="1">IF(LEN(DATA!E173)&gt;0,SUMPRODUCT(OFFSET(DATA!$R$6,AF$5,0,1,10),DATA!$R173:$AA173),"")</f>
        <v/>
      </c>
      <c r="AG165" s="7" t="str">
        <f ca="1">IF(LEN(DATA!F173)&gt;0,SUMPRODUCT(OFFSET(DATA!$R$6,AG$5,0,1,10),DATA!$R173:$AA173),"")</f>
        <v/>
      </c>
      <c r="AH165" s="7" t="str">
        <f ca="1">IF(LEN(DATA!G173)&gt;0,SUMPRODUCT(OFFSET(DATA!$R$6,AH$5,0,1,10),DATA!$R173:$AA173),"")</f>
        <v/>
      </c>
      <c r="AI165" s="7" t="str">
        <f ca="1">IF(LEN(DATA!H173)&gt;0,SUMPRODUCT(OFFSET(DATA!$R$6,AI$5,0,1,10),DATA!$R173:$AA173),"")</f>
        <v/>
      </c>
      <c r="AJ165" s="7" t="str">
        <f ca="1">IF(LEN(DATA!I173)&gt;0,SUMPRODUCT(OFFSET(DATA!$R$6,AJ$5,0,1,10),DATA!$R173:$AA173),"")</f>
        <v/>
      </c>
      <c r="AK165" s="7"/>
      <c r="AL165" s="7" t="e">
        <f t="shared" ca="1" si="64"/>
        <v>#DIV/0!</v>
      </c>
      <c r="AM165" s="7" t="e">
        <f t="shared" ca="1" si="65"/>
        <v>#DIV/0!</v>
      </c>
      <c r="AN165" s="7" t="e">
        <f t="shared" ca="1" si="66"/>
        <v>#DIV/0!</v>
      </c>
      <c r="AO165" s="7" t="e">
        <f t="shared" ca="1" si="67"/>
        <v>#DIV/0!</v>
      </c>
      <c r="AP165" s="7" t="e">
        <f t="shared" ca="1" si="68"/>
        <v>#DIV/0!</v>
      </c>
      <c r="AQ165" s="7" t="e">
        <f t="shared" ca="1" si="69"/>
        <v>#DIV/0!</v>
      </c>
      <c r="AS165">
        <f t="shared" si="70"/>
        <v>69</v>
      </c>
      <c r="AT165">
        <f t="shared" si="71"/>
        <v>1</v>
      </c>
      <c r="AU165">
        <f t="shared" ca="1" si="72"/>
        <v>1.6871601104773715</v>
      </c>
      <c r="AV165">
        <f t="shared" ca="1" si="73"/>
        <v>0.23306853628050678</v>
      </c>
      <c r="AW165">
        <f ca="1">IF(AND($AT165&lt;3,OFFSET(DATA!$C$14,$AS165,0)=AW$6),$AV165,dNULL)</f>
        <v>-99</v>
      </c>
      <c r="AX165">
        <f ca="1">IF(AND($AT165&lt;3,OFFSET(DATA!$C$14,$AS165,0)=AX$6),$AV165,dNULL)</f>
        <v>-99</v>
      </c>
      <c r="AY165">
        <f ca="1">IF(AND($AT165&lt;3,OFFSET(DATA!$C$14,$AS165,0)=AY$6),$AV165,dNULL)</f>
        <v>-99</v>
      </c>
      <c r="AZ165">
        <f ca="1">IF(AND($AT165&lt;3,OFFSET(DATA!$C$14,$AS165,0)=AZ$6),$AV165,dNULL)</f>
        <v>-99</v>
      </c>
      <c r="BA165">
        <f ca="1">IF(AND($AT165&lt;3,OFFSET(DATA!$C$14,$AS165,0)=BA$6),$AV165,dNULL)</f>
        <v>-99</v>
      </c>
      <c r="BB165">
        <f ca="1">IF(AND($AT165&lt;3,OFFSET(DATA!$C$14,$AS165,0)=BB$6),$AV165,dNULL)</f>
        <v>0.23306853628050678</v>
      </c>
      <c r="BC165">
        <f ca="1">IF(AND($AT165&lt;3,OFFSET(DATA!$C$14,$AS165,0)=BC$6),$AV165,dNULL)</f>
        <v>-99</v>
      </c>
      <c r="BD165">
        <f ca="1">IF(AND($AT165&lt;3,OFFSET(DATA!$C$14,$AS165,0)=BD$6),$AV165,dNULL)</f>
        <v>-99</v>
      </c>
      <c r="BE165">
        <f ca="1">IF(AND($AT165&lt;3,OFFSET(DATA!$C$14,$AS165,0)=BE$6),$AV165,dNULL)</f>
        <v>-99</v>
      </c>
      <c r="BF165">
        <f ca="1">IF(AND($AT165&lt;3,OFFSET(DATA!$C$14,$AS165,0)=BF$6),$AV165,dNULL)</f>
        <v>-99</v>
      </c>
      <c r="BG165">
        <f ca="1">IF(AND($AT165&lt;3,OFFSET(DATA!$C$14,$AS165,0)=BG$6),$AV165,dNULL)</f>
        <v>-99</v>
      </c>
      <c r="BH165">
        <f ca="1">IF(AND($AT165&lt;3,OFFSET(DATA!$C$14,$AS165,0)=BH$6),$AV165,dNULL)</f>
        <v>-99</v>
      </c>
      <c r="BU165">
        <f t="shared" si="77"/>
        <v>2</v>
      </c>
      <c r="BV165">
        <f t="shared" si="78"/>
        <v>1.680000000000001</v>
      </c>
      <c r="BW165">
        <f t="shared" ca="1" si="74"/>
        <v>0.2</v>
      </c>
      <c r="BX165">
        <f t="shared" ca="1" si="75"/>
        <v>-0.2</v>
      </c>
    </row>
    <row r="166" spans="14:76" x14ac:dyDescent="0.25">
      <c r="N166">
        <f>N76+1+dAnionOFF</f>
        <v>2.1</v>
      </c>
      <c r="O166">
        <f t="shared" si="79"/>
        <v>0</v>
      </c>
      <c r="Y166" s="26"/>
      <c r="Z166" s="26"/>
      <c r="AB166" s="26" t="str">
        <f t="shared" ca="1" si="63"/>
        <v/>
      </c>
      <c r="AC166">
        <f t="shared" ca="1" si="76"/>
        <v>90</v>
      </c>
      <c r="AD166" t="str">
        <f ca="1">IF(AND(AT166&lt;1,MAX(AW166:BH166)&gt;dNULL),DATA!$D174,"")</f>
        <v/>
      </c>
      <c r="AE166" s="7" t="str">
        <f ca="1">IF(LEN(DATA!D174)&gt;0,SUMPRODUCT(OFFSET(DATA!$R$6,AE$5,0,1,10),DATA!$R174:$AA174),"")</f>
        <v/>
      </c>
      <c r="AF166" s="7" t="str">
        <f ca="1">IF(LEN(DATA!E174)&gt;0,SUMPRODUCT(OFFSET(DATA!$R$6,AF$5,0,1,10),DATA!$R174:$AA174),"")</f>
        <v/>
      </c>
      <c r="AG166" s="7" t="str">
        <f ca="1">IF(LEN(DATA!F174)&gt;0,SUMPRODUCT(OFFSET(DATA!$R$6,AG$5,0,1,10),DATA!$R174:$AA174),"")</f>
        <v/>
      </c>
      <c r="AH166" s="7" t="str">
        <f ca="1">IF(LEN(DATA!G174)&gt;0,SUMPRODUCT(OFFSET(DATA!$R$6,AH$5,0,1,10),DATA!$R174:$AA174),"")</f>
        <v/>
      </c>
      <c r="AI166" s="7" t="str">
        <f ca="1">IF(LEN(DATA!H174)&gt;0,SUMPRODUCT(OFFSET(DATA!$R$6,AI$5,0,1,10),DATA!$R174:$AA174),"")</f>
        <v/>
      </c>
      <c r="AJ166" s="7" t="str">
        <f ca="1">IF(LEN(DATA!I174)&gt;0,SUMPRODUCT(OFFSET(DATA!$R$6,AJ$5,0,1,10),DATA!$R174:$AA174),"")</f>
        <v/>
      </c>
      <c r="AK166" s="7"/>
      <c r="AL166" s="7" t="e">
        <f t="shared" ca="1" si="64"/>
        <v>#DIV/0!</v>
      </c>
      <c r="AM166" s="7" t="e">
        <f t="shared" ca="1" si="65"/>
        <v>#DIV/0!</v>
      </c>
      <c r="AN166" s="7" t="e">
        <f t="shared" ca="1" si="66"/>
        <v>#DIV/0!</v>
      </c>
      <c r="AO166" s="7" t="e">
        <f t="shared" ca="1" si="67"/>
        <v>#DIV/0!</v>
      </c>
      <c r="AP166" s="7" t="e">
        <f t="shared" ca="1" si="68"/>
        <v>#DIV/0!</v>
      </c>
      <c r="AQ166" s="7" t="e">
        <f t="shared" ca="1" si="69"/>
        <v>#DIV/0!</v>
      </c>
      <c r="AS166">
        <f t="shared" si="70"/>
        <v>70</v>
      </c>
      <c r="AT166">
        <f t="shared" si="71"/>
        <v>1</v>
      </c>
      <c r="AU166">
        <f t="shared" ca="1" si="72"/>
        <v>1.6013132011703812</v>
      </c>
      <c r="AV166">
        <f t="shared" ca="1" si="73"/>
        <v>0.297917116687692</v>
      </c>
      <c r="AW166">
        <f ca="1">IF(AND($AT166&lt;3,OFFSET(DATA!$C$14,$AS166,0)=AW$6),$AV166,dNULL)</f>
        <v>-99</v>
      </c>
      <c r="AX166">
        <f ca="1">IF(AND($AT166&lt;3,OFFSET(DATA!$C$14,$AS166,0)=AX$6),$AV166,dNULL)</f>
        <v>-99</v>
      </c>
      <c r="AY166">
        <f ca="1">IF(AND($AT166&lt;3,OFFSET(DATA!$C$14,$AS166,0)=AY$6),$AV166,dNULL)</f>
        <v>-99</v>
      </c>
      <c r="AZ166">
        <f ca="1">IF(AND($AT166&lt;3,OFFSET(DATA!$C$14,$AS166,0)=AZ$6),$AV166,dNULL)</f>
        <v>0.297917116687692</v>
      </c>
      <c r="BA166">
        <f ca="1">IF(AND($AT166&lt;3,OFFSET(DATA!$C$14,$AS166,0)=BA$6),$AV166,dNULL)</f>
        <v>-99</v>
      </c>
      <c r="BB166">
        <f ca="1">IF(AND($AT166&lt;3,OFFSET(DATA!$C$14,$AS166,0)=BB$6),$AV166,dNULL)</f>
        <v>-99</v>
      </c>
      <c r="BC166">
        <f ca="1">IF(AND($AT166&lt;3,OFFSET(DATA!$C$14,$AS166,0)=BC$6),$AV166,dNULL)</f>
        <v>-99</v>
      </c>
      <c r="BD166">
        <f ca="1">IF(AND($AT166&lt;3,OFFSET(DATA!$C$14,$AS166,0)=BD$6),$AV166,dNULL)</f>
        <v>-99</v>
      </c>
      <c r="BE166">
        <f ca="1">IF(AND($AT166&lt;3,OFFSET(DATA!$C$14,$AS166,0)=BE$6),$AV166,dNULL)</f>
        <v>-99</v>
      </c>
      <c r="BF166">
        <f ca="1">IF(AND($AT166&lt;3,OFFSET(DATA!$C$14,$AS166,0)=BF$6),$AV166,dNULL)</f>
        <v>-99</v>
      </c>
      <c r="BG166">
        <f ca="1">IF(AND($AT166&lt;3,OFFSET(DATA!$C$14,$AS166,0)=BG$6),$AV166,dNULL)</f>
        <v>-99</v>
      </c>
      <c r="BH166">
        <f ca="1">IF(AND($AT166&lt;3,OFFSET(DATA!$C$14,$AS166,0)=BH$6),$AV166,dNULL)</f>
        <v>-99</v>
      </c>
      <c r="BU166">
        <f t="shared" si="77"/>
        <v>2</v>
      </c>
      <c r="BV166">
        <f t="shared" si="78"/>
        <v>1.680000000000001</v>
      </c>
      <c r="BW166">
        <f t="shared" ca="1" si="74"/>
        <v>0.28136806751344667</v>
      </c>
      <c r="BX166">
        <f t="shared" ca="1" si="75"/>
        <v>-0.63106300127011661</v>
      </c>
    </row>
    <row r="167" spans="14:76" x14ac:dyDescent="0.25">
      <c r="N167">
        <f>N77+1+dAnionOFF</f>
        <v>2.1999999999999997</v>
      </c>
      <c r="O167">
        <f t="shared" si="79"/>
        <v>0.17320508075688767</v>
      </c>
      <c r="Y167" s="26"/>
      <c r="Z167" s="26"/>
      <c r="AB167" s="26" t="str">
        <f t="shared" ca="1" si="63"/>
        <v/>
      </c>
      <c r="AC167">
        <f t="shared" ca="1" si="76"/>
        <v>90</v>
      </c>
      <c r="AD167" t="str">
        <f ca="1">IF(AND(AT167&lt;1,MAX(AW167:BH167)&gt;dNULL),DATA!$D175,"")</f>
        <v/>
      </c>
      <c r="AE167" s="7" t="str">
        <f ca="1">IF(LEN(DATA!D175)&gt;0,SUMPRODUCT(OFFSET(DATA!$R$6,AE$5,0,1,10),DATA!$R175:$AA175),"")</f>
        <v/>
      </c>
      <c r="AF167" s="7" t="str">
        <f ca="1">IF(LEN(DATA!E175)&gt;0,SUMPRODUCT(OFFSET(DATA!$R$6,AF$5,0,1,10),DATA!$R175:$AA175),"")</f>
        <v/>
      </c>
      <c r="AG167" s="7" t="str">
        <f ca="1">IF(LEN(DATA!F175)&gt;0,SUMPRODUCT(OFFSET(DATA!$R$6,AG$5,0,1,10),DATA!$R175:$AA175),"")</f>
        <v/>
      </c>
      <c r="AH167" s="7" t="str">
        <f ca="1">IF(LEN(DATA!G175)&gt;0,SUMPRODUCT(OFFSET(DATA!$R$6,AH$5,0,1,10),DATA!$R175:$AA175),"")</f>
        <v/>
      </c>
      <c r="AI167" s="7" t="str">
        <f ca="1">IF(LEN(DATA!H175)&gt;0,SUMPRODUCT(OFFSET(DATA!$R$6,AI$5,0,1,10),DATA!$R175:$AA175),"")</f>
        <v/>
      </c>
      <c r="AJ167" s="7" t="str">
        <f ca="1">IF(LEN(DATA!I175)&gt;0,SUMPRODUCT(OFFSET(DATA!$R$6,AJ$5,0,1,10),DATA!$R175:$AA175),"")</f>
        <v/>
      </c>
      <c r="AK167" s="7"/>
      <c r="AL167" s="7" t="e">
        <f t="shared" ca="1" si="64"/>
        <v>#DIV/0!</v>
      </c>
      <c r="AM167" s="7" t="e">
        <f t="shared" ca="1" si="65"/>
        <v>#DIV/0!</v>
      </c>
      <c r="AN167" s="7" t="e">
        <f t="shared" ca="1" si="66"/>
        <v>#DIV/0!</v>
      </c>
      <c r="AO167" s="7" t="e">
        <f t="shared" ca="1" si="67"/>
        <v>#DIV/0!</v>
      </c>
      <c r="AP167" s="7" t="e">
        <f t="shared" ca="1" si="68"/>
        <v>#DIV/0!</v>
      </c>
      <c r="AQ167" s="7" t="e">
        <f t="shared" ca="1" si="69"/>
        <v>#DIV/0!</v>
      </c>
      <c r="AS167">
        <f t="shared" si="70"/>
        <v>71</v>
      </c>
      <c r="AT167">
        <f t="shared" si="71"/>
        <v>1</v>
      </c>
      <c r="AU167">
        <f t="shared" ca="1" si="72"/>
        <v>1.5041557106384869</v>
      </c>
      <c r="AV167">
        <f t="shared" ca="1" si="73"/>
        <v>0.18992884730755002</v>
      </c>
      <c r="AW167">
        <f ca="1">IF(AND($AT167&lt;3,OFFSET(DATA!$C$14,$AS167,0)=AW$6),$AV167,dNULL)</f>
        <v>0.18992884730755002</v>
      </c>
      <c r="AX167">
        <f ca="1">IF(AND($AT167&lt;3,OFFSET(DATA!$C$14,$AS167,0)=AX$6),$AV167,dNULL)</f>
        <v>-99</v>
      </c>
      <c r="AY167">
        <f ca="1">IF(AND($AT167&lt;3,OFFSET(DATA!$C$14,$AS167,0)=AY$6),$AV167,dNULL)</f>
        <v>-99</v>
      </c>
      <c r="AZ167">
        <f ca="1">IF(AND($AT167&lt;3,OFFSET(DATA!$C$14,$AS167,0)=AZ$6),$AV167,dNULL)</f>
        <v>-99</v>
      </c>
      <c r="BA167">
        <f ca="1">IF(AND($AT167&lt;3,OFFSET(DATA!$C$14,$AS167,0)=BA$6),$AV167,dNULL)</f>
        <v>-99</v>
      </c>
      <c r="BB167">
        <f ca="1">IF(AND($AT167&lt;3,OFFSET(DATA!$C$14,$AS167,0)=BB$6),$AV167,dNULL)</f>
        <v>-99</v>
      </c>
      <c r="BC167">
        <f ca="1">IF(AND($AT167&lt;3,OFFSET(DATA!$C$14,$AS167,0)=BC$6),$AV167,dNULL)</f>
        <v>-99</v>
      </c>
      <c r="BD167">
        <f ca="1">IF(AND($AT167&lt;3,OFFSET(DATA!$C$14,$AS167,0)=BD$6),$AV167,dNULL)</f>
        <v>-99</v>
      </c>
      <c r="BE167">
        <f ca="1">IF(AND($AT167&lt;3,OFFSET(DATA!$C$14,$AS167,0)=BE$6),$AV167,dNULL)</f>
        <v>-99</v>
      </c>
      <c r="BF167">
        <f ca="1">IF(AND($AT167&lt;3,OFFSET(DATA!$C$14,$AS167,0)=BF$6),$AV167,dNULL)</f>
        <v>-99</v>
      </c>
      <c r="BG167">
        <f ca="1">IF(AND($AT167&lt;3,OFFSET(DATA!$C$14,$AS167,0)=BG$6),$AV167,dNULL)</f>
        <v>-99</v>
      </c>
      <c r="BH167">
        <f ca="1">IF(AND($AT167&lt;3,OFFSET(DATA!$C$14,$AS167,0)=BH$6),$AV167,dNULL)</f>
        <v>-99</v>
      </c>
      <c r="BU167">
        <f t="shared" si="77"/>
        <v>2</v>
      </c>
      <c r="BV167">
        <f t="shared" si="78"/>
        <v>1.7000000000000011</v>
      </c>
      <c r="BW167">
        <f t="shared" ca="1" si="74"/>
        <v>0.2</v>
      </c>
      <c r="BX167">
        <f t="shared" ca="1" si="75"/>
        <v>-0.2</v>
      </c>
    </row>
    <row r="168" spans="14:76" x14ac:dyDescent="0.25">
      <c r="Y168" s="26"/>
      <c r="Z168" s="26"/>
      <c r="AB168" s="26" t="str">
        <f t="shared" ca="1" si="63"/>
        <v/>
      </c>
      <c r="AC168">
        <f t="shared" ca="1" si="76"/>
        <v>90</v>
      </c>
      <c r="AD168" t="str">
        <f ca="1">IF(AND(AT168&lt;1,MAX(AW168:BH168)&gt;dNULL),DATA!$D176,"")</f>
        <v/>
      </c>
      <c r="AE168" s="7" t="str">
        <f ca="1">IF(LEN(DATA!D176)&gt;0,SUMPRODUCT(OFFSET(DATA!$R$6,AE$5,0,1,10),DATA!$R176:$AA176),"")</f>
        <v/>
      </c>
      <c r="AF168" s="7" t="str">
        <f ca="1">IF(LEN(DATA!E176)&gt;0,SUMPRODUCT(OFFSET(DATA!$R$6,AF$5,0,1,10),DATA!$R176:$AA176),"")</f>
        <v/>
      </c>
      <c r="AG168" s="7" t="str">
        <f ca="1">IF(LEN(DATA!F176)&gt;0,SUMPRODUCT(OFFSET(DATA!$R$6,AG$5,0,1,10),DATA!$R176:$AA176),"")</f>
        <v/>
      </c>
      <c r="AH168" s="7" t="str">
        <f ca="1">IF(LEN(DATA!G176)&gt;0,SUMPRODUCT(OFFSET(DATA!$R$6,AH$5,0,1,10),DATA!$R176:$AA176),"")</f>
        <v/>
      </c>
      <c r="AI168" s="7" t="str">
        <f ca="1">IF(LEN(DATA!H176)&gt;0,SUMPRODUCT(OFFSET(DATA!$R$6,AI$5,0,1,10),DATA!$R176:$AA176),"")</f>
        <v/>
      </c>
      <c r="AJ168" s="7" t="str">
        <f ca="1">IF(LEN(DATA!I176)&gt;0,SUMPRODUCT(OFFSET(DATA!$R$6,AJ$5,0,1,10),DATA!$R176:$AA176),"")</f>
        <v/>
      </c>
      <c r="AK168" s="7"/>
      <c r="AL168" s="7" t="e">
        <f t="shared" ca="1" si="64"/>
        <v>#DIV/0!</v>
      </c>
      <c r="AM168" s="7" t="e">
        <f t="shared" ca="1" si="65"/>
        <v>#DIV/0!</v>
      </c>
      <c r="AN168" s="7" t="e">
        <f t="shared" ca="1" si="66"/>
        <v>#DIV/0!</v>
      </c>
      <c r="AO168" s="7" t="e">
        <f t="shared" ca="1" si="67"/>
        <v>#DIV/0!</v>
      </c>
      <c r="AP168" s="7" t="e">
        <f t="shared" ca="1" si="68"/>
        <v>#DIV/0!</v>
      </c>
      <c r="AQ168" s="7" t="e">
        <f t="shared" ca="1" si="69"/>
        <v>#DIV/0!</v>
      </c>
      <c r="AS168">
        <f t="shared" si="70"/>
        <v>72</v>
      </c>
      <c r="AT168">
        <f t="shared" si="71"/>
        <v>1</v>
      </c>
      <c r="AU168">
        <f t="shared" ca="1" si="72"/>
        <v>1.5049643244663691</v>
      </c>
      <c r="AV168">
        <f t="shared" ca="1" si="73"/>
        <v>0.18865862411262552</v>
      </c>
      <c r="AW168">
        <f ca="1">IF(AND($AT168&lt;3,OFFSET(DATA!$C$14,$AS168,0)=AW$6),$AV168,dNULL)</f>
        <v>0.18865862411262552</v>
      </c>
      <c r="AX168">
        <f ca="1">IF(AND($AT168&lt;3,OFFSET(DATA!$C$14,$AS168,0)=AX$6),$AV168,dNULL)</f>
        <v>-99</v>
      </c>
      <c r="AY168">
        <f ca="1">IF(AND($AT168&lt;3,OFFSET(DATA!$C$14,$AS168,0)=AY$6),$AV168,dNULL)</f>
        <v>-99</v>
      </c>
      <c r="AZ168">
        <f ca="1">IF(AND($AT168&lt;3,OFFSET(DATA!$C$14,$AS168,0)=AZ$6),$AV168,dNULL)</f>
        <v>-99</v>
      </c>
      <c r="BA168">
        <f ca="1">IF(AND($AT168&lt;3,OFFSET(DATA!$C$14,$AS168,0)=BA$6),$AV168,dNULL)</f>
        <v>-99</v>
      </c>
      <c r="BB168">
        <f ca="1">IF(AND($AT168&lt;3,OFFSET(DATA!$C$14,$AS168,0)=BB$6),$AV168,dNULL)</f>
        <v>-99</v>
      </c>
      <c r="BC168">
        <f ca="1">IF(AND($AT168&lt;3,OFFSET(DATA!$C$14,$AS168,0)=BC$6),$AV168,dNULL)</f>
        <v>-99</v>
      </c>
      <c r="BD168">
        <f ca="1">IF(AND($AT168&lt;3,OFFSET(DATA!$C$14,$AS168,0)=BD$6),$AV168,dNULL)</f>
        <v>-99</v>
      </c>
      <c r="BE168">
        <f ca="1">IF(AND($AT168&lt;3,OFFSET(DATA!$C$14,$AS168,0)=BE$6),$AV168,dNULL)</f>
        <v>-99</v>
      </c>
      <c r="BF168">
        <f ca="1">IF(AND($AT168&lt;3,OFFSET(DATA!$C$14,$AS168,0)=BF$6),$AV168,dNULL)</f>
        <v>-99</v>
      </c>
      <c r="BG168">
        <f ca="1">IF(AND($AT168&lt;3,OFFSET(DATA!$C$14,$AS168,0)=BG$6),$AV168,dNULL)</f>
        <v>-99</v>
      </c>
      <c r="BH168">
        <f ca="1">IF(AND($AT168&lt;3,OFFSET(DATA!$C$14,$AS168,0)=BH$6),$AV168,dNULL)</f>
        <v>-99</v>
      </c>
      <c r="BU168">
        <f t="shared" si="77"/>
        <v>2</v>
      </c>
      <c r="BV168">
        <f t="shared" si="78"/>
        <v>1.7000000000000011</v>
      </c>
      <c r="BW168">
        <f t="shared" ca="1" si="74"/>
        <v>0.27386344928949713</v>
      </c>
      <c r="BX168">
        <f t="shared" ca="1" si="75"/>
        <v>-0.62123486857581156</v>
      </c>
    </row>
    <row r="169" spans="14:76" x14ac:dyDescent="0.25">
      <c r="N169">
        <f>N79+1+dAnionOFF</f>
        <v>-97.7</v>
      </c>
      <c r="O169">
        <f t="shared" si="79"/>
        <v>0</v>
      </c>
      <c r="Y169" s="26"/>
      <c r="Z169" s="26"/>
      <c r="AB169" s="26" t="str">
        <f t="shared" ca="1" si="63"/>
        <v/>
      </c>
      <c r="AC169">
        <f t="shared" ca="1" si="76"/>
        <v>90</v>
      </c>
      <c r="AD169" t="str">
        <f ca="1">IF(AND(AT169&lt;1,MAX(AW169:BH169)&gt;dNULL),DATA!$D177,"")</f>
        <v/>
      </c>
      <c r="AE169" s="7" t="str">
        <f ca="1">IF(LEN(DATA!D177)&gt;0,SUMPRODUCT(OFFSET(DATA!$R$6,AE$5,0,1,10),DATA!$R177:$AA177),"")</f>
        <v/>
      </c>
      <c r="AF169" s="7" t="str">
        <f ca="1">IF(LEN(DATA!E177)&gt;0,SUMPRODUCT(OFFSET(DATA!$R$6,AF$5,0,1,10),DATA!$R177:$AA177),"")</f>
        <v/>
      </c>
      <c r="AG169" s="7" t="str">
        <f ca="1">IF(LEN(DATA!F177)&gt;0,SUMPRODUCT(OFFSET(DATA!$R$6,AG$5,0,1,10),DATA!$R177:$AA177),"")</f>
        <v/>
      </c>
      <c r="AH169" s="7" t="str">
        <f ca="1">IF(LEN(DATA!G177)&gt;0,SUMPRODUCT(OFFSET(DATA!$R$6,AH$5,0,1,10),DATA!$R177:$AA177),"")</f>
        <v/>
      </c>
      <c r="AI169" s="7" t="str">
        <f ca="1">IF(LEN(DATA!H177)&gt;0,SUMPRODUCT(OFFSET(DATA!$R$6,AI$5,0,1,10),DATA!$R177:$AA177),"")</f>
        <v/>
      </c>
      <c r="AJ169" s="7" t="str">
        <f ca="1">IF(LEN(DATA!I177)&gt;0,SUMPRODUCT(OFFSET(DATA!$R$6,AJ$5,0,1,10),DATA!$R177:$AA177),"")</f>
        <v/>
      </c>
      <c r="AK169" s="7"/>
      <c r="AL169" s="7" t="e">
        <f t="shared" ca="1" si="64"/>
        <v>#DIV/0!</v>
      </c>
      <c r="AM169" s="7" t="e">
        <f t="shared" ca="1" si="65"/>
        <v>#DIV/0!</v>
      </c>
      <c r="AN169" s="7" t="e">
        <f t="shared" ca="1" si="66"/>
        <v>#DIV/0!</v>
      </c>
      <c r="AO169" s="7" t="e">
        <f t="shared" ca="1" si="67"/>
        <v>#DIV/0!</v>
      </c>
      <c r="AP169" s="7" t="e">
        <f t="shared" ca="1" si="68"/>
        <v>#DIV/0!</v>
      </c>
      <c r="AQ169" s="7" t="e">
        <f t="shared" ca="1" si="69"/>
        <v>#DIV/0!</v>
      </c>
      <c r="AS169">
        <f t="shared" si="70"/>
        <v>73</v>
      </c>
      <c r="AT169">
        <f t="shared" si="71"/>
        <v>1</v>
      </c>
      <c r="AU169">
        <f t="shared" ca="1" si="72"/>
        <v>1.504699581942776</v>
      </c>
      <c r="AV169">
        <f t="shared" ca="1" si="73"/>
        <v>0.19409000843100549</v>
      </c>
      <c r="AW169">
        <f ca="1">IF(AND($AT169&lt;3,OFFSET(DATA!$C$14,$AS169,0)=AW$6),$AV169,dNULL)</f>
        <v>0.19409000843100549</v>
      </c>
      <c r="AX169">
        <f ca="1">IF(AND($AT169&lt;3,OFFSET(DATA!$C$14,$AS169,0)=AX$6),$AV169,dNULL)</f>
        <v>-99</v>
      </c>
      <c r="AY169">
        <f ca="1">IF(AND($AT169&lt;3,OFFSET(DATA!$C$14,$AS169,0)=AY$6),$AV169,dNULL)</f>
        <v>-99</v>
      </c>
      <c r="AZ169">
        <f ca="1">IF(AND($AT169&lt;3,OFFSET(DATA!$C$14,$AS169,0)=AZ$6),$AV169,dNULL)</f>
        <v>-99</v>
      </c>
      <c r="BA169">
        <f ca="1">IF(AND($AT169&lt;3,OFFSET(DATA!$C$14,$AS169,0)=BA$6),$AV169,dNULL)</f>
        <v>-99</v>
      </c>
      <c r="BB169">
        <f ca="1">IF(AND($AT169&lt;3,OFFSET(DATA!$C$14,$AS169,0)=BB$6),$AV169,dNULL)</f>
        <v>-99</v>
      </c>
      <c r="BC169">
        <f ca="1">IF(AND($AT169&lt;3,OFFSET(DATA!$C$14,$AS169,0)=BC$6),$AV169,dNULL)</f>
        <v>-99</v>
      </c>
      <c r="BD169">
        <f ca="1">IF(AND($AT169&lt;3,OFFSET(DATA!$C$14,$AS169,0)=BD$6),$AV169,dNULL)</f>
        <v>-99</v>
      </c>
      <c r="BE169">
        <f ca="1">IF(AND($AT169&lt;3,OFFSET(DATA!$C$14,$AS169,0)=BE$6),$AV169,dNULL)</f>
        <v>-99</v>
      </c>
      <c r="BF169">
        <f ca="1">IF(AND($AT169&lt;3,OFFSET(DATA!$C$14,$AS169,0)=BF$6),$AV169,dNULL)</f>
        <v>-99</v>
      </c>
      <c r="BG169">
        <f ca="1">IF(AND($AT169&lt;3,OFFSET(DATA!$C$14,$AS169,0)=BG$6),$AV169,dNULL)</f>
        <v>-99</v>
      </c>
      <c r="BH169">
        <f ca="1">IF(AND($AT169&lt;3,OFFSET(DATA!$C$14,$AS169,0)=BH$6),$AV169,dNULL)</f>
        <v>-99</v>
      </c>
      <c r="BU169">
        <f t="shared" si="77"/>
        <v>2</v>
      </c>
      <c r="BV169">
        <f t="shared" si="78"/>
        <v>1.7200000000000011</v>
      </c>
      <c r="BW169">
        <f t="shared" ca="1" si="74"/>
        <v>0.2</v>
      </c>
      <c r="BX169">
        <f t="shared" ca="1" si="75"/>
        <v>-0.2</v>
      </c>
    </row>
    <row r="170" spans="14:76" x14ac:dyDescent="0.25">
      <c r="N170">
        <f>N80+1+dAnionOFF</f>
        <v>-47.7</v>
      </c>
      <c r="O170">
        <f t="shared" si="79"/>
        <v>86.602540378443862</v>
      </c>
      <c r="Y170" s="26"/>
      <c r="Z170" s="26"/>
      <c r="AB170" s="26" t="str">
        <f t="shared" ca="1" si="63"/>
        <v/>
      </c>
      <c r="AC170">
        <f t="shared" ca="1" si="76"/>
        <v>90</v>
      </c>
      <c r="AD170" t="str">
        <f ca="1">IF(AND(AT170&lt;1,MAX(AW170:BH170)&gt;dNULL),DATA!$D178,"")</f>
        <v/>
      </c>
      <c r="AE170" s="7" t="str">
        <f ca="1">IF(LEN(DATA!D178)&gt;0,SUMPRODUCT(OFFSET(DATA!$R$6,AE$5,0,1,10),DATA!$R178:$AA178),"")</f>
        <v/>
      </c>
      <c r="AF170" s="7" t="str">
        <f ca="1">IF(LEN(DATA!E178)&gt;0,SUMPRODUCT(OFFSET(DATA!$R$6,AF$5,0,1,10),DATA!$R178:$AA178),"")</f>
        <v/>
      </c>
      <c r="AG170" s="7" t="str">
        <f ca="1">IF(LEN(DATA!F178)&gt;0,SUMPRODUCT(OFFSET(DATA!$R$6,AG$5,0,1,10),DATA!$R178:$AA178),"")</f>
        <v/>
      </c>
      <c r="AH170" s="7" t="str">
        <f ca="1">IF(LEN(DATA!G178)&gt;0,SUMPRODUCT(OFFSET(DATA!$R$6,AH$5,0,1,10),DATA!$R178:$AA178),"")</f>
        <v/>
      </c>
      <c r="AI170" s="7" t="str">
        <f ca="1">IF(LEN(DATA!H178)&gt;0,SUMPRODUCT(OFFSET(DATA!$R$6,AI$5,0,1,10),DATA!$R178:$AA178),"")</f>
        <v/>
      </c>
      <c r="AJ170" s="7" t="str">
        <f ca="1">IF(LEN(DATA!I178)&gt;0,SUMPRODUCT(OFFSET(DATA!$R$6,AJ$5,0,1,10),DATA!$R178:$AA178),"")</f>
        <v/>
      </c>
      <c r="AK170" s="7"/>
      <c r="AL170" s="7" t="e">
        <f t="shared" ca="1" si="64"/>
        <v>#DIV/0!</v>
      </c>
      <c r="AM170" s="7" t="e">
        <f t="shared" ca="1" si="65"/>
        <v>#DIV/0!</v>
      </c>
      <c r="AN170" s="7" t="e">
        <f t="shared" ca="1" si="66"/>
        <v>#DIV/0!</v>
      </c>
      <c r="AO170" s="7" t="e">
        <f t="shared" ca="1" si="67"/>
        <v>#DIV/0!</v>
      </c>
      <c r="AP170" s="7" t="e">
        <f t="shared" ca="1" si="68"/>
        <v>#DIV/0!</v>
      </c>
      <c r="AQ170" s="7" t="e">
        <f t="shared" ca="1" si="69"/>
        <v>#DIV/0!</v>
      </c>
      <c r="AS170">
        <f t="shared" si="70"/>
        <v>74</v>
      </c>
      <c r="AT170">
        <f t="shared" si="71"/>
        <v>1</v>
      </c>
      <c r="AU170">
        <f t="shared" ca="1" si="72"/>
        <v>1.5234246281027908</v>
      </c>
      <c r="AV170">
        <f t="shared" ca="1" si="73"/>
        <v>0.20417156224849164</v>
      </c>
      <c r="AW170">
        <f ca="1">IF(AND($AT170&lt;3,OFFSET(DATA!$C$14,$AS170,0)=AW$6),$AV170,dNULL)</f>
        <v>0.20417156224849164</v>
      </c>
      <c r="AX170">
        <f ca="1">IF(AND($AT170&lt;3,OFFSET(DATA!$C$14,$AS170,0)=AX$6),$AV170,dNULL)</f>
        <v>-99</v>
      </c>
      <c r="AY170">
        <f ca="1">IF(AND($AT170&lt;3,OFFSET(DATA!$C$14,$AS170,0)=AY$6),$AV170,dNULL)</f>
        <v>-99</v>
      </c>
      <c r="AZ170">
        <f ca="1">IF(AND($AT170&lt;3,OFFSET(DATA!$C$14,$AS170,0)=AZ$6),$AV170,dNULL)</f>
        <v>-99</v>
      </c>
      <c r="BA170">
        <f ca="1">IF(AND($AT170&lt;3,OFFSET(DATA!$C$14,$AS170,0)=BA$6),$AV170,dNULL)</f>
        <v>-99</v>
      </c>
      <c r="BB170">
        <f ca="1">IF(AND($AT170&lt;3,OFFSET(DATA!$C$14,$AS170,0)=BB$6),$AV170,dNULL)</f>
        <v>-99</v>
      </c>
      <c r="BC170">
        <f ca="1">IF(AND($AT170&lt;3,OFFSET(DATA!$C$14,$AS170,0)=BC$6),$AV170,dNULL)</f>
        <v>-99</v>
      </c>
      <c r="BD170">
        <f ca="1">IF(AND($AT170&lt;3,OFFSET(DATA!$C$14,$AS170,0)=BD$6),$AV170,dNULL)</f>
        <v>-99</v>
      </c>
      <c r="BE170">
        <f ca="1">IF(AND($AT170&lt;3,OFFSET(DATA!$C$14,$AS170,0)=BE$6),$AV170,dNULL)</f>
        <v>-99</v>
      </c>
      <c r="BF170">
        <f ca="1">IF(AND($AT170&lt;3,OFFSET(DATA!$C$14,$AS170,0)=BF$6),$AV170,dNULL)</f>
        <v>-99</v>
      </c>
      <c r="BG170">
        <f ca="1">IF(AND($AT170&lt;3,OFFSET(DATA!$C$14,$AS170,0)=BG$6),$AV170,dNULL)</f>
        <v>-99</v>
      </c>
      <c r="BH170">
        <f ca="1">IF(AND($AT170&lt;3,OFFSET(DATA!$C$14,$AS170,0)=BH$6),$AV170,dNULL)</f>
        <v>-99</v>
      </c>
      <c r="BU170">
        <f t="shared" si="77"/>
        <v>2</v>
      </c>
      <c r="BV170">
        <f t="shared" si="78"/>
        <v>1.7200000000000011</v>
      </c>
      <c r="BW170">
        <f t="shared" ca="1" si="74"/>
        <v>0.26635883106554753</v>
      </c>
      <c r="BX170">
        <f t="shared" ca="1" si="75"/>
        <v>-0.61140673588150629</v>
      </c>
    </row>
    <row r="171" spans="14:76" x14ac:dyDescent="0.25">
      <c r="Y171" s="26"/>
      <c r="Z171" s="26"/>
      <c r="AB171" s="26" t="str">
        <f t="shared" ca="1" si="63"/>
        <v/>
      </c>
      <c r="AC171">
        <f t="shared" ca="1" si="76"/>
        <v>90</v>
      </c>
      <c r="AD171" t="str">
        <f ca="1">IF(AND(AT171&lt;1,MAX(AW171:BH171)&gt;dNULL),DATA!$D179,"")</f>
        <v/>
      </c>
      <c r="AE171" s="7" t="str">
        <f ca="1">IF(LEN(DATA!D179)&gt;0,SUMPRODUCT(OFFSET(DATA!$R$6,AE$5,0,1,10),DATA!$R179:$AA179),"")</f>
        <v/>
      </c>
      <c r="AF171" s="7" t="str">
        <f ca="1">IF(LEN(DATA!E179)&gt;0,SUMPRODUCT(OFFSET(DATA!$R$6,AF$5,0,1,10),DATA!$R179:$AA179),"")</f>
        <v/>
      </c>
      <c r="AG171" s="7" t="str">
        <f ca="1">IF(LEN(DATA!F179)&gt;0,SUMPRODUCT(OFFSET(DATA!$R$6,AG$5,0,1,10),DATA!$R179:$AA179),"")</f>
        <v/>
      </c>
      <c r="AH171" s="7" t="str">
        <f ca="1">IF(LEN(DATA!G179)&gt;0,SUMPRODUCT(OFFSET(DATA!$R$6,AH$5,0,1,10),DATA!$R179:$AA179),"")</f>
        <v/>
      </c>
      <c r="AI171" s="7" t="str">
        <f ca="1">IF(LEN(DATA!H179)&gt;0,SUMPRODUCT(OFFSET(DATA!$R$6,AI$5,0,1,10),DATA!$R179:$AA179),"")</f>
        <v/>
      </c>
      <c r="AJ171" s="7" t="str">
        <f ca="1">IF(LEN(DATA!I179)&gt;0,SUMPRODUCT(OFFSET(DATA!$R$6,AJ$5,0,1,10),DATA!$R179:$AA179),"")</f>
        <v/>
      </c>
      <c r="AK171" s="7"/>
      <c r="AL171" s="7" t="e">
        <f t="shared" ca="1" si="64"/>
        <v>#DIV/0!</v>
      </c>
      <c r="AM171" s="7" t="e">
        <f t="shared" ca="1" si="65"/>
        <v>#DIV/0!</v>
      </c>
      <c r="AN171" s="7" t="e">
        <f t="shared" ca="1" si="66"/>
        <v>#DIV/0!</v>
      </c>
      <c r="AO171" s="7" t="e">
        <f t="shared" ca="1" si="67"/>
        <v>#DIV/0!</v>
      </c>
      <c r="AP171" s="7" t="e">
        <f t="shared" ca="1" si="68"/>
        <v>#DIV/0!</v>
      </c>
      <c r="AQ171" s="7" t="e">
        <f t="shared" ca="1" si="69"/>
        <v>#DIV/0!</v>
      </c>
      <c r="AS171">
        <f t="shared" si="70"/>
        <v>75</v>
      </c>
      <c r="AT171">
        <f t="shared" si="71"/>
        <v>1</v>
      </c>
      <c r="AU171">
        <f t="shared" ca="1" si="72"/>
        <v>1.5986682890724477</v>
      </c>
      <c r="AV171">
        <f t="shared" ca="1" si="73"/>
        <v>0.27948183909694985</v>
      </c>
      <c r="AW171">
        <f ca="1">IF(AND($AT171&lt;3,OFFSET(DATA!$C$14,$AS171,0)=AW$6),$AV171,dNULL)</f>
        <v>-99</v>
      </c>
      <c r="AX171">
        <f ca="1">IF(AND($AT171&lt;3,OFFSET(DATA!$C$14,$AS171,0)=AX$6),$AV171,dNULL)</f>
        <v>-99</v>
      </c>
      <c r="AY171">
        <f ca="1">IF(AND($AT171&lt;3,OFFSET(DATA!$C$14,$AS171,0)=AY$6),$AV171,dNULL)</f>
        <v>-99</v>
      </c>
      <c r="AZ171">
        <f ca="1">IF(AND($AT171&lt;3,OFFSET(DATA!$C$14,$AS171,0)=AZ$6),$AV171,dNULL)</f>
        <v>0.27948183909694985</v>
      </c>
      <c r="BA171">
        <f ca="1">IF(AND($AT171&lt;3,OFFSET(DATA!$C$14,$AS171,0)=BA$6),$AV171,dNULL)</f>
        <v>-99</v>
      </c>
      <c r="BB171">
        <f ca="1">IF(AND($AT171&lt;3,OFFSET(DATA!$C$14,$AS171,0)=BB$6),$AV171,dNULL)</f>
        <v>-99</v>
      </c>
      <c r="BC171">
        <f ca="1">IF(AND($AT171&lt;3,OFFSET(DATA!$C$14,$AS171,0)=BC$6),$AV171,dNULL)</f>
        <v>-99</v>
      </c>
      <c r="BD171">
        <f ca="1">IF(AND($AT171&lt;3,OFFSET(DATA!$C$14,$AS171,0)=BD$6),$AV171,dNULL)</f>
        <v>-99</v>
      </c>
      <c r="BE171">
        <f ca="1">IF(AND($AT171&lt;3,OFFSET(DATA!$C$14,$AS171,0)=BE$6),$AV171,dNULL)</f>
        <v>-99</v>
      </c>
      <c r="BF171">
        <f ca="1">IF(AND($AT171&lt;3,OFFSET(DATA!$C$14,$AS171,0)=BF$6),$AV171,dNULL)</f>
        <v>-99</v>
      </c>
      <c r="BG171">
        <f ca="1">IF(AND($AT171&lt;3,OFFSET(DATA!$C$14,$AS171,0)=BG$6),$AV171,dNULL)</f>
        <v>-99</v>
      </c>
      <c r="BH171">
        <f ca="1">IF(AND($AT171&lt;3,OFFSET(DATA!$C$14,$AS171,0)=BH$6),$AV171,dNULL)</f>
        <v>-99</v>
      </c>
      <c r="BU171">
        <f t="shared" si="77"/>
        <v>2</v>
      </c>
      <c r="BV171">
        <f t="shared" si="78"/>
        <v>1.7400000000000011</v>
      </c>
      <c r="BW171">
        <f t="shared" ca="1" si="74"/>
        <v>0.2</v>
      </c>
      <c r="BX171">
        <f t="shared" ca="1" si="75"/>
        <v>-0.2</v>
      </c>
    </row>
    <row r="172" spans="14:76" x14ac:dyDescent="0.25">
      <c r="N172">
        <f>N82+1+dAnionOFF</f>
        <v>-97.5</v>
      </c>
      <c r="O172">
        <f t="shared" si="79"/>
        <v>0</v>
      </c>
      <c r="Y172" s="26"/>
      <c r="Z172" s="26"/>
      <c r="AB172" s="26" t="str">
        <f t="shared" ca="1" si="63"/>
        <v/>
      </c>
      <c r="AC172">
        <f t="shared" ca="1" si="76"/>
        <v>90</v>
      </c>
      <c r="AD172" t="str">
        <f ca="1">IF(AND(AT172&lt;1,MAX(AW172:BH172)&gt;dNULL),DATA!$D180,"")</f>
        <v/>
      </c>
      <c r="AE172" s="7" t="str">
        <f ca="1">IF(LEN(DATA!D180)&gt;0,SUMPRODUCT(OFFSET(DATA!$R$6,AE$5,0,1,10),DATA!$R180:$AA180),"")</f>
        <v/>
      </c>
      <c r="AF172" s="7" t="str">
        <f ca="1">IF(LEN(DATA!E180)&gt;0,SUMPRODUCT(OFFSET(DATA!$R$6,AF$5,0,1,10),DATA!$R180:$AA180),"")</f>
        <v/>
      </c>
      <c r="AG172" s="7" t="str">
        <f ca="1">IF(LEN(DATA!F180)&gt;0,SUMPRODUCT(OFFSET(DATA!$R$6,AG$5,0,1,10),DATA!$R180:$AA180),"")</f>
        <v/>
      </c>
      <c r="AH172" s="7" t="str">
        <f ca="1">IF(LEN(DATA!G180)&gt;0,SUMPRODUCT(OFFSET(DATA!$R$6,AH$5,0,1,10),DATA!$R180:$AA180),"")</f>
        <v/>
      </c>
      <c r="AI172" s="7" t="str">
        <f ca="1">IF(LEN(DATA!H180)&gt;0,SUMPRODUCT(OFFSET(DATA!$R$6,AI$5,0,1,10),DATA!$R180:$AA180),"")</f>
        <v/>
      </c>
      <c r="AJ172" s="7" t="str">
        <f ca="1">IF(LEN(DATA!I180)&gt;0,SUMPRODUCT(OFFSET(DATA!$R$6,AJ$5,0,1,10),DATA!$R180:$AA180),"")</f>
        <v/>
      </c>
      <c r="AK172" s="7"/>
      <c r="AL172" s="7" t="e">
        <f t="shared" ca="1" si="64"/>
        <v>#DIV/0!</v>
      </c>
      <c r="AM172" s="7" t="e">
        <f t="shared" ca="1" si="65"/>
        <v>#DIV/0!</v>
      </c>
      <c r="AN172" s="7" t="e">
        <f t="shared" ca="1" si="66"/>
        <v>#DIV/0!</v>
      </c>
      <c r="AO172" s="7" t="e">
        <f t="shared" ca="1" si="67"/>
        <v>#DIV/0!</v>
      </c>
      <c r="AP172" s="7" t="e">
        <f t="shared" ca="1" si="68"/>
        <v>#DIV/0!</v>
      </c>
      <c r="AQ172" s="7" t="e">
        <f t="shared" ca="1" si="69"/>
        <v>#DIV/0!</v>
      </c>
      <c r="AS172">
        <f t="shared" si="70"/>
        <v>76</v>
      </c>
      <c r="AT172">
        <f t="shared" si="71"/>
        <v>1</v>
      </c>
      <c r="AU172">
        <f t="shared" ca="1" si="72"/>
        <v>1.6119147557434137</v>
      </c>
      <c r="AV172">
        <f t="shared" ca="1" si="73"/>
        <v>0.30551800930257511</v>
      </c>
      <c r="AW172">
        <f ca="1">IF(AND($AT172&lt;3,OFFSET(DATA!$C$14,$AS172,0)=AW$6),$AV172,dNULL)</f>
        <v>-99</v>
      </c>
      <c r="AX172">
        <f ca="1">IF(AND($AT172&lt;3,OFFSET(DATA!$C$14,$AS172,0)=AX$6),$AV172,dNULL)</f>
        <v>-99</v>
      </c>
      <c r="AY172">
        <f ca="1">IF(AND($AT172&lt;3,OFFSET(DATA!$C$14,$AS172,0)=AY$6),$AV172,dNULL)</f>
        <v>-99</v>
      </c>
      <c r="AZ172">
        <f ca="1">IF(AND($AT172&lt;3,OFFSET(DATA!$C$14,$AS172,0)=AZ$6),$AV172,dNULL)</f>
        <v>0.30551800930257511</v>
      </c>
      <c r="BA172">
        <f ca="1">IF(AND($AT172&lt;3,OFFSET(DATA!$C$14,$AS172,0)=BA$6),$AV172,dNULL)</f>
        <v>-99</v>
      </c>
      <c r="BB172">
        <f ca="1">IF(AND($AT172&lt;3,OFFSET(DATA!$C$14,$AS172,0)=BB$6),$AV172,dNULL)</f>
        <v>-99</v>
      </c>
      <c r="BC172">
        <f ca="1">IF(AND($AT172&lt;3,OFFSET(DATA!$C$14,$AS172,0)=BC$6),$AV172,dNULL)</f>
        <v>-99</v>
      </c>
      <c r="BD172">
        <f ca="1">IF(AND($AT172&lt;3,OFFSET(DATA!$C$14,$AS172,0)=BD$6),$AV172,dNULL)</f>
        <v>-99</v>
      </c>
      <c r="BE172">
        <f ca="1">IF(AND($AT172&lt;3,OFFSET(DATA!$C$14,$AS172,0)=BE$6),$AV172,dNULL)</f>
        <v>-99</v>
      </c>
      <c r="BF172">
        <f ca="1">IF(AND($AT172&lt;3,OFFSET(DATA!$C$14,$AS172,0)=BF$6),$AV172,dNULL)</f>
        <v>-99</v>
      </c>
      <c r="BG172">
        <f ca="1">IF(AND($AT172&lt;3,OFFSET(DATA!$C$14,$AS172,0)=BG$6),$AV172,dNULL)</f>
        <v>-99</v>
      </c>
      <c r="BH172">
        <f ca="1">IF(AND($AT172&lt;3,OFFSET(DATA!$C$14,$AS172,0)=BH$6),$AV172,dNULL)</f>
        <v>-99</v>
      </c>
      <c r="BU172">
        <f t="shared" si="77"/>
        <v>2</v>
      </c>
      <c r="BV172">
        <f t="shared" si="78"/>
        <v>1.7400000000000011</v>
      </c>
      <c r="BW172">
        <f t="shared" ca="1" si="74"/>
        <v>0.25885421284159799</v>
      </c>
      <c r="BX172">
        <f t="shared" ca="1" si="75"/>
        <v>-0.60157860318720124</v>
      </c>
    </row>
    <row r="173" spans="14:76" x14ac:dyDescent="0.25">
      <c r="N173">
        <f>N83+1+dAnionOFF</f>
        <v>-47.6</v>
      </c>
      <c r="O173">
        <f t="shared" si="79"/>
        <v>86.429335297686976</v>
      </c>
      <c r="Y173" s="26"/>
      <c r="Z173" s="26"/>
      <c r="AB173" s="26" t="str">
        <f t="shared" ca="1" si="63"/>
        <v/>
      </c>
      <c r="AC173">
        <f t="shared" ca="1" si="76"/>
        <v>90</v>
      </c>
      <c r="AD173" t="str">
        <f ca="1">IF(AND(AT173&lt;1,MAX(AW173:BH173)&gt;dNULL),DATA!$D181,"")</f>
        <v/>
      </c>
      <c r="AE173" s="7" t="str">
        <f ca="1">IF(LEN(DATA!D181)&gt;0,SUMPRODUCT(OFFSET(DATA!$R$6,AE$5,0,1,10),DATA!$R181:$AA181),"")</f>
        <v/>
      </c>
      <c r="AF173" s="7" t="str">
        <f ca="1">IF(LEN(DATA!E181)&gt;0,SUMPRODUCT(OFFSET(DATA!$R$6,AF$5,0,1,10),DATA!$R181:$AA181),"")</f>
        <v/>
      </c>
      <c r="AG173" s="7" t="str">
        <f ca="1">IF(LEN(DATA!F181)&gt;0,SUMPRODUCT(OFFSET(DATA!$R$6,AG$5,0,1,10),DATA!$R181:$AA181),"")</f>
        <v/>
      </c>
      <c r="AH173" s="7" t="str">
        <f ca="1">IF(LEN(DATA!G181)&gt;0,SUMPRODUCT(OFFSET(DATA!$R$6,AH$5,0,1,10),DATA!$R181:$AA181),"")</f>
        <v/>
      </c>
      <c r="AI173" s="7" t="str">
        <f ca="1">IF(LEN(DATA!H181)&gt;0,SUMPRODUCT(OFFSET(DATA!$R$6,AI$5,0,1,10),DATA!$R181:$AA181),"")</f>
        <v/>
      </c>
      <c r="AJ173" s="7" t="str">
        <f ca="1">IF(LEN(DATA!I181)&gt;0,SUMPRODUCT(OFFSET(DATA!$R$6,AJ$5,0,1,10),DATA!$R181:$AA181),"")</f>
        <v/>
      </c>
      <c r="AK173" s="7"/>
      <c r="AL173" s="7" t="e">
        <f t="shared" ca="1" si="64"/>
        <v>#DIV/0!</v>
      </c>
      <c r="AM173" s="7" t="e">
        <f t="shared" ca="1" si="65"/>
        <v>#DIV/0!</v>
      </c>
      <c r="AN173" s="7" t="e">
        <f t="shared" ca="1" si="66"/>
        <v>#DIV/0!</v>
      </c>
      <c r="AO173" s="7" t="e">
        <f t="shared" ca="1" si="67"/>
        <v>#DIV/0!</v>
      </c>
      <c r="AP173" s="7" t="e">
        <f t="shared" ca="1" si="68"/>
        <v>#DIV/0!</v>
      </c>
      <c r="AQ173" s="7" t="e">
        <f t="shared" ca="1" si="69"/>
        <v>#DIV/0!</v>
      </c>
      <c r="AS173">
        <f t="shared" si="70"/>
        <v>77</v>
      </c>
      <c r="AT173">
        <f t="shared" si="71"/>
        <v>1</v>
      </c>
      <c r="AU173">
        <f t="shared" ca="1" si="72"/>
        <v>1.5259059500746108</v>
      </c>
      <c r="AV173">
        <f t="shared" ca="1" si="73"/>
        <v>0.23112107432045195</v>
      </c>
      <c r="AW173">
        <f ca="1">IF(AND($AT173&lt;3,OFFSET(DATA!$C$14,$AS173,0)=AW$6),$AV173,dNULL)</f>
        <v>-99</v>
      </c>
      <c r="AX173">
        <f ca="1">IF(AND($AT173&lt;3,OFFSET(DATA!$C$14,$AS173,0)=AX$6),$AV173,dNULL)</f>
        <v>0.23112107432045195</v>
      </c>
      <c r="AY173">
        <f ca="1">IF(AND($AT173&lt;3,OFFSET(DATA!$C$14,$AS173,0)=AY$6),$AV173,dNULL)</f>
        <v>-99</v>
      </c>
      <c r="AZ173">
        <f ca="1">IF(AND($AT173&lt;3,OFFSET(DATA!$C$14,$AS173,0)=AZ$6),$AV173,dNULL)</f>
        <v>-99</v>
      </c>
      <c r="BA173">
        <f ca="1">IF(AND($AT173&lt;3,OFFSET(DATA!$C$14,$AS173,0)=BA$6),$AV173,dNULL)</f>
        <v>-99</v>
      </c>
      <c r="BB173">
        <f ca="1">IF(AND($AT173&lt;3,OFFSET(DATA!$C$14,$AS173,0)=BB$6),$AV173,dNULL)</f>
        <v>-99</v>
      </c>
      <c r="BC173">
        <f ca="1">IF(AND($AT173&lt;3,OFFSET(DATA!$C$14,$AS173,0)=BC$6),$AV173,dNULL)</f>
        <v>-99</v>
      </c>
      <c r="BD173">
        <f ca="1">IF(AND($AT173&lt;3,OFFSET(DATA!$C$14,$AS173,0)=BD$6),$AV173,dNULL)</f>
        <v>-99</v>
      </c>
      <c r="BE173">
        <f ca="1">IF(AND($AT173&lt;3,OFFSET(DATA!$C$14,$AS173,0)=BE$6),$AV173,dNULL)</f>
        <v>-99</v>
      </c>
      <c r="BF173">
        <f ca="1">IF(AND($AT173&lt;3,OFFSET(DATA!$C$14,$AS173,0)=BF$6),$AV173,dNULL)</f>
        <v>-99</v>
      </c>
      <c r="BG173">
        <f ca="1">IF(AND($AT173&lt;3,OFFSET(DATA!$C$14,$AS173,0)=BG$6),$AV173,dNULL)</f>
        <v>-99</v>
      </c>
      <c r="BH173">
        <f ca="1">IF(AND($AT173&lt;3,OFFSET(DATA!$C$14,$AS173,0)=BH$6),$AV173,dNULL)</f>
        <v>-99</v>
      </c>
      <c r="BU173">
        <f t="shared" si="77"/>
        <v>2</v>
      </c>
      <c r="BV173">
        <f t="shared" si="78"/>
        <v>1.7600000000000011</v>
      </c>
      <c r="BW173">
        <f t="shared" ca="1" si="74"/>
        <v>0.2</v>
      </c>
      <c r="BX173">
        <f t="shared" ca="1" si="75"/>
        <v>-0.2</v>
      </c>
    </row>
    <row r="174" spans="14:76" x14ac:dyDescent="0.25">
      <c r="Y174" s="26"/>
      <c r="Z174" s="26"/>
      <c r="AB174" s="26" t="str">
        <f t="shared" ca="1" si="63"/>
        <v/>
      </c>
      <c r="AC174">
        <f t="shared" ca="1" si="76"/>
        <v>90</v>
      </c>
      <c r="AD174" t="str">
        <f ca="1">IF(AND(AT174&lt;1,MAX(AW174:BH174)&gt;dNULL),DATA!$D182,"")</f>
        <v/>
      </c>
      <c r="AE174" s="7" t="str">
        <f ca="1">IF(LEN(DATA!D182)&gt;0,SUMPRODUCT(OFFSET(DATA!$R$6,AE$5,0,1,10),DATA!$R182:$AA182),"")</f>
        <v/>
      </c>
      <c r="AF174" s="7" t="str">
        <f ca="1">IF(LEN(DATA!E182)&gt;0,SUMPRODUCT(OFFSET(DATA!$R$6,AF$5,0,1,10),DATA!$R182:$AA182),"")</f>
        <v/>
      </c>
      <c r="AG174" s="7" t="str">
        <f ca="1">IF(LEN(DATA!F182)&gt;0,SUMPRODUCT(OFFSET(DATA!$R$6,AG$5,0,1,10),DATA!$R182:$AA182),"")</f>
        <v/>
      </c>
      <c r="AH174" s="7" t="str">
        <f ca="1">IF(LEN(DATA!G182)&gt;0,SUMPRODUCT(OFFSET(DATA!$R$6,AH$5,0,1,10),DATA!$R182:$AA182),"")</f>
        <v/>
      </c>
      <c r="AI174" s="7" t="str">
        <f ca="1">IF(LEN(DATA!H182)&gt;0,SUMPRODUCT(OFFSET(DATA!$R$6,AI$5,0,1,10),DATA!$R182:$AA182),"")</f>
        <v/>
      </c>
      <c r="AJ174" s="7" t="str">
        <f ca="1">IF(LEN(DATA!I182)&gt;0,SUMPRODUCT(OFFSET(DATA!$R$6,AJ$5,0,1,10),DATA!$R182:$AA182),"")</f>
        <v/>
      </c>
      <c r="AK174" s="7"/>
      <c r="AL174" s="7" t="e">
        <f t="shared" ca="1" si="64"/>
        <v>#DIV/0!</v>
      </c>
      <c r="AM174" s="7" t="e">
        <f t="shared" ca="1" si="65"/>
        <v>#DIV/0!</v>
      </c>
      <c r="AN174" s="7" t="e">
        <f t="shared" ca="1" si="66"/>
        <v>#DIV/0!</v>
      </c>
      <c r="AO174" s="7" t="e">
        <f t="shared" ca="1" si="67"/>
        <v>#DIV/0!</v>
      </c>
      <c r="AP174" s="7" t="e">
        <f t="shared" ca="1" si="68"/>
        <v>#DIV/0!</v>
      </c>
      <c r="AQ174" s="7" t="e">
        <f t="shared" ca="1" si="69"/>
        <v>#DIV/0!</v>
      </c>
      <c r="AS174">
        <f t="shared" si="70"/>
        <v>78</v>
      </c>
      <c r="AT174">
        <f t="shared" si="71"/>
        <v>1</v>
      </c>
      <c r="AU174">
        <f t="shared" ca="1" si="72"/>
        <v>1.4620689655172414</v>
      </c>
      <c r="AV174">
        <f t="shared" ca="1" si="73"/>
        <v>0.1373695468071868</v>
      </c>
      <c r="AW174">
        <f ca="1">IF(AND($AT174&lt;3,OFFSET(DATA!$C$14,$AS174,0)=AW$6),$AV174,dNULL)</f>
        <v>-99</v>
      </c>
      <c r="AX174">
        <f ca="1">IF(AND($AT174&lt;3,OFFSET(DATA!$C$14,$AS174,0)=AX$6),$AV174,dNULL)</f>
        <v>-99</v>
      </c>
      <c r="AY174">
        <f ca="1">IF(AND($AT174&lt;3,OFFSET(DATA!$C$14,$AS174,0)=AY$6),$AV174,dNULL)</f>
        <v>-99</v>
      </c>
      <c r="AZ174">
        <f ca="1">IF(AND($AT174&lt;3,OFFSET(DATA!$C$14,$AS174,0)=AZ$6),$AV174,dNULL)</f>
        <v>-99</v>
      </c>
      <c r="BA174">
        <f ca="1">IF(AND($AT174&lt;3,OFFSET(DATA!$C$14,$AS174,0)=BA$6),$AV174,dNULL)</f>
        <v>-99</v>
      </c>
      <c r="BB174">
        <f ca="1">IF(AND($AT174&lt;3,OFFSET(DATA!$C$14,$AS174,0)=BB$6),$AV174,dNULL)</f>
        <v>-99</v>
      </c>
      <c r="BC174">
        <f ca="1">IF(AND($AT174&lt;3,OFFSET(DATA!$C$14,$AS174,0)=BC$6),$AV174,dNULL)</f>
        <v>0.1373695468071868</v>
      </c>
      <c r="BD174">
        <f ca="1">IF(AND($AT174&lt;3,OFFSET(DATA!$C$14,$AS174,0)=BD$6),$AV174,dNULL)</f>
        <v>-99</v>
      </c>
      <c r="BE174">
        <f ca="1">IF(AND($AT174&lt;3,OFFSET(DATA!$C$14,$AS174,0)=BE$6),$AV174,dNULL)</f>
        <v>-99</v>
      </c>
      <c r="BF174">
        <f ca="1">IF(AND($AT174&lt;3,OFFSET(DATA!$C$14,$AS174,0)=BF$6),$AV174,dNULL)</f>
        <v>-99</v>
      </c>
      <c r="BG174">
        <f ca="1">IF(AND($AT174&lt;3,OFFSET(DATA!$C$14,$AS174,0)=BG$6),$AV174,dNULL)</f>
        <v>-99</v>
      </c>
      <c r="BH174">
        <f ca="1">IF(AND($AT174&lt;3,OFFSET(DATA!$C$14,$AS174,0)=BH$6),$AV174,dNULL)</f>
        <v>-99</v>
      </c>
      <c r="BU174">
        <f t="shared" si="77"/>
        <v>2</v>
      </c>
      <c r="BV174">
        <f t="shared" si="78"/>
        <v>1.7600000000000011</v>
      </c>
      <c r="BW174">
        <f t="shared" ca="1" si="74"/>
        <v>0.25134959461764839</v>
      </c>
      <c r="BX174">
        <f t="shared" ca="1" si="75"/>
        <v>-0.5917504704928962</v>
      </c>
    </row>
    <row r="175" spans="14:76" x14ac:dyDescent="0.25">
      <c r="N175">
        <f>N85+1+dAnionOFF</f>
        <v>-97.3</v>
      </c>
      <c r="O175">
        <f t="shared" si="79"/>
        <v>0</v>
      </c>
      <c r="Y175" s="26"/>
      <c r="Z175" s="26"/>
      <c r="AB175" s="26" t="str">
        <f t="shared" ca="1" si="63"/>
        <v/>
      </c>
      <c r="AC175">
        <f t="shared" ca="1" si="76"/>
        <v>90</v>
      </c>
      <c r="AD175" t="str">
        <f ca="1">IF(AND(AT175&lt;1,MAX(AW175:BH175)&gt;dNULL),DATA!$D183,"")</f>
        <v/>
      </c>
      <c r="AE175" s="7" t="str">
        <f ca="1">IF(LEN(DATA!D183)&gt;0,SUMPRODUCT(OFFSET(DATA!$R$6,AE$5,0,1,10),DATA!$R183:$AA183),"")</f>
        <v/>
      </c>
      <c r="AF175" s="7" t="str">
        <f ca="1">IF(LEN(DATA!E183)&gt;0,SUMPRODUCT(OFFSET(DATA!$R$6,AF$5,0,1,10),DATA!$R183:$AA183),"")</f>
        <v/>
      </c>
      <c r="AG175" s="7" t="str">
        <f ca="1">IF(LEN(DATA!F183)&gt;0,SUMPRODUCT(OFFSET(DATA!$R$6,AG$5,0,1,10),DATA!$R183:$AA183),"")</f>
        <v/>
      </c>
      <c r="AH175" s="7" t="str">
        <f ca="1">IF(LEN(DATA!G183)&gt;0,SUMPRODUCT(OFFSET(DATA!$R$6,AH$5,0,1,10),DATA!$R183:$AA183),"")</f>
        <v/>
      </c>
      <c r="AI175" s="7" t="str">
        <f ca="1">IF(LEN(DATA!H183)&gt;0,SUMPRODUCT(OFFSET(DATA!$R$6,AI$5,0,1,10),DATA!$R183:$AA183),"")</f>
        <v/>
      </c>
      <c r="AJ175" s="7" t="str">
        <f ca="1">IF(LEN(DATA!I183)&gt;0,SUMPRODUCT(OFFSET(DATA!$R$6,AJ$5,0,1,10),DATA!$R183:$AA183),"")</f>
        <v/>
      </c>
      <c r="AK175" s="7"/>
      <c r="AL175" s="7" t="e">
        <f t="shared" ca="1" si="64"/>
        <v>#DIV/0!</v>
      </c>
      <c r="AM175" s="7" t="e">
        <f t="shared" ca="1" si="65"/>
        <v>#DIV/0!</v>
      </c>
      <c r="AN175" s="7" t="e">
        <f t="shared" ca="1" si="66"/>
        <v>#DIV/0!</v>
      </c>
      <c r="AO175" s="7" t="e">
        <f t="shared" ca="1" si="67"/>
        <v>#DIV/0!</v>
      </c>
      <c r="AP175" s="7" t="e">
        <f t="shared" ca="1" si="68"/>
        <v>#DIV/0!</v>
      </c>
      <c r="AQ175" s="7" t="e">
        <f t="shared" ca="1" si="69"/>
        <v>#DIV/0!</v>
      </c>
      <c r="AS175">
        <f t="shared" si="70"/>
        <v>79</v>
      </c>
      <c r="AT175">
        <f t="shared" si="71"/>
        <v>1</v>
      </c>
      <c r="AU175">
        <f t="shared" ca="1" si="72"/>
        <v>1.475426994790465</v>
      </c>
      <c r="AV175">
        <f t="shared" ca="1" si="73"/>
        <v>0.12958530618495373</v>
      </c>
      <c r="AW175">
        <f ca="1">IF(AND($AT175&lt;3,OFFSET(DATA!$C$14,$AS175,0)=AW$6),$AV175,dNULL)</f>
        <v>-99</v>
      </c>
      <c r="AX175">
        <f ca="1">IF(AND($AT175&lt;3,OFFSET(DATA!$C$14,$AS175,0)=AX$6),$AV175,dNULL)</f>
        <v>-99</v>
      </c>
      <c r="AY175">
        <f ca="1">IF(AND($AT175&lt;3,OFFSET(DATA!$C$14,$AS175,0)=AY$6),$AV175,dNULL)</f>
        <v>-99</v>
      </c>
      <c r="AZ175">
        <f ca="1">IF(AND($AT175&lt;3,OFFSET(DATA!$C$14,$AS175,0)=AZ$6),$AV175,dNULL)</f>
        <v>-99</v>
      </c>
      <c r="BA175">
        <f ca="1">IF(AND($AT175&lt;3,OFFSET(DATA!$C$14,$AS175,0)=BA$6),$AV175,dNULL)</f>
        <v>-99</v>
      </c>
      <c r="BB175">
        <f ca="1">IF(AND($AT175&lt;3,OFFSET(DATA!$C$14,$AS175,0)=BB$6),$AV175,dNULL)</f>
        <v>-99</v>
      </c>
      <c r="BC175">
        <f ca="1">IF(AND($AT175&lt;3,OFFSET(DATA!$C$14,$AS175,0)=BC$6),$AV175,dNULL)</f>
        <v>0.12958530618495373</v>
      </c>
      <c r="BD175">
        <f ca="1">IF(AND($AT175&lt;3,OFFSET(DATA!$C$14,$AS175,0)=BD$6),$AV175,dNULL)</f>
        <v>-99</v>
      </c>
      <c r="BE175">
        <f ca="1">IF(AND($AT175&lt;3,OFFSET(DATA!$C$14,$AS175,0)=BE$6),$AV175,dNULL)</f>
        <v>-99</v>
      </c>
      <c r="BF175">
        <f ca="1">IF(AND($AT175&lt;3,OFFSET(DATA!$C$14,$AS175,0)=BF$6),$AV175,dNULL)</f>
        <v>-99</v>
      </c>
      <c r="BG175">
        <f ca="1">IF(AND($AT175&lt;3,OFFSET(DATA!$C$14,$AS175,0)=BG$6),$AV175,dNULL)</f>
        <v>-99</v>
      </c>
      <c r="BH175">
        <f ca="1">IF(AND($AT175&lt;3,OFFSET(DATA!$C$14,$AS175,0)=BH$6),$AV175,dNULL)</f>
        <v>-99</v>
      </c>
      <c r="BU175">
        <f t="shared" si="77"/>
        <v>2</v>
      </c>
      <c r="BV175">
        <f t="shared" si="78"/>
        <v>1.7800000000000011</v>
      </c>
      <c r="BW175">
        <f t="shared" ca="1" si="74"/>
        <v>0.2</v>
      </c>
      <c r="BX175">
        <f t="shared" ca="1" si="75"/>
        <v>-0.2</v>
      </c>
    </row>
    <row r="176" spans="14:76" x14ac:dyDescent="0.25">
      <c r="N176">
        <f>N86+1+dAnionOFF</f>
        <v>-47.5</v>
      </c>
      <c r="O176">
        <f t="shared" si="79"/>
        <v>86.256130216930075</v>
      </c>
      <c r="Y176" s="26"/>
      <c r="Z176" s="26"/>
      <c r="AB176" s="26" t="str">
        <f t="shared" ca="1" si="63"/>
        <v/>
      </c>
      <c r="AC176">
        <f t="shared" ca="1" si="76"/>
        <v>90</v>
      </c>
      <c r="AD176" t="str">
        <f ca="1">IF(AND(AT176&lt;1,MAX(AW176:BH176)&gt;dNULL),DATA!$D184,"")</f>
        <v/>
      </c>
      <c r="AE176" s="7" t="str">
        <f ca="1">IF(LEN(DATA!D184)&gt;0,SUMPRODUCT(OFFSET(DATA!$R$6,AE$5,0,1,10),DATA!$R184:$AA184),"")</f>
        <v/>
      </c>
      <c r="AF176" s="7" t="str">
        <f ca="1">IF(LEN(DATA!E184)&gt;0,SUMPRODUCT(OFFSET(DATA!$R$6,AF$5,0,1,10),DATA!$R184:$AA184),"")</f>
        <v/>
      </c>
      <c r="AG176" s="7" t="str">
        <f ca="1">IF(LEN(DATA!F184)&gt;0,SUMPRODUCT(OFFSET(DATA!$R$6,AG$5,0,1,10),DATA!$R184:$AA184),"")</f>
        <v/>
      </c>
      <c r="AH176" s="7" t="str">
        <f ca="1">IF(LEN(DATA!G184)&gt;0,SUMPRODUCT(OFFSET(DATA!$R$6,AH$5,0,1,10),DATA!$R184:$AA184),"")</f>
        <v/>
      </c>
      <c r="AI176" s="7" t="str">
        <f ca="1">IF(LEN(DATA!H184)&gt;0,SUMPRODUCT(OFFSET(DATA!$R$6,AI$5,0,1,10),DATA!$R184:$AA184),"")</f>
        <v/>
      </c>
      <c r="AJ176" s="7" t="str">
        <f ca="1">IF(LEN(DATA!I184)&gt;0,SUMPRODUCT(OFFSET(DATA!$R$6,AJ$5,0,1,10),DATA!$R184:$AA184),"")</f>
        <v/>
      </c>
      <c r="AK176" s="7"/>
      <c r="AL176" s="7" t="e">
        <f t="shared" ca="1" si="64"/>
        <v>#DIV/0!</v>
      </c>
      <c r="AM176" s="7" t="e">
        <f t="shared" ca="1" si="65"/>
        <v>#DIV/0!</v>
      </c>
      <c r="AN176" s="7" t="e">
        <f t="shared" ca="1" si="66"/>
        <v>#DIV/0!</v>
      </c>
      <c r="AO176" s="7" t="e">
        <f t="shared" ca="1" si="67"/>
        <v>#DIV/0!</v>
      </c>
      <c r="AP176" s="7" t="e">
        <f t="shared" ca="1" si="68"/>
        <v>#DIV/0!</v>
      </c>
      <c r="AQ176" s="7" t="e">
        <f t="shared" ca="1" si="69"/>
        <v>#DIV/0!</v>
      </c>
      <c r="AS176">
        <f t="shared" si="70"/>
        <v>80</v>
      </c>
      <c r="AT176">
        <f t="shared" si="71"/>
        <v>1</v>
      </c>
      <c r="AU176">
        <f t="shared" ca="1" si="72"/>
        <v>1.5165367552512112</v>
      </c>
      <c r="AV176">
        <f t="shared" ca="1" si="73"/>
        <v>0.15037855531849506</v>
      </c>
      <c r="AW176">
        <f ca="1">IF(AND($AT176&lt;3,OFFSET(DATA!$C$14,$AS176,0)=AW$6),$AV176,dNULL)</f>
        <v>-99</v>
      </c>
      <c r="AX176">
        <f ca="1">IF(AND($AT176&lt;3,OFFSET(DATA!$C$14,$AS176,0)=AX$6),$AV176,dNULL)</f>
        <v>-99</v>
      </c>
      <c r="AY176">
        <f ca="1">IF(AND($AT176&lt;3,OFFSET(DATA!$C$14,$AS176,0)=AY$6),$AV176,dNULL)</f>
        <v>-99</v>
      </c>
      <c r="AZ176">
        <f ca="1">IF(AND($AT176&lt;3,OFFSET(DATA!$C$14,$AS176,0)=AZ$6),$AV176,dNULL)</f>
        <v>-99</v>
      </c>
      <c r="BA176">
        <f ca="1">IF(AND($AT176&lt;3,OFFSET(DATA!$C$14,$AS176,0)=BA$6),$AV176,dNULL)</f>
        <v>-99</v>
      </c>
      <c r="BB176">
        <f ca="1">IF(AND($AT176&lt;3,OFFSET(DATA!$C$14,$AS176,0)=BB$6),$AV176,dNULL)</f>
        <v>-99</v>
      </c>
      <c r="BC176">
        <f ca="1">IF(AND($AT176&lt;3,OFFSET(DATA!$C$14,$AS176,0)=BC$6),$AV176,dNULL)</f>
        <v>0.15037855531849506</v>
      </c>
      <c r="BD176">
        <f ca="1">IF(AND($AT176&lt;3,OFFSET(DATA!$C$14,$AS176,0)=BD$6),$AV176,dNULL)</f>
        <v>-99</v>
      </c>
      <c r="BE176">
        <f ca="1">IF(AND($AT176&lt;3,OFFSET(DATA!$C$14,$AS176,0)=BE$6),$AV176,dNULL)</f>
        <v>-99</v>
      </c>
      <c r="BF176">
        <f ca="1">IF(AND($AT176&lt;3,OFFSET(DATA!$C$14,$AS176,0)=BF$6),$AV176,dNULL)</f>
        <v>-99</v>
      </c>
      <c r="BG176">
        <f ca="1">IF(AND($AT176&lt;3,OFFSET(DATA!$C$14,$AS176,0)=BG$6),$AV176,dNULL)</f>
        <v>-99</v>
      </c>
      <c r="BH176">
        <f ca="1">IF(AND($AT176&lt;3,OFFSET(DATA!$C$14,$AS176,0)=BH$6),$AV176,dNULL)</f>
        <v>-99</v>
      </c>
      <c r="BU176">
        <f t="shared" si="77"/>
        <v>2</v>
      </c>
      <c r="BV176">
        <f t="shared" si="78"/>
        <v>1.7800000000000011</v>
      </c>
      <c r="BW176">
        <f t="shared" ca="1" si="74"/>
        <v>0.24384497639369884</v>
      </c>
      <c r="BX176">
        <f t="shared" ca="1" si="75"/>
        <v>-0.58192233779859093</v>
      </c>
    </row>
    <row r="177" spans="13:76" x14ac:dyDescent="0.25">
      <c r="Y177" s="26"/>
      <c r="Z177" s="26"/>
      <c r="AB177" s="26" t="str">
        <f t="shared" ca="1" si="63"/>
        <v/>
      </c>
      <c r="AC177">
        <f t="shared" ca="1" si="76"/>
        <v>90</v>
      </c>
      <c r="AD177" t="str">
        <f ca="1">IF(AND(AT177&lt;1,MAX(AW177:BH177)&gt;dNULL),DATA!$D185,"")</f>
        <v/>
      </c>
      <c r="AE177" s="7" t="str">
        <f ca="1">IF(LEN(DATA!D185)&gt;0,SUMPRODUCT(OFFSET(DATA!$R$6,AE$5,0,1,10),DATA!$R185:$AA185),"")</f>
        <v/>
      </c>
      <c r="AF177" s="7" t="str">
        <f ca="1">IF(LEN(DATA!E185)&gt;0,SUMPRODUCT(OFFSET(DATA!$R$6,AF$5,0,1,10),DATA!$R185:$AA185),"")</f>
        <v/>
      </c>
      <c r="AG177" s="7" t="str">
        <f ca="1">IF(LEN(DATA!F185)&gt;0,SUMPRODUCT(OFFSET(DATA!$R$6,AG$5,0,1,10),DATA!$R185:$AA185),"")</f>
        <v/>
      </c>
      <c r="AH177" s="7" t="str">
        <f ca="1">IF(LEN(DATA!G185)&gt;0,SUMPRODUCT(OFFSET(DATA!$R$6,AH$5,0,1,10),DATA!$R185:$AA185),"")</f>
        <v/>
      </c>
      <c r="AI177" s="7" t="str">
        <f ca="1">IF(LEN(DATA!H185)&gt;0,SUMPRODUCT(OFFSET(DATA!$R$6,AI$5,0,1,10),DATA!$R185:$AA185),"")</f>
        <v/>
      </c>
      <c r="AJ177" s="7" t="str">
        <f ca="1">IF(LEN(DATA!I185)&gt;0,SUMPRODUCT(OFFSET(DATA!$R$6,AJ$5,0,1,10),DATA!$R185:$AA185),"")</f>
        <v/>
      </c>
      <c r="AK177" s="7"/>
      <c r="AL177" s="7" t="e">
        <f t="shared" ca="1" si="64"/>
        <v>#DIV/0!</v>
      </c>
      <c r="AM177" s="7" t="e">
        <f t="shared" ca="1" si="65"/>
        <v>#DIV/0!</v>
      </c>
      <c r="AN177" s="7" t="e">
        <f t="shared" ca="1" si="66"/>
        <v>#DIV/0!</v>
      </c>
      <c r="AO177" s="7" t="e">
        <f t="shared" ca="1" si="67"/>
        <v>#DIV/0!</v>
      </c>
      <c r="AP177" s="7" t="e">
        <f t="shared" ca="1" si="68"/>
        <v>#DIV/0!</v>
      </c>
      <c r="AQ177" s="7" t="e">
        <f t="shared" ca="1" si="69"/>
        <v>#DIV/0!</v>
      </c>
      <c r="AS177">
        <f t="shared" si="70"/>
        <v>81</v>
      </c>
      <c r="AT177">
        <f t="shared" si="71"/>
        <v>1</v>
      </c>
      <c r="AU177">
        <f t="shared" ca="1" si="72"/>
        <v>1.4524007225419189</v>
      </c>
      <c r="AV177">
        <f t="shared" ca="1" si="73"/>
        <v>9.8984228490706469E-2</v>
      </c>
      <c r="AW177">
        <f ca="1">IF(AND($AT177&lt;3,OFFSET(DATA!$C$14,$AS177,0)=AW$6),$AV177,dNULL)</f>
        <v>-99</v>
      </c>
      <c r="AX177">
        <f ca="1">IF(AND($AT177&lt;3,OFFSET(DATA!$C$14,$AS177,0)=AX$6),$AV177,dNULL)</f>
        <v>-99</v>
      </c>
      <c r="AY177">
        <f ca="1">IF(AND($AT177&lt;3,OFFSET(DATA!$C$14,$AS177,0)=AY$6),$AV177,dNULL)</f>
        <v>-99</v>
      </c>
      <c r="AZ177">
        <f ca="1">IF(AND($AT177&lt;3,OFFSET(DATA!$C$14,$AS177,0)=AZ$6),$AV177,dNULL)</f>
        <v>-99</v>
      </c>
      <c r="BA177">
        <f ca="1">IF(AND($AT177&lt;3,OFFSET(DATA!$C$14,$AS177,0)=BA$6),$AV177,dNULL)</f>
        <v>-99</v>
      </c>
      <c r="BB177">
        <f ca="1">IF(AND($AT177&lt;3,OFFSET(DATA!$C$14,$AS177,0)=BB$6),$AV177,dNULL)</f>
        <v>-99</v>
      </c>
      <c r="BC177">
        <f ca="1">IF(AND($AT177&lt;3,OFFSET(DATA!$C$14,$AS177,0)=BC$6),$AV177,dNULL)</f>
        <v>9.8984228490706469E-2</v>
      </c>
      <c r="BD177">
        <f ca="1">IF(AND($AT177&lt;3,OFFSET(DATA!$C$14,$AS177,0)=BD$6),$AV177,dNULL)</f>
        <v>-99</v>
      </c>
      <c r="BE177">
        <f ca="1">IF(AND($AT177&lt;3,OFFSET(DATA!$C$14,$AS177,0)=BE$6),$AV177,dNULL)</f>
        <v>-99</v>
      </c>
      <c r="BF177">
        <f ca="1">IF(AND($AT177&lt;3,OFFSET(DATA!$C$14,$AS177,0)=BF$6),$AV177,dNULL)</f>
        <v>-99</v>
      </c>
      <c r="BG177">
        <f ca="1">IF(AND($AT177&lt;3,OFFSET(DATA!$C$14,$AS177,0)=BG$6),$AV177,dNULL)</f>
        <v>-99</v>
      </c>
      <c r="BH177">
        <f ca="1">IF(AND($AT177&lt;3,OFFSET(DATA!$C$14,$AS177,0)=BH$6),$AV177,dNULL)</f>
        <v>-99</v>
      </c>
      <c r="BU177">
        <f t="shared" si="77"/>
        <v>2</v>
      </c>
      <c r="BV177">
        <f t="shared" si="78"/>
        <v>1.8000000000000012</v>
      </c>
      <c r="BW177">
        <f t="shared" ca="1" si="74"/>
        <v>0.2</v>
      </c>
      <c r="BX177">
        <f t="shared" ca="1" si="75"/>
        <v>-0.2</v>
      </c>
    </row>
    <row r="178" spans="13:76" x14ac:dyDescent="0.25">
      <c r="N178">
        <f>N88+1+dAnionOFF</f>
        <v>-97.1</v>
      </c>
      <c r="O178">
        <f t="shared" si="79"/>
        <v>0</v>
      </c>
      <c r="Y178" s="26"/>
      <c r="Z178" s="26"/>
      <c r="AB178" s="26" t="str">
        <f t="shared" ca="1" si="63"/>
        <v/>
      </c>
      <c r="AC178">
        <f t="shared" ca="1" si="76"/>
        <v>90</v>
      </c>
      <c r="AD178" t="str">
        <f ca="1">IF(AND(AT178&lt;1,MAX(AW178:BH178)&gt;dNULL),DATA!$D186,"")</f>
        <v/>
      </c>
      <c r="AE178" s="7" t="str">
        <f ca="1">IF(LEN(DATA!D186)&gt;0,SUMPRODUCT(OFFSET(DATA!$R$6,AE$5,0,1,10),DATA!$R186:$AA186),"")</f>
        <v/>
      </c>
      <c r="AF178" s="7" t="str">
        <f ca="1">IF(LEN(DATA!E186)&gt;0,SUMPRODUCT(OFFSET(DATA!$R$6,AF$5,0,1,10),DATA!$R186:$AA186),"")</f>
        <v/>
      </c>
      <c r="AG178" s="7" t="str">
        <f ca="1">IF(LEN(DATA!F186)&gt;0,SUMPRODUCT(OFFSET(DATA!$R$6,AG$5,0,1,10),DATA!$R186:$AA186),"")</f>
        <v/>
      </c>
      <c r="AH178" s="7" t="str">
        <f ca="1">IF(LEN(DATA!G186)&gt;0,SUMPRODUCT(OFFSET(DATA!$R$6,AH$5,0,1,10),DATA!$R186:$AA186),"")</f>
        <v/>
      </c>
      <c r="AI178" s="7" t="str">
        <f ca="1">IF(LEN(DATA!H186)&gt;0,SUMPRODUCT(OFFSET(DATA!$R$6,AI$5,0,1,10),DATA!$R186:$AA186),"")</f>
        <v/>
      </c>
      <c r="AJ178" s="7" t="str">
        <f ca="1">IF(LEN(DATA!I186)&gt;0,SUMPRODUCT(OFFSET(DATA!$R$6,AJ$5,0,1,10),DATA!$R186:$AA186),"")</f>
        <v/>
      </c>
      <c r="AK178" s="7"/>
      <c r="AL178" s="7" t="e">
        <f t="shared" ca="1" si="64"/>
        <v>#DIV/0!</v>
      </c>
      <c r="AM178" s="7" t="e">
        <f t="shared" ca="1" si="65"/>
        <v>#DIV/0!</v>
      </c>
      <c r="AN178" s="7" t="e">
        <f t="shared" ca="1" si="66"/>
        <v>#DIV/0!</v>
      </c>
      <c r="AO178" s="7" t="e">
        <f t="shared" ca="1" si="67"/>
        <v>#DIV/0!</v>
      </c>
      <c r="AP178" s="7" t="e">
        <f t="shared" ca="1" si="68"/>
        <v>#DIV/0!</v>
      </c>
      <c r="AQ178" s="7" t="e">
        <f t="shared" ca="1" si="69"/>
        <v>#DIV/0!</v>
      </c>
      <c r="AS178">
        <f t="shared" si="70"/>
        <v>82</v>
      </c>
      <c r="AT178">
        <f t="shared" si="71"/>
        <v>1</v>
      </c>
      <c r="AU178">
        <f t="shared" ca="1" si="72"/>
        <v>1.4668073096051593</v>
      </c>
      <c r="AV178">
        <f t="shared" ca="1" si="73"/>
        <v>0.1152591310049447</v>
      </c>
      <c r="AW178">
        <f ca="1">IF(AND($AT178&lt;3,OFFSET(DATA!$C$14,$AS178,0)=AW$6),$AV178,dNULL)</f>
        <v>-99</v>
      </c>
      <c r="AX178">
        <f ca="1">IF(AND($AT178&lt;3,OFFSET(DATA!$C$14,$AS178,0)=AX$6),$AV178,dNULL)</f>
        <v>-99</v>
      </c>
      <c r="AY178">
        <f ca="1">IF(AND($AT178&lt;3,OFFSET(DATA!$C$14,$AS178,0)=AY$6),$AV178,dNULL)</f>
        <v>-99</v>
      </c>
      <c r="AZ178">
        <f ca="1">IF(AND($AT178&lt;3,OFFSET(DATA!$C$14,$AS178,0)=AZ$6),$AV178,dNULL)</f>
        <v>-99</v>
      </c>
      <c r="BA178">
        <f ca="1">IF(AND($AT178&lt;3,OFFSET(DATA!$C$14,$AS178,0)=BA$6),$AV178,dNULL)</f>
        <v>-99</v>
      </c>
      <c r="BB178">
        <f ca="1">IF(AND($AT178&lt;3,OFFSET(DATA!$C$14,$AS178,0)=BB$6),$AV178,dNULL)</f>
        <v>-99</v>
      </c>
      <c r="BC178">
        <f ca="1">IF(AND($AT178&lt;3,OFFSET(DATA!$C$14,$AS178,0)=BC$6),$AV178,dNULL)</f>
        <v>0.1152591310049447</v>
      </c>
      <c r="BD178">
        <f ca="1">IF(AND($AT178&lt;3,OFFSET(DATA!$C$14,$AS178,0)=BD$6),$AV178,dNULL)</f>
        <v>-99</v>
      </c>
      <c r="BE178">
        <f ca="1">IF(AND($AT178&lt;3,OFFSET(DATA!$C$14,$AS178,0)=BE$6),$AV178,dNULL)</f>
        <v>-99</v>
      </c>
      <c r="BF178">
        <f ca="1">IF(AND($AT178&lt;3,OFFSET(DATA!$C$14,$AS178,0)=BF$6),$AV178,dNULL)</f>
        <v>-99</v>
      </c>
      <c r="BG178">
        <f ca="1">IF(AND($AT178&lt;3,OFFSET(DATA!$C$14,$AS178,0)=BG$6),$AV178,dNULL)</f>
        <v>-99</v>
      </c>
      <c r="BH178">
        <f ca="1">IF(AND($AT178&lt;3,OFFSET(DATA!$C$14,$AS178,0)=BH$6),$AV178,dNULL)</f>
        <v>-99</v>
      </c>
      <c r="BU178">
        <f t="shared" si="77"/>
        <v>2</v>
      </c>
      <c r="BV178">
        <f t="shared" si="78"/>
        <v>1.8000000000000012</v>
      </c>
      <c r="BW178">
        <f t="shared" ca="1" si="74"/>
        <v>0.2363403581697493</v>
      </c>
      <c r="BX178">
        <f t="shared" ca="1" si="75"/>
        <v>-0.57209420510428588</v>
      </c>
    </row>
    <row r="179" spans="13:76" x14ac:dyDescent="0.25">
      <c r="N179">
        <f>N89+1+dAnionOFF</f>
        <v>-47.4</v>
      </c>
      <c r="O179">
        <f t="shared" si="79"/>
        <v>86.082925136173188</v>
      </c>
      <c r="Y179" s="26"/>
      <c r="Z179" s="26"/>
      <c r="AB179" s="26" t="str">
        <f t="shared" ca="1" si="63"/>
        <v/>
      </c>
      <c r="AC179">
        <f t="shared" ca="1" si="76"/>
        <v>90</v>
      </c>
      <c r="AD179" t="str">
        <f ca="1">IF(AND(AT179&lt;1,MAX(AW179:BH179)&gt;dNULL),DATA!$D187,"")</f>
        <v/>
      </c>
      <c r="AE179" s="7" t="str">
        <f ca="1">IF(LEN(DATA!D187)&gt;0,SUMPRODUCT(OFFSET(DATA!$R$6,AE$5,0,1,10),DATA!$R187:$AA187),"")</f>
        <v/>
      </c>
      <c r="AF179" s="7" t="str">
        <f ca="1">IF(LEN(DATA!E187)&gt;0,SUMPRODUCT(OFFSET(DATA!$R$6,AF$5,0,1,10),DATA!$R187:$AA187),"")</f>
        <v/>
      </c>
      <c r="AG179" s="7" t="str">
        <f ca="1">IF(LEN(DATA!F187)&gt;0,SUMPRODUCT(OFFSET(DATA!$R$6,AG$5,0,1,10),DATA!$R187:$AA187),"")</f>
        <v/>
      </c>
      <c r="AH179" s="7" t="str">
        <f ca="1">IF(LEN(DATA!G187)&gt;0,SUMPRODUCT(OFFSET(DATA!$R$6,AH$5,0,1,10),DATA!$R187:$AA187),"")</f>
        <v/>
      </c>
      <c r="AI179" s="7" t="str">
        <f ca="1">IF(LEN(DATA!H187)&gt;0,SUMPRODUCT(OFFSET(DATA!$R$6,AI$5,0,1,10),DATA!$R187:$AA187),"")</f>
        <v/>
      </c>
      <c r="AJ179" s="7" t="str">
        <f ca="1">IF(LEN(DATA!I187)&gt;0,SUMPRODUCT(OFFSET(DATA!$R$6,AJ$5,0,1,10),DATA!$R187:$AA187),"")</f>
        <v/>
      </c>
      <c r="AK179" s="7"/>
      <c r="AL179" s="7" t="e">
        <f t="shared" ca="1" si="64"/>
        <v>#DIV/0!</v>
      </c>
      <c r="AM179" s="7" t="e">
        <f t="shared" ca="1" si="65"/>
        <v>#DIV/0!</v>
      </c>
      <c r="AN179" s="7" t="e">
        <f t="shared" ca="1" si="66"/>
        <v>#DIV/0!</v>
      </c>
      <c r="AO179" s="7" t="e">
        <f t="shared" ca="1" si="67"/>
        <v>#DIV/0!</v>
      </c>
      <c r="AP179" s="7" t="e">
        <f t="shared" ca="1" si="68"/>
        <v>#DIV/0!</v>
      </c>
      <c r="AQ179" s="7" t="e">
        <f t="shared" ca="1" si="69"/>
        <v>#DIV/0!</v>
      </c>
      <c r="AS179">
        <f t="shared" si="70"/>
        <v>83</v>
      </c>
      <c r="AT179">
        <f t="shared" si="71"/>
        <v>1</v>
      </c>
      <c r="AU179">
        <f t="shared" ca="1" si="72"/>
        <v>1.4446280991735538</v>
      </c>
      <c r="AV179">
        <f t="shared" ca="1" si="73"/>
        <v>0.13598746009838292</v>
      </c>
      <c r="AW179">
        <f ca="1">IF(AND($AT179&lt;3,OFFSET(DATA!$C$14,$AS179,0)=AW$6),$AV179,dNULL)</f>
        <v>-99</v>
      </c>
      <c r="AX179">
        <f ca="1">IF(AND($AT179&lt;3,OFFSET(DATA!$C$14,$AS179,0)=AX$6),$AV179,dNULL)</f>
        <v>-99</v>
      </c>
      <c r="AY179">
        <f ca="1">IF(AND($AT179&lt;3,OFFSET(DATA!$C$14,$AS179,0)=AY$6),$AV179,dNULL)</f>
        <v>-99</v>
      </c>
      <c r="AZ179">
        <f ca="1">IF(AND($AT179&lt;3,OFFSET(DATA!$C$14,$AS179,0)=AZ$6),$AV179,dNULL)</f>
        <v>-99</v>
      </c>
      <c r="BA179">
        <f ca="1">IF(AND($AT179&lt;3,OFFSET(DATA!$C$14,$AS179,0)=BA$6),$AV179,dNULL)</f>
        <v>-99</v>
      </c>
      <c r="BB179">
        <f ca="1">IF(AND($AT179&lt;3,OFFSET(DATA!$C$14,$AS179,0)=BB$6),$AV179,dNULL)</f>
        <v>-99</v>
      </c>
      <c r="BC179">
        <f ca="1">IF(AND($AT179&lt;3,OFFSET(DATA!$C$14,$AS179,0)=BC$6),$AV179,dNULL)</f>
        <v>0.13598746009838292</v>
      </c>
      <c r="BD179">
        <f ca="1">IF(AND($AT179&lt;3,OFFSET(DATA!$C$14,$AS179,0)=BD$6),$AV179,dNULL)</f>
        <v>-99</v>
      </c>
      <c r="BE179">
        <f ca="1">IF(AND($AT179&lt;3,OFFSET(DATA!$C$14,$AS179,0)=BE$6),$AV179,dNULL)</f>
        <v>-99</v>
      </c>
      <c r="BF179">
        <f ca="1">IF(AND($AT179&lt;3,OFFSET(DATA!$C$14,$AS179,0)=BF$6),$AV179,dNULL)</f>
        <v>-99</v>
      </c>
      <c r="BG179">
        <f ca="1">IF(AND($AT179&lt;3,OFFSET(DATA!$C$14,$AS179,0)=BG$6),$AV179,dNULL)</f>
        <v>-99</v>
      </c>
      <c r="BH179">
        <f ca="1">IF(AND($AT179&lt;3,OFFSET(DATA!$C$14,$AS179,0)=BH$6),$AV179,dNULL)</f>
        <v>-99</v>
      </c>
      <c r="BU179">
        <f t="shared" si="77"/>
        <v>2</v>
      </c>
      <c r="BV179">
        <f t="shared" si="78"/>
        <v>1.8200000000000012</v>
      </c>
      <c r="BW179">
        <f t="shared" ca="1" si="74"/>
        <v>0.2</v>
      </c>
      <c r="BX179">
        <f t="shared" ca="1" si="75"/>
        <v>-0.2</v>
      </c>
    </row>
    <row r="180" spans="13:76" x14ac:dyDescent="0.25">
      <c r="Y180" s="26"/>
      <c r="Z180" s="26"/>
      <c r="AB180" s="26" t="str">
        <f t="shared" ca="1" si="63"/>
        <v/>
      </c>
      <c r="AC180">
        <f t="shared" ca="1" si="76"/>
        <v>90</v>
      </c>
      <c r="AD180" t="str">
        <f ca="1">IF(AND(AT180&lt;1,MAX(AW180:BH180)&gt;dNULL),DATA!$D188,"")</f>
        <v/>
      </c>
      <c r="AE180" s="7" t="str">
        <f ca="1">IF(LEN(DATA!D188)&gt;0,SUMPRODUCT(OFFSET(DATA!$R$6,AE$5,0,1,10),DATA!$R188:$AA188),"")</f>
        <v/>
      </c>
      <c r="AF180" s="7" t="str">
        <f ca="1">IF(LEN(DATA!E188)&gt;0,SUMPRODUCT(OFFSET(DATA!$R$6,AF$5,0,1,10),DATA!$R188:$AA188),"")</f>
        <v/>
      </c>
      <c r="AG180" s="7" t="str">
        <f ca="1">IF(LEN(DATA!F188)&gt;0,SUMPRODUCT(OFFSET(DATA!$R$6,AG$5,0,1,10),DATA!$R188:$AA188),"")</f>
        <v/>
      </c>
      <c r="AH180" s="7" t="str">
        <f ca="1">IF(LEN(DATA!G188)&gt;0,SUMPRODUCT(OFFSET(DATA!$R$6,AH$5,0,1,10),DATA!$R188:$AA188),"")</f>
        <v/>
      </c>
      <c r="AI180" s="7" t="str">
        <f ca="1">IF(LEN(DATA!H188)&gt;0,SUMPRODUCT(OFFSET(DATA!$R$6,AI$5,0,1,10),DATA!$R188:$AA188),"")</f>
        <v/>
      </c>
      <c r="AJ180" s="7" t="str">
        <f ca="1">IF(LEN(DATA!I188)&gt;0,SUMPRODUCT(OFFSET(DATA!$R$6,AJ$5,0,1,10),DATA!$R188:$AA188),"")</f>
        <v/>
      </c>
      <c r="AK180" s="7"/>
      <c r="AL180" s="7" t="e">
        <f t="shared" ca="1" si="64"/>
        <v>#DIV/0!</v>
      </c>
      <c r="AM180" s="7" t="e">
        <f t="shared" ca="1" si="65"/>
        <v>#DIV/0!</v>
      </c>
      <c r="AN180" s="7" t="e">
        <f t="shared" ca="1" si="66"/>
        <v>#DIV/0!</v>
      </c>
      <c r="AO180" s="7" t="e">
        <f t="shared" ca="1" si="67"/>
        <v>#DIV/0!</v>
      </c>
      <c r="AP180" s="7" t="e">
        <f t="shared" ca="1" si="68"/>
        <v>#DIV/0!</v>
      </c>
      <c r="AQ180" s="7" t="e">
        <f t="shared" ca="1" si="69"/>
        <v>#DIV/0!</v>
      </c>
      <c r="AS180">
        <f t="shared" si="70"/>
        <v>84</v>
      </c>
      <c r="AT180">
        <f t="shared" si="71"/>
        <v>1</v>
      </c>
      <c r="AU180">
        <f t="shared" ca="1" si="72"/>
        <v>1.4877123926582851</v>
      </c>
      <c r="AV180">
        <f t="shared" ca="1" si="73"/>
        <v>0.12257196314468348</v>
      </c>
      <c r="AW180">
        <f ca="1">IF(AND($AT180&lt;3,OFFSET(DATA!$C$14,$AS180,0)=AW$6),$AV180,dNULL)</f>
        <v>-99</v>
      </c>
      <c r="AX180">
        <f ca="1">IF(AND($AT180&lt;3,OFFSET(DATA!$C$14,$AS180,0)=AX$6),$AV180,dNULL)</f>
        <v>-99</v>
      </c>
      <c r="AY180">
        <f ca="1">IF(AND($AT180&lt;3,OFFSET(DATA!$C$14,$AS180,0)=AY$6),$AV180,dNULL)</f>
        <v>-99</v>
      </c>
      <c r="AZ180">
        <f ca="1">IF(AND($AT180&lt;3,OFFSET(DATA!$C$14,$AS180,0)=AZ$6),$AV180,dNULL)</f>
        <v>-99</v>
      </c>
      <c r="BA180">
        <f ca="1">IF(AND($AT180&lt;3,OFFSET(DATA!$C$14,$AS180,0)=BA$6),$AV180,dNULL)</f>
        <v>-99</v>
      </c>
      <c r="BB180">
        <f ca="1">IF(AND($AT180&lt;3,OFFSET(DATA!$C$14,$AS180,0)=BB$6),$AV180,dNULL)</f>
        <v>-99</v>
      </c>
      <c r="BC180">
        <f ca="1">IF(AND($AT180&lt;3,OFFSET(DATA!$C$14,$AS180,0)=BC$6),$AV180,dNULL)</f>
        <v>0.12257196314468348</v>
      </c>
      <c r="BD180">
        <f ca="1">IF(AND($AT180&lt;3,OFFSET(DATA!$C$14,$AS180,0)=BD$6),$AV180,dNULL)</f>
        <v>-99</v>
      </c>
      <c r="BE180">
        <f ca="1">IF(AND($AT180&lt;3,OFFSET(DATA!$C$14,$AS180,0)=BE$6),$AV180,dNULL)</f>
        <v>-99</v>
      </c>
      <c r="BF180">
        <f ca="1">IF(AND($AT180&lt;3,OFFSET(DATA!$C$14,$AS180,0)=BF$6),$AV180,dNULL)</f>
        <v>-99</v>
      </c>
      <c r="BG180">
        <f ca="1">IF(AND($AT180&lt;3,OFFSET(DATA!$C$14,$AS180,0)=BG$6),$AV180,dNULL)</f>
        <v>-99</v>
      </c>
      <c r="BH180">
        <f ca="1">IF(AND($AT180&lt;3,OFFSET(DATA!$C$14,$AS180,0)=BH$6),$AV180,dNULL)</f>
        <v>-99</v>
      </c>
      <c r="BU180">
        <f t="shared" si="77"/>
        <v>2</v>
      </c>
      <c r="BV180">
        <f t="shared" si="78"/>
        <v>1.8200000000000012</v>
      </c>
      <c r="BW180">
        <f t="shared" ca="1" si="74"/>
        <v>0.2288357399457997</v>
      </c>
      <c r="BX180">
        <f t="shared" ca="1" si="75"/>
        <v>-0.56226607240998072</v>
      </c>
    </row>
    <row r="181" spans="13:76" x14ac:dyDescent="0.25">
      <c r="N181">
        <f>N91+1+dAnionOFF</f>
        <v>-96.899999999999991</v>
      </c>
      <c r="O181">
        <f t="shared" si="79"/>
        <v>0</v>
      </c>
      <c r="Y181" s="26"/>
      <c r="Z181" s="26"/>
      <c r="AB181" s="26" t="str">
        <f t="shared" ca="1" si="63"/>
        <v/>
      </c>
      <c r="AC181">
        <f t="shared" ca="1" si="76"/>
        <v>90</v>
      </c>
      <c r="AD181" t="str">
        <f ca="1">IF(AND(AT181&lt;1,MAX(AW181:BH181)&gt;dNULL),DATA!$D189,"")</f>
        <v/>
      </c>
      <c r="AE181" s="7" t="str">
        <f ca="1">IF(LEN(DATA!D189)&gt;0,SUMPRODUCT(OFFSET(DATA!$R$6,AE$5,0,1,10),DATA!$R189:$AA189),"")</f>
        <v/>
      </c>
      <c r="AF181" s="7" t="str">
        <f ca="1">IF(LEN(DATA!E189)&gt;0,SUMPRODUCT(OFFSET(DATA!$R$6,AF$5,0,1,10),DATA!$R189:$AA189),"")</f>
        <v/>
      </c>
      <c r="AG181" s="7" t="str">
        <f ca="1">IF(LEN(DATA!F189)&gt;0,SUMPRODUCT(OFFSET(DATA!$R$6,AG$5,0,1,10),DATA!$R189:$AA189),"")</f>
        <v/>
      </c>
      <c r="AH181" s="7" t="str">
        <f ca="1">IF(LEN(DATA!G189)&gt;0,SUMPRODUCT(OFFSET(DATA!$R$6,AH$5,0,1,10),DATA!$R189:$AA189),"")</f>
        <v/>
      </c>
      <c r="AI181" s="7" t="str">
        <f ca="1">IF(LEN(DATA!H189)&gt;0,SUMPRODUCT(OFFSET(DATA!$R$6,AI$5,0,1,10),DATA!$R189:$AA189),"")</f>
        <v/>
      </c>
      <c r="AJ181" s="7" t="str">
        <f ca="1">IF(LEN(DATA!I189)&gt;0,SUMPRODUCT(OFFSET(DATA!$R$6,AJ$5,0,1,10),DATA!$R189:$AA189),"")</f>
        <v/>
      </c>
      <c r="AK181" s="7"/>
      <c r="AL181" s="7" t="e">
        <f t="shared" ca="1" si="64"/>
        <v>#DIV/0!</v>
      </c>
      <c r="AM181" s="7" t="e">
        <f t="shared" ca="1" si="65"/>
        <v>#DIV/0!</v>
      </c>
      <c r="AN181" s="7" t="e">
        <f t="shared" ca="1" si="66"/>
        <v>#DIV/0!</v>
      </c>
      <c r="AO181" s="7" t="e">
        <f t="shared" ca="1" si="67"/>
        <v>#DIV/0!</v>
      </c>
      <c r="AP181" s="7" t="e">
        <f t="shared" ca="1" si="68"/>
        <v>#DIV/0!</v>
      </c>
      <c r="AQ181" s="7" t="e">
        <f t="shared" ca="1" si="69"/>
        <v>#DIV/0!</v>
      </c>
      <c r="AS181">
        <f t="shared" si="70"/>
        <v>85</v>
      </c>
      <c r="AT181">
        <f t="shared" si="71"/>
        <v>1</v>
      </c>
      <c r="AU181">
        <f t="shared" ca="1" si="72"/>
        <v>1.4559152755493365</v>
      </c>
      <c r="AV181">
        <f t="shared" ca="1" si="73"/>
        <v>0.10909294291372505</v>
      </c>
      <c r="AW181">
        <f ca="1">IF(AND($AT181&lt;3,OFFSET(DATA!$C$14,$AS181,0)=AW$6),$AV181,dNULL)</f>
        <v>-99</v>
      </c>
      <c r="AX181">
        <f ca="1">IF(AND($AT181&lt;3,OFFSET(DATA!$C$14,$AS181,0)=AX$6),$AV181,dNULL)</f>
        <v>-99</v>
      </c>
      <c r="AY181">
        <f ca="1">IF(AND($AT181&lt;3,OFFSET(DATA!$C$14,$AS181,0)=AY$6),$AV181,dNULL)</f>
        <v>-99</v>
      </c>
      <c r="AZ181">
        <f ca="1">IF(AND($AT181&lt;3,OFFSET(DATA!$C$14,$AS181,0)=AZ$6),$AV181,dNULL)</f>
        <v>-99</v>
      </c>
      <c r="BA181">
        <f ca="1">IF(AND($AT181&lt;3,OFFSET(DATA!$C$14,$AS181,0)=BA$6),$AV181,dNULL)</f>
        <v>-99</v>
      </c>
      <c r="BB181">
        <f ca="1">IF(AND($AT181&lt;3,OFFSET(DATA!$C$14,$AS181,0)=BB$6),$AV181,dNULL)</f>
        <v>-99</v>
      </c>
      <c r="BC181">
        <f ca="1">IF(AND($AT181&lt;3,OFFSET(DATA!$C$14,$AS181,0)=BC$6),$AV181,dNULL)</f>
        <v>0.10909294291372505</v>
      </c>
      <c r="BD181">
        <f ca="1">IF(AND($AT181&lt;3,OFFSET(DATA!$C$14,$AS181,0)=BD$6),$AV181,dNULL)</f>
        <v>-99</v>
      </c>
      <c r="BE181">
        <f ca="1">IF(AND($AT181&lt;3,OFFSET(DATA!$C$14,$AS181,0)=BE$6),$AV181,dNULL)</f>
        <v>-99</v>
      </c>
      <c r="BF181">
        <f ca="1">IF(AND($AT181&lt;3,OFFSET(DATA!$C$14,$AS181,0)=BF$6),$AV181,dNULL)</f>
        <v>-99</v>
      </c>
      <c r="BG181">
        <f ca="1">IF(AND($AT181&lt;3,OFFSET(DATA!$C$14,$AS181,0)=BG$6),$AV181,dNULL)</f>
        <v>-99</v>
      </c>
      <c r="BH181">
        <f ca="1">IF(AND($AT181&lt;3,OFFSET(DATA!$C$14,$AS181,0)=BH$6),$AV181,dNULL)</f>
        <v>-99</v>
      </c>
      <c r="BU181">
        <f t="shared" si="77"/>
        <v>2</v>
      </c>
      <c r="BV181">
        <f t="shared" si="78"/>
        <v>1.8400000000000012</v>
      </c>
      <c r="BW181">
        <f t="shared" ca="1" si="74"/>
        <v>0.2</v>
      </c>
      <c r="BX181">
        <f t="shared" ca="1" si="75"/>
        <v>-0.2</v>
      </c>
    </row>
    <row r="182" spans="13:76" x14ac:dyDescent="0.25">
      <c r="N182">
        <f>N92+1+dAnionOFF</f>
        <v>-47.3</v>
      </c>
      <c r="O182">
        <f t="shared" si="79"/>
        <v>85.909720055416301</v>
      </c>
      <c r="Y182" s="26"/>
      <c r="Z182" s="26"/>
      <c r="AB182" s="26" t="str">
        <f t="shared" ca="1" si="63"/>
        <v/>
      </c>
      <c r="AC182">
        <f t="shared" ca="1" si="76"/>
        <v>90</v>
      </c>
      <c r="AD182" t="str">
        <f ca="1">IF(AND(AT182&lt;1,MAX(AW182:BH182)&gt;dNULL),DATA!$D190,"")</f>
        <v/>
      </c>
      <c r="AE182" s="7" t="str">
        <f ca="1">IF(LEN(DATA!D190)&gt;0,SUMPRODUCT(OFFSET(DATA!$R$6,AE$5,0,1,10),DATA!$R190:$AA190),"")</f>
        <v/>
      </c>
      <c r="AF182" s="7" t="str">
        <f ca="1">IF(LEN(DATA!E190)&gt;0,SUMPRODUCT(OFFSET(DATA!$R$6,AF$5,0,1,10),DATA!$R190:$AA190),"")</f>
        <v/>
      </c>
      <c r="AG182" s="7" t="str">
        <f ca="1">IF(LEN(DATA!F190)&gt;0,SUMPRODUCT(OFFSET(DATA!$R$6,AG$5,0,1,10),DATA!$R190:$AA190),"")</f>
        <v/>
      </c>
      <c r="AH182" s="7" t="str">
        <f ca="1">IF(LEN(DATA!G190)&gt;0,SUMPRODUCT(OFFSET(DATA!$R$6,AH$5,0,1,10),DATA!$R190:$AA190),"")</f>
        <v/>
      </c>
      <c r="AI182" s="7" t="str">
        <f ca="1">IF(LEN(DATA!H190)&gt;0,SUMPRODUCT(OFFSET(DATA!$R$6,AI$5,0,1,10),DATA!$R190:$AA190),"")</f>
        <v/>
      </c>
      <c r="AJ182" s="7" t="str">
        <f ca="1">IF(LEN(DATA!I190)&gt;0,SUMPRODUCT(OFFSET(DATA!$R$6,AJ$5,0,1,10),DATA!$R190:$AA190),"")</f>
        <v/>
      </c>
      <c r="AK182" s="7"/>
      <c r="AL182" s="7" t="e">
        <f t="shared" ca="1" si="64"/>
        <v>#DIV/0!</v>
      </c>
      <c r="AM182" s="7" t="e">
        <f t="shared" ca="1" si="65"/>
        <v>#DIV/0!</v>
      </c>
      <c r="AN182" s="7" t="e">
        <f t="shared" ca="1" si="66"/>
        <v>#DIV/0!</v>
      </c>
      <c r="AO182" s="7" t="e">
        <f t="shared" ca="1" si="67"/>
        <v>#DIV/0!</v>
      </c>
      <c r="AP182" s="7" t="e">
        <f t="shared" ca="1" si="68"/>
        <v>#DIV/0!</v>
      </c>
      <c r="AQ182" s="7" t="e">
        <f t="shared" ca="1" si="69"/>
        <v>#DIV/0!</v>
      </c>
      <c r="AS182">
        <f t="shared" si="70"/>
        <v>86</v>
      </c>
      <c r="AT182">
        <f t="shared" si="71"/>
        <v>1</v>
      </c>
      <c r="AU182">
        <f t="shared" ca="1" si="72"/>
        <v>1.4885947528200763</v>
      </c>
      <c r="AV182">
        <f t="shared" ca="1" si="73"/>
        <v>0.12913550190201259</v>
      </c>
      <c r="AW182">
        <f ca="1">IF(AND($AT182&lt;3,OFFSET(DATA!$C$14,$AS182,0)=AW$6),$AV182,dNULL)</f>
        <v>-99</v>
      </c>
      <c r="AX182">
        <f ca="1">IF(AND($AT182&lt;3,OFFSET(DATA!$C$14,$AS182,0)=AX$6),$AV182,dNULL)</f>
        <v>-99</v>
      </c>
      <c r="AY182">
        <f ca="1">IF(AND($AT182&lt;3,OFFSET(DATA!$C$14,$AS182,0)=AY$6),$AV182,dNULL)</f>
        <v>-99</v>
      </c>
      <c r="AZ182">
        <f ca="1">IF(AND($AT182&lt;3,OFFSET(DATA!$C$14,$AS182,0)=AZ$6),$AV182,dNULL)</f>
        <v>-99</v>
      </c>
      <c r="BA182">
        <f ca="1">IF(AND($AT182&lt;3,OFFSET(DATA!$C$14,$AS182,0)=BA$6),$AV182,dNULL)</f>
        <v>-99</v>
      </c>
      <c r="BB182">
        <f ca="1">IF(AND($AT182&lt;3,OFFSET(DATA!$C$14,$AS182,0)=BB$6),$AV182,dNULL)</f>
        <v>-99</v>
      </c>
      <c r="BC182">
        <f ca="1">IF(AND($AT182&lt;3,OFFSET(DATA!$C$14,$AS182,0)=BC$6),$AV182,dNULL)</f>
        <v>0.12913550190201259</v>
      </c>
      <c r="BD182">
        <f ca="1">IF(AND($AT182&lt;3,OFFSET(DATA!$C$14,$AS182,0)=BD$6),$AV182,dNULL)</f>
        <v>-99</v>
      </c>
      <c r="BE182">
        <f ca="1">IF(AND($AT182&lt;3,OFFSET(DATA!$C$14,$AS182,0)=BE$6),$AV182,dNULL)</f>
        <v>-99</v>
      </c>
      <c r="BF182">
        <f ca="1">IF(AND($AT182&lt;3,OFFSET(DATA!$C$14,$AS182,0)=BF$6),$AV182,dNULL)</f>
        <v>-99</v>
      </c>
      <c r="BG182">
        <f ca="1">IF(AND($AT182&lt;3,OFFSET(DATA!$C$14,$AS182,0)=BG$6),$AV182,dNULL)</f>
        <v>-99</v>
      </c>
      <c r="BH182">
        <f ca="1">IF(AND($AT182&lt;3,OFFSET(DATA!$C$14,$AS182,0)=BH$6),$AV182,dNULL)</f>
        <v>-99</v>
      </c>
      <c r="BU182">
        <f t="shared" si="77"/>
        <v>2</v>
      </c>
      <c r="BV182">
        <f t="shared" si="78"/>
        <v>1.8400000000000012</v>
      </c>
      <c r="BW182">
        <f t="shared" ca="1" si="74"/>
        <v>0.22133112172185015</v>
      </c>
      <c r="BX182">
        <f t="shared" ca="1" si="75"/>
        <v>-0.55243793971567567</v>
      </c>
    </row>
    <row r="183" spans="13:76" x14ac:dyDescent="0.25">
      <c r="Y183" s="26"/>
      <c r="Z183" s="26"/>
      <c r="AB183" s="26" t="str">
        <f t="shared" ca="1" si="63"/>
        <v/>
      </c>
      <c r="AC183">
        <f t="shared" ca="1" si="76"/>
        <v>90</v>
      </c>
      <c r="AD183" t="str">
        <f ca="1">IF(AND(AT183&lt;1,MAX(AW183:BH183)&gt;dNULL),DATA!$D191,"")</f>
        <v/>
      </c>
      <c r="AE183" s="7" t="str">
        <f ca="1">IF(LEN(DATA!D191)&gt;0,SUMPRODUCT(OFFSET(DATA!$R$6,AE$5,0,1,10),DATA!$R191:$AA191),"")</f>
        <v/>
      </c>
      <c r="AF183" s="7" t="str">
        <f ca="1">IF(LEN(DATA!E191)&gt;0,SUMPRODUCT(OFFSET(DATA!$R$6,AF$5,0,1,10),DATA!$R191:$AA191),"")</f>
        <v/>
      </c>
      <c r="AG183" s="7" t="str">
        <f ca="1">IF(LEN(DATA!F191)&gt;0,SUMPRODUCT(OFFSET(DATA!$R$6,AG$5,0,1,10),DATA!$R191:$AA191),"")</f>
        <v/>
      </c>
      <c r="AH183" s="7" t="str">
        <f ca="1">IF(LEN(DATA!G191)&gt;0,SUMPRODUCT(OFFSET(DATA!$R$6,AH$5,0,1,10),DATA!$R191:$AA191),"")</f>
        <v/>
      </c>
      <c r="AI183" s="7" t="str">
        <f ca="1">IF(LEN(DATA!H191)&gt;0,SUMPRODUCT(OFFSET(DATA!$R$6,AI$5,0,1,10),DATA!$R191:$AA191),"")</f>
        <v/>
      </c>
      <c r="AJ183" s="7" t="str">
        <f ca="1">IF(LEN(DATA!I191)&gt;0,SUMPRODUCT(OFFSET(DATA!$R$6,AJ$5,0,1,10),DATA!$R191:$AA191),"")</f>
        <v/>
      </c>
      <c r="AK183" s="7"/>
      <c r="AL183" s="7" t="e">
        <f t="shared" ca="1" si="64"/>
        <v>#DIV/0!</v>
      </c>
      <c r="AM183" s="7" t="e">
        <f t="shared" ca="1" si="65"/>
        <v>#DIV/0!</v>
      </c>
      <c r="AN183" s="7" t="e">
        <f t="shared" ca="1" si="66"/>
        <v>#DIV/0!</v>
      </c>
      <c r="AO183" s="7" t="e">
        <f t="shared" ca="1" si="67"/>
        <v>#DIV/0!</v>
      </c>
      <c r="AP183" s="7" t="e">
        <f t="shared" ca="1" si="68"/>
        <v>#DIV/0!</v>
      </c>
      <c r="AQ183" s="7" t="e">
        <f t="shared" ca="1" si="69"/>
        <v>#DIV/0!</v>
      </c>
      <c r="AS183">
        <f t="shared" si="70"/>
        <v>87</v>
      </c>
      <c r="AT183">
        <f t="shared" si="71"/>
        <v>1</v>
      </c>
      <c r="AU183">
        <f t="shared" ca="1" si="72"/>
        <v>1.5180918368269856</v>
      </c>
      <c r="AV183">
        <f t="shared" ca="1" si="73"/>
        <v>0.19612180630955353</v>
      </c>
      <c r="AW183">
        <f ca="1">IF(AND($AT183&lt;3,OFFSET(DATA!$C$14,$AS183,0)=AW$6),$AV183,dNULL)</f>
        <v>-99</v>
      </c>
      <c r="AX183">
        <f ca="1">IF(AND($AT183&lt;3,OFFSET(DATA!$C$14,$AS183,0)=AX$6),$AV183,dNULL)</f>
        <v>-99</v>
      </c>
      <c r="AY183">
        <f ca="1">IF(AND($AT183&lt;3,OFFSET(DATA!$C$14,$AS183,0)=AY$6),$AV183,dNULL)</f>
        <v>-99</v>
      </c>
      <c r="AZ183">
        <f ca="1">IF(AND($AT183&lt;3,OFFSET(DATA!$C$14,$AS183,0)=AZ$6),$AV183,dNULL)</f>
        <v>-99</v>
      </c>
      <c r="BA183">
        <f ca="1">IF(AND($AT183&lt;3,OFFSET(DATA!$C$14,$AS183,0)=BA$6),$AV183,dNULL)</f>
        <v>-99</v>
      </c>
      <c r="BB183">
        <f ca="1">IF(AND($AT183&lt;3,OFFSET(DATA!$C$14,$AS183,0)=BB$6),$AV183,dNULL)</f>
        <v>-99</v>
      </c>
      <c r="BC183">
        <f ca="1">IF(AND($AT183&lt;3,OFFSET(DATA!$C$14,$AS183,0)=BC$6),$AV183,dNULL)</f>
        <v>0.19612180630955353</v>
      </c>
      <c r="BD183">
        <f ca="1">IF(AND($AT183&lt;3,OFFSET(DATA!$C$14,$AS183,0)=BD$6),$AV183,dNULL)</f>
        <v>-99</v>
      </c>
      <c r="BE183">
        <f ca="1">IF(AND($AT183&lt;3,OFFSET(DATA!$C$14,$AS183,0)=BE$6),$AV183,dNULL)</f>
        <v>-99</v>
      </c>
      <c r="BF183">
        <f ca="1">IF(AND($AT183&lt;3,OFFSET(DATA!$C$14,$AS183,0)=BF$6),$AV183,dNULL)</f>
        <v>-99</v>
      </c>
      <c r="BG183">
        <f ca="1">IF(AND($AT183&lt;3,OFFSET(DATA!$C$14,$AS183,0)=BG$6),$AV183,dNULL)</f>
        <v>-99</v>
      </c>
      <c r="BH183">
        <f ca="1">IF(AND($AT183&lt;3,OFFSET(DATA!$C$14,$AS183,0)=BH$6),$AV183,dNULL)</f>
        <v>-99</v>
      </c>
      <c r="BU183">
        <f t="shared" si="77"/>
        <v>2</v>
      </c>
      <c r="BV183">
        <f t="shared" si="78"/>
        <v>1.8600000000000012</v>
      </c>
      <c r="BW183">
        <f t="shared" ca="1" si="74"/>
        <v>0.2</v>
      </c>
      <c r="BX183">
        <f t="shared" ca="1" si="75"/>
        <v>-0.2</v>
      </c>
    </row>
    <row r="184" spans="13:76" x14ac:dyDescent="0.25">
      <c r="N184">
        <f>N94+1+dAnionOFF</f>
        <v>-96.699999999999989</v>
      </c>
      <c r="O184">
        <f t="shared" si="79"/>
        <v>0</v>
      </c>
      <c r="Y184" s="26"/>
      <c r="Z184" s="26"/>
      <c r="AB184" s="26" t="str">
        <f t="shared" ca="1" si="63"/>
        <v/>
      </c>
      <c r="AC184">
        <f t="shared" ca="1" si="76"/>
        <v>90</v>
      </c>
      <c r="AD184" t="str">
        <f ca="1">IF(AND(AT184&lt;1,MAX(AW184:BH184)&gt;dNULL),DATA!$D192,"")</f>
        <v/>
      </c>
      <c r="AE184" s="7" t="str">
        <f ca="1">IF(LEN(DATA!D192)&gt;0,SUMPRODUCT(OFFSET(DATA!$R$6,AE$5,0,1,10),DATA!$R192:$AA192),"")</f>
        <v/>
      </c>
      <c r="AF184" s="7" t="str">
        <f ca="1">IF(LEN(DATA!E192)&gt;0,SUMPRODUCT(OFFSET(DATA!$R$6,AF$5,0,1,10),DATA!$R192:$AA192),"")</f>
        <v/>
      </c>
      <c r="AG184" s="7" t="str">
        <f ca="1">IF(LEN(DATA!F192)&gt;0,SUMPRODUCT(OFFSET(DATA!$R$6,AG$5,0,1,10),DATA!$R192:$AA192),"")</f>
        <v/>
      </c>
      <c r="AH184" s="7" t="str">
        <f ca="1">IF(LEN(DATA!G192)&gt;0,SUMPRODUCT(OFFSET(DATA!$R$6,AH$5,0,1,10),DATA!$R192:$AA192),"")</f>
        <v/>
      </c>
      <c r="AI184" s="7" t="str">
        <f ca="1">IF(LEN(DATA!H192)&gt;0,SUMPRODUCT(OFFSET(DATA!$R$6,AI$5,0,1,10),DATA!$R192:$AA192),"")</f>
        <v/>
      </c>
      <c r="AJ184" s="7" t="str">
        <f ca="1">IF(LEN(DATA!I192)&gt;0,SUMPRODUCT(OFFSET(DATA!$R$6,AJ$5,0,1,10),DATA!$R192:$AA192),"")</f>
        <v/>
      </c>
      <c r="AK184" s="7"/>
      <c r="AL184" s="7" t="e">
        <f t="shared" ca="1" si="64"/>
        <v>#DIV/0!</v>
      </c>
      <c r="AM184" s="7" t="e">
        <f t="shared" ca="1" si="65"/>
        <v>#DIV/0!</v>
      </c>
      <c r="AN184" s="7" t="e">
        <f t="shared" ca="1" si="66"/>
        <v>#DIV/0!</v>
      </c>
      <c r="AO184" s="7" t="e">
        <f t="shared" ca="1" si="67"/>
        <v>#DIV/0!</v>
      </c>
      <c r="AP184" s="7" t="e">
        <f t="shared" ca="1" si="68"/>
        <v>#DIV/0!</v>
      </c>
      <c r="AQ184" s="7" t="e">
        <f t="shared" ca="1" si="69"/>
        <v>#DIV/0!</v>
      </c>
      <c r="AS184">
        <f t="shared" si="70"/>
        <v>88</v>
      </c>
      <c r="AT184">
        <f t="shared" si="71"/>
        <v>1</v>
      </c>
      <c r="AU184">
        <f t="shared" ca="1" si="72"/>
        <v>1.5203403240429425</v>
      </c>
      <c r="AV184">
        <f t="shared" ca="1" si="73"/>
        <v>0.11876431337873516</v>
      </c>
      <c r="AW184">
        <f ca="1">IF(AND($AT184&lt;3,OFFSET(DATA!$C$14,$AS184,0)=AW$6),$AV184,dNULL)</f>
        <v>-99</v>
      </c>
      <c r="AX184">
        <f ca="1">IF(AND($AT184&lt;3,OFFSET(DATA!$C$14,$AS184,0)=AX$6),$AV184,dNULL)</f>
        <v>0.11876431337873516</v>
      </c>
      <c r="AY184">
        <f ca="1">IF(AND($AT184&lt;3,OFFSET(DATA!$C$14,$AS184,0)=AY$6),$AV184,dNULL)</f>
        <v>-99</v>
      </c>
      <c r="AZ184">
        <f ca="1">IF(AND($AT184&lt;3,OFFSET(DATA!$C$14,$AS184,0)=AZ$6),$AV184,dNULL)</f>
        <v>-99</v>
      </c>
      <c r="BA184">
        <f ca="1">IF(AND($AT184&lt;3,OFFSET(DATA!$C$14,$AS184,0)=BA$6),$AV184,dNULL)</f>
        <v>-99</v>
      </c>
      <c r="BB184">
        <f ca="1">IF(AND($AT184&lt;3,OFFSET(DATA!$C$14,$AS184,0)=BB$6),$AV184,dNULL)</f>
        <v>-99</v>
      </c>
      <c r="BC184">
        <f ca="1">IF(AND($AT184&lt;3,OFFSET(DATA!$C$14,$AS184,0)=BC$6),$AV184,dNULL)</f>
        <v>-99</v>
      </c>
      <c r="BD184">
        <f ca="1">IF(AND($AT184&lt;3,OFFSET(DATA!$C$14,$AS184,0)=BD$6),$AV184,dNULL)</f>
        <v>-99</v>
      </c>
      <c r="BE184">
        <f ca="1">IF(AND($AT184&lt;3,OFFSET(DATA!$C$14,$AS184,0)=BE$6),$AV184,dNULL)</f>
        <v>-99</v>
      </c>
      <c r="BF184">
        <f ca="1">IF(AND($AT184&lt;3,OFFSET(DATA!$C$14,$AS184,0)=BF$6),$AV184,dNULL)</f>
        <v>-99</v>
      </c>
      <c r="BG184">
        <f ca="1">IF(AND($AT184&lt;3,OFFSET(DATA!$C$14,$AS184,0)=BG$6),$AV184,dNULL)</f>
        <v>-99</v>
      </c>
      <c r="BH184">
        <f ca="1">IF(AND($AT184&lt;3,OFFSET(DATA!$C$14,$AS184,0)=BH$6),$AV184,dNULL)</f>
        <v>-99</v>
      </c>
      <c r="BU184">
        <f t="shared" si="77"/>
        <v>2</v>
      </c>
      <c r="BV184">
        <f t="shared" si="78"/>
        <v>1.8600000000000012</v>
      </c>
      <c r="BW184">
        <f t="shared" ca="1" si="74"/>
        <v>0.21382650349790061</v>
      </c>
      <c r="BX184">
        <f t="shared" ca="1" si="75"/>
        <v>-0.54260980702137052</v>
      </c>
    </row>
    <row r="185" spans="13:76" x14ac:dyDescent="0.25">
      <c r="N185">
        <f>N95+1+dAnionOFF</f>
        <v>-47.199999999999996</v>
      </c>
      <c r="O185">
        <f t="shared" si="79"/>
        <v>85.736514974659414</v>
      </c>
      <c r="Y185" s="26"/>
      <c r="Z185" s="26"/>
      <c r="AB185" s="26" t="str">
        <f t="shared" ca="1" si="63"/>
        <v/>
      </c>
      <c r="AC185">
        <f t="shared" ca="1" si="76"/>
        <v>90</v>
      </c>
      <c r="AD185" t="str">
        <f ca="1">IF(AND(AT185&lt;1,MAX(AW185:BH185)&gt;dNULL),DATA!$D193,"")</f>
        <v/>
      </c>
      <c r="AE185" s="7" t="str">
        <f ca="1">IF(LEN(DATA!D193)&gt;0,SUMPRODUCT(OFFSET(DATA!$R$6,AE$5,0,1,10),DATA!$R193:$AA193),"")</f>
        <v/>
      </c>
      <c r="AF185" s="7" t="str">
        <f ca="1">IF(LEN(DATA!E193)&gt;0,SUMPRODUCT(OFFSET(DATA!$R$6,AF$5,0,1,10),DATA!$R193:$AA193),"")</f>
        <v/>
      </c>
      <c r="AG185" s="7" t="str">
        <f ca="1">IF(LEN(DATA!F193)&gt;0,SUMPRODUCT(OFFSET(DATA!$R$6,AG$5,0,1,10),DATA!$R193:$AA193),"")</f>
        <v/>
      </c>
      <c r="AH185" s="7" t="str">
        <f ca="1">IF(LEN(DATA!G193)&gt;0,SUMPRODUCT(OFFSET(DATA!$R$6,AH$5,0,1,10),DATA!$R193:$AA193),"")</f>
        <v/>
      </c>
      <c r="AI185" s="7" t="str">
        <f ca="1">IF(LEN(DATA!H193)&gt;0,SUMPRODUCT(OFFSET(DATA!$R$6,AI$5,0,1,10),DATA!$R193:$AA193),"")</f>
        <v/>
      </c>
      <c r="AJ185" s="7" t="str">
        <f ca="1">IF(LEN(DATA!I193)&gt;0,SUMPRODUCT(OFFSET(DATA!$R$6,AJ$5,0,1,10),DATA!$R193:$AA193),"")</f>
        <v/>
      </c>
      <c r="AK185" s="7"/>
      <c r="AL185" s="7" t="e">
        <f t="shared" ca="1" si="64"/>
        <v>#DIV/0!</v>
      </c>
      <c r="AM185" s="7" t="e">
        <f t="shared" ca="1" si="65"/>
        <v>#DIV/0!</v>
      </c>
      <c r="AN185" s="7" t="e">
        <f t="shared" ca="1" si="66"/>
        <v>#DIV/0!</v>
      </c>
      <c r="AO185" s="7" t="e">
        <f t="shared" ca="1" si="67"/>
        <v>#DIV/0!</v>
      </c>
      <c r="AP185" s="7" t="e">
        <f t="shared" ca="1" si="68"/>
        <v>#DIV/0!</v>
      </c>
      <c r="AQ185" s="7" t="e">
        <f t="shared" ca="1" si="69"/>
        <v>#DIV/0!</v>
      </c>
      <c r="AS185">
        <f t="shared" si="70"/>
        <v>89</v>
      </c>
      <c r="AT185">
        <f t="shared" si="71"/>
        <v>1</v>
      </c>
      <c r="AU185">
        <f t="shared" ca="1" si="72"/>
        <v>1.4115547720745996</v>
      </c>
      <c r="AV185">
        <f t="shared" ca="1" si="73"/>
        <v>9.8207540202546129E-2</v>
      </c>
      <c r="AW185">
        <f ca="1">IF(AND($AT185&lt;3,OFFSET(DATA!$C$14,$AS185,0)=AW$6),$AV185,dNULL)</f>
        <v>-99</v>
      </c>
      <c r="AX185">
        <f ca="1">IF(AND($AT185&lt;3,OFFSET(DATA!$C$14,$AS185,0)=AX$6),$AV185,dNULL)</f>
        <v>9.8207540202546129E-2</v>
      </c>
      <c r="AY185">
        <f ca="1">IF(AND($AT185&lt;3,OFFSET(DATA!$C$14,$AS185,0)=AY$6),$AV185,dNULL)</f>
        <v>-99</v>
      </c>
      <c r="AZ185">
        <f ca="1">IF(AND($AT185&lt;3,OFFSET(DATA!$C$14,$AS185,0)=AZ$6),$AV185,dNULL)</f>
        <v>-99</v>
      </c>
      <c r="BA185">
        <f ca="1">IF(AND($AT185&lt;3,OFFSET(DATA!$C$14,$AS185,0)=BA$6),$AV185,dNULL)</f>
        <v>-99</v>
      </c>
      <c r="BB185">
        <f ca="1">IF(AND($AT185&lt;3,OFFSET(DATA!$C$14,$AS185,0)=BB$6),$AV185,dNULL)</f>
        <v>-99</v>
      </c>
      <c r="BC185">
        <f ca="1">IF(AND($AT185&lt;3,OFFSET(DATA!$C$14,$AS185,0)=BC$6),$AV185,dNULL)</f>
        <v>-99</v>
      </c>
      <c r="BD185">
        <f ca="1">IF(AND($AT185&lt;3,OFFSET(DATA!$C$14,$AS185,0)=BD$6),$AV185,dNULL)</f>
        <v>-99</v>
      </c>
      <c r="BE185">
        <f ca="1">IF(AND($AT185&lt;3,OFFSET(DATA!$C$14,$AS185,0)=BE$6),$AV185,dNULL)</f>
        <v>-99</v>
      </c>
      <c r="BF185">
        <f ca="1">IF(AND($AT185&lt;3,OFFSET(DATA!$C$14,$AS185,0)=BF$6),$AV185,dNULL)</f>
        <v>-99</v>
      </c>
      <c r="BG185">
        <f ca="1">IF(AND($AT185&lt;3,OFFSET(DATA!$C$14,$AS185,0)=BG$6),$AV185,dNULL)</f>
        <v>-99</v>
      </c>
      <c r="BH185">
        <f ca="1">IF(AND($AT185&lt;3,OFFSET(DATA!$C$14,$AS185,0)=BH$6),$AV185,dNULL)</f>
        <v>-99</v>
      </c>
      <c r="BU185">
        <f t="shared" si="77"/>
        <v>2</v>
      </c>
      <c r="BV185">
        <f t="shared" si="78"/>
        <v>1.8800000000000012</v>
      </c>
      <c r="BW185">
        <f t="shared" ca="1" si="74"/>
        <v>0.2</v>
      </c>
      <c r="BX185">
        <f t="shared" ca="1" si="75"/>
        <v>-0.2</v>
      </c>
    </row>
    <row r="186" spans="13:76" x14ac:dyDescent="0.25">
      <c r="M186" t="s">
        <v>31</v>
      </c>
      <c r="Y186" s="26"/>
      <c r="Z186" s="26"/>
      <c r="AB186" s="26" t="str">
        <f t="shared" ca="1" si="63"/>
        <v/>
      </c>
      <c r="AC186">
        <f t="shared" ca="1" si="76"/>
        <v>90</v>
      </c>
      <c r="AD186" t="str">
        <f ca="1">IF(AND(AT186&lt;1,MAX(AW186:BH186)&gt;dNULL),DATA!$D194,"")</f>
        <v/>
      </c>
      <c r="AE186" s="7" t="str">
        <f ca="1">IF(LEN(DATA!D194)&gt;0,SUMPRODUCT(OFFSET(DATA!$R$6,AE$5,0,1,10),DATA!$R194:$AA194),"")</f>
        <v/>
      </c>
      <c r="AF186" s="7" t="str">
        <f ca="1">IF(LEN(DATA!E194)&gt;0,SUMPRODUCT(OFFSET(DATA!$R$6,AF$5,0,1,10),DATA!$R194:$AA194),"")</f>
        <v/>
      </c>
      <c r="AG186" s="7" t="str">
        <f ca="1">IF(LEN(DATA!F194)&gt;0,SUMPRODUCT(OFFSET(DATA!$R$6,AG$5,0,1,10),DATA!$R194:$AA194),"")</f>
        <v/>
      </c>
      <c r="AH186" s="7" t="str">
        <f ca="1">IF(LEN(DATA!G194)&gt;0,SUMPRODUCT(OFFSET(DATA!$R$6,AH$5,0,1,10),DATA!$R194:$AA194),"")</f>
        <v/>
      </c>
      <c r="AI186" s="7" t="str">
        <f ca="1">IF(LEN(DATA!H194)&gt;0,SUMPRODUCT(OFFSET(DATA!$R$6,AI$5,0,1,10),DATA!$R194:$AA194),"")</f>
        <v/>
      </c>
      <c r="AJ186" s="7" t="str">
        <f ca="1">IF(LEN(DATA!I194)&gt;0,SUMPRODUCT(OFFSET(DATA!$R$6,AJ$5,0,1,10),DATA!$R194:$AA194),"")</f>
        <v/>
      </c>
      <c r="AK186" s="7"/>
      <c r="AL186" s="7" t="e">
        <f t="shared" ca="1" si="64"/>
        <v>#DIV/0!</v>
      </c>
      <c r="AM186" s="7" t="e">
        <f t="shared" ca="1" si="65"/>
        <v>#DIV/0!</v>
      </c>
      <c r="AN186" s="7" t="e">
        <f t="shared" ca="1" si="66"/>
        <v>#DIV/0!</v>
      </c>
      <c r="AO186" s="7" t="e">
        <f t="shared" ca="1" si="67"/>
        <v>#DIV/0!</v>
      </c>
      <c r="AP186" s="7" t="e">
        <f t="shared" ca="1" si="68"/>
        <v>#DIV/0!</v>
      </c>
      <c r="AQ186" s="7" t="e">
        <f t="shared" ca="1" si="69"/>
        <v>#DIV/0!</v>
      </c>
      <c r="AS186">
        <f t="shared" si="70"/>
        <v>90</v>
      </c>
      <c r="AT186">
        <f t="shared" si="71"/>
        <v>1</v>
      </c>
      <c r="AU186">
        <f t="shared" ca="1" si="72"/>
        <v>1.4389842188491508</v>
      </c>
      <c r="AV186">
        <f t="shared" ca="1" si="73"/>
        <v>0.10126838049142335</v>
      </c>
      <c r="AW186">
        <f ca="1">IF(AND($AT186&lt;3,OFFSET(DATA!$C$14,$AS186,0)=AW$6),$AV186,dNULL)</f>
        <v>-99</v>
      </c>
      <c r="AX186">
        <f ca="1">IF(AND($AT186&lt;3,OFFSET(DATA!$C$14,$AS186,0)=AX$6),$AV186,dNULL)</f>
        <v>0.10126838049142335</v>
      </c>
      <c r="AY186">
        <f ca="1">IF(AND($AT186&lt;3,OFFSET(DATA!$C$14,$AS186,0)=AY$6),$AV186,dNULL)</f>
        <v>-99</v>
      </c>
      <c r="AZ186">
        <f ca="1">IF(AND($AT186&lt;3,OFFSET(DATA!$C$14,$AS186,0)=AZ$6),$AV186,dNULL)</f>
        <v>-99</v>
      </c>
      <c r="BA186">
        <f ca="1">IF(AND($AT186&lt;3,OFFSET(DATA!$C$14,$AS186,0)=BA$6),$AV186,dNULL)</f>
        <v>-99</v>
      </c>
      <c r="BB186">
        <f ca="1">IF(AND($AT186&lt;3,OFFSET(DATA!$C$14,$AS186,0)=BB$6),$AV186,dNULL)</f>
        <v>-99</v>
      </c>
      <c r="BC186">
        <f ca="1">IF(AND($AT186&lt;3,OFFSET(DATA!$C$14,$AS186,0)=BC$6),$AV186,dNULL)</f>
        <v>-99</v>
      </c>
      <c r="BD186">
        <f ca="1">IF(AND($AT186&lt;3,OFFSET(DATA!$C$14,$AS186,0)=BD$6),$AV186,dNULL)</f>
        <v>-99</v>
      </c>
      <c r="BE186">
        <f ca="1">IF(AND($AT186&lt;3,OFFSET(DATA!$C$14,$AS186,0)=BE$6),$AV186,dNULL)</f>
        <v>-99</v>
      </c>
      <c r="BF186">
        <f ca="1">IF(AND($AT186&lt;3,OFFSET(DATA!$C$14,$AS186,0)=BF$6),$AV186,dNULL)</f>
        <v>-99</v>
      </c>
      <c r="BG186">
        <f ca="1">IF(AND($AT186&lt;3,OFFSET(DATA!$C$14,$AS186,0)=BG$6),$AV186,dNULL)</f>
        <v>-99</v>
      </c>
      <c r="BH186">
        <f ca="1">IF(AND($AT186&lt;3,OFFSET(DATA!$C$14,$AS186,0)=BH$6),$AV186,dNULL)</f>
        <v>-99</v>
      </c>
      <c r="BU186">
        <f t="shared" si="77"/>
        <v>2</v>
      </c>
      <c r="BV186">
        <f t="shared" si="78"/>
        <v>1.8800000000000012</v>
      </c>
      <c r="BW186">
        <f t="shared" ca="1" si="74"/>
        <v>0.20632188527395107</v>
      </c>
      <c r="BX186">
        <f t="shared" ca="1" si="75"/>
        <v>-0.53278167432706547</v>
      </c>
    </row>
    <row r="187" spans="13:76" x14ac:dyDescent="0.25">
      <c r="M187" t="s">
        <v>73</v>
      </c>
      <c r="N187">
        <f>N68+dAnionOFF*0.5</f>
        <v>0.75000000000000011</v>
      </c>
      <c r="O187">
        <f>O68+dAnionOFF*3^0.5*0.5</f>
        <v>0.95262794416288243</v>
      </c>
      <c r="Y187" s="26"/>
      <c r="Z187" s="26"/>
      <c r="AB187" s="26" t="str">
        <f t="shared" ca="1" si="63"/>
        <v/>
      </c>
      <c r="AC187">
        <f t="shared" ca="1" si="76"/>
        <v>90</v>
      </c>
      <c r="AD187" t="str">
        <f ca="1">IF(AND(AT187&lt;1,MAX(AW187:BH187)&gt;dNULL),DATA!$D195,"")</f>
        <v/>
      </c>
      <c r="AE187" s="7" t="str">
        <f ca="1">IF(LEN(DATA!D195)&gt;0,SUMPRODUCT(OFFSET(DATA!$R$6,AE$5,0,1,10),DATA!$R195:$AA195),"")</f>
        <v/>
      </c>
      <c r="AF187" s="7" t="str">
        <f ca="1">IF(LEN(DATA!E195)&gt;0,SUMPRODUCT(OFFSET(DATA!$R$6,AF$5,0,1,10),DATA!$R195:$AA195),"")</f>
        <v/>
      </c>
      <c r="AG187" s="7" t="str">
        <f ca="1">IF(LEN(DATA!F195)&gt;0,SUMPRODUCT(OFFSET(DATA!$R$6,AG$5,0,1,10),DATA!$R195:$AA195),"")</f>
        <v/>
      </c>
      <c r="AH187" s="7" t="str">
        <f ca="1">IF(LEN(DATA!G195)&gt;0,SUMPRODUCT(OFFSET(DATA!$R$6,AH$5,0,1,10),DATA!$R195:$AA195),"")</f>
        <v/>
      </c>
      <c r="AI187" s="7" t="str">
        <f ca="1">IF(LEN(DATA!H195)&gt;0,SUMPRODUCT(OFFSET(DATA!$R$6,AI$5,0,1,10),DATA!$R195:$AA195),"")</f>
        <v/>
      </c>
      <c r="AJ187" s="7" t="str">
        <f ca="1">IF(LEN(DATA!I195)&gt;0,SUMPRODUCT(OFFSET(DATA!$R$6,AJ$5,0,1,10),DATA!$R195:$AA195),"")</f>
        <v/>
      </c>
      <c r="AK187" s="7"/>
      <c r="AL187" s="7" t="e">
        <f t="shared" ca="1" si="64"/>
        <v>#DIV/0!</v>
      </c>
      <c r="AM187" s="7" t="e">
        <f t="shared" ca="1" si="65"/>
        <v>#DIV/0!</v>
      </c>
      <c r="AN187" s="7" t="e">
        <f t="shared" ca="1" si="66"/>
        <v>#DIV/0!</v>
      </c>
      <c r="AO187" s="7" t="e">
        <f t="shared" ca="1" si="67"/>
        <v>#DIV/0!</v>
      </c>
      <c r="AP187" s="7" t="e">
        <f t="shared" ca="1" si="68"/>
        <v>#DIV/0!</v>
      </c>
      <c r="AQ187" s="7" t="e">
        <f t="shared" ca="1" si="69"/>
        <v>#DIV/0!</v>
      </c>
      <c r="AS187">
        <f t="shared" si="70"/>
        <v>1</v>
      </c>
      <c r="AT187">
        <f t="shared" si="71"/>
        <v>2</v>
      </c>
      <c r="AU187">
        <f t="shared" ca="1" si="72"/>
        <v>1.0237487158565834</v>
      </c>
      <c r="AV187">
        <f t="shared" ca="1" si="73"/>
        <v>1.0098147578019216</v>
      </c>
      <c r="AW187">
        <f ca="1">IF(AND($AT187&lt;3,OFFSET(DATA!$C$14,$AS187,0)=AW$6),$AV187,dNULL)</f>
        <v>-99</v>
      </c>
      <c r="AX187">
        <f ca="1">IF(AND($AT187&lt;3,OFFSET(DATA!$C$14,$AS187,0)=AX$6),$AV187,dNULL)</f>
        <v>1.0098147578019216</v>
      </c>
      <c r="AY187">
        <f ca="1">IF(AND($AT187&lt;3,OFFSET(DATA!$C$14,$AS187,0)=AY$6),$AV187,dNULL)</f>
        <v>-99</v>
      </c>
      <c r="AZ187">
        <f ca="1">IF(AND($AT187&lt;3,OFFSET(DATA!$C$14,$AS187,0)=AZ$6),$AV187,dNULL)</f>
        <v>-99</v>
      </c>
      <c r="BA187">
        <f ca="1">IF(AND($AT187&lt;3,OFFSET(DATA!$C$14,$AS187,0)=BA$6),$AV187,dNULL)</f>
        <v>-99</v>
      </c>
      <c r="BB187">
        <f ca="1">IF(AND($AT187&lt;3,OFFSET(DATA!$C$14,$AS187,0)=BB$6),$AV187,dNULL)</f>
        <v>-99</v>
      </c>
      <c r="BC187">
        <f ca="1">IF(AND($AT187&lt;3,OFFSET(DATA!$C$14,$AS187,0)=BC$6),$AV187,dNULL)</f>
        <v>-99</v>
      </c>
      <c r="BD187">
        <f ca="1">IF(AND($AT187&lt;3,OFFSET(DATA!$C$14,$AS187,0)=BD$6),$AV187,dNULL)</f>
        <v>-99</v>
      </c>
      <c r="BE187">
        <f ca="1">IF(AND($AT187&lt;3,OFFSET(DATA!$C$14,$AS187,0)=BE$6),$AV187,dNULL)</f>
        <v>-99</v>
      </c>
      <c r="BF187">
        <f ca="1">IF(AND($AT187&lt;3,OFFSET(DATA!$C$14,$AS187,0)=BF$6),$AV187,dNULL)</f>
        <v>-99</v>
      </c>
      <c r="BG187">
        <f ca="1">IF(AND($AT187&lt;3,OFFSET(DATA!$C$14,$AS187,0)=BG$6),$AV187,dNULL)</f>
        <v>-99</v>
      </c>
      <c r="BH187">
        <f ca="1">IF(AND($AT187&lt;3,OFFSET(DATA!$C$14,$AS187,0)=BH$6),$AV187,dNULL)</f>
        <v>-99</v>
      </c>
      <c r="BU187">
        <f t="shared" si="77"/>
        <v>2</v>
      </c>
      <c r="BV187">
        <f t="shared" si="78"/>
        <v>1.9000000000000012</v>
      </c>
      <c r="BW187">
        <f t="shared" ca="1" si="74"/>
        <v>0.2</v>
      </c>
      <c r="BX187">
        <f t="shared" ca="1" si="75"/>
        <v>-0.2</v>
      </c>
    </row>
    <row r="188" spans="13:76" x14ac:dyDescent="0.25">
      <c r="N188">
        <f>N187+0.5</f>
        <v>1.25</v>
      </c>
      <c r="O188">
        <f>O187+3^0.5/2</f>
        <v>1.818653347947321</v>
      </c>
      <c r="Y188" s="26"/>
      <c r="Z188" s="26"/>
      <c r="AB188" s="26" t="str">
        <f t="shared" ca="1" si="63"/>
        <v/>
      </c>
      <c r="AC188">
        <f t="shared" ca="1" si="76"/>
        <v>90</v>
      </c>
      <c r="AD188" t="str">
        <f ca="1">IF(AND(AT188&lt;1,MAX(AW188:BH188)&gt;dNULL),DATA!$D196,"")</f>
        <v/>
      </c>
      <c r="AE188" s="7" t="str">
        <f ca="1">IF(LEN(DATA!D196)&gt;0,SUMPRODUCT(OFFSET(DATA!$R$6,AE$5,0,1,10),DATA!$R196:$AA196),"")</f>
        <v/>
      </c>
      <c r="AF188" s="7" t="str">
        <f ca="1">IF(LEN(DATA!E196)&gt;0,SUMPRODUCT(OFFSET(DATA!$R$6,AF$5,0,1,10),DATA!$R196:$AA196),"")</f>
        <v/>
      </c>
      <c r="AG188" s="7" t="str">
        <f ca="1">IF(LEN(DATA!F196)&gt;0,SUMPRODUCT(OFFSET(DATA!$R$6,AG$5,0,1,10),DATA!$R196:$AA196),"")</f>
        <v/>
      </c>
      <c r="AH188" s="7" t="str">
        <f ca="1">IF(LEN(DATA!G196)&gt;0,SUMPRODUCT(OFFSET(DATA!$R$6,AH$5,0,1,10),DATA!$R196:$AA196),"")</f>
        <v/>
      </c>
      <c r="AI188" s="7" t="str">
        <f ca="1">IF(LEN(DATA!H196)&gt;0,SUMPRODUCT(OFFSET(DATA!$R$6,AI$5,0,1,10),DATA!$R196:$AA196),"")</f>
        <v/>
      </c>
      <c r="AJ188" s="7" t="str">
        <f ca="1">IF(LEN(DATA!I196)&gt;0,SUMPRODUCT(OFFSET(DATA!$R$6,AJ$5,0,1,10),DATA!$R196:$AA196),"")</f>
        <v/>
      </c>
      <c r="AK188" s="7"/>
      <c r="AL188" s="7" t="e">
        <f t="shared" ca="1" si="64"/>
        <v>#DIV/0!</v>
      </c>
      <c r="AM188" s="7" t="e">
        <f t="shared" ca="1" si="65"/>
        <v>#DIV/0!</v>
      </c>
      <c r="AN188" s="7" t="e">
        <f t="shared" ca="1" si="66"/>
        <v>#DIV/0!</v>
      </c>
      <c r="AO188" s="7" t="e">
        <f t="shared" ca="1" si="67"/>
        <v>#DIV/0!</v>
      </c>
      <c r="AP188" s="7" t="e">
        <f t="shared" ca="1" si="68"/>
        <v>#DIV/0!</v>
      </c>
      <c r="AQ188" s="7" t="e">
        <f t="shared" ca="1" si="69"/>
        <v>#DIV/0!</v>
      </c>
      <c r="AS188">
        <f t="shared" si="70"/>
        <v>2</v>
      </c>
      <c r="AT188">
        <f t="shared" si="71"/>
        <v>2</v>
      </c>
      <c r="AU188">
        <f t="shared" ca="1" si="72"/>
        <v>0.93567842277260416</v>
      </c>
      <c r="AV188">
        <f t="shared" ca="1" si="73"/>
        <v>1.0895079144236794</v>
      </c>
      <c r="AW188">
        <f ca="1">IF(AND($AT188&lt;3,OFFSET(DATA!$C$14,$AS188,0)=AW$6),$AV188,dNULL)</f>
        <v>-99</v>
      </c>
      <c r="AX188">
        <f ca="1">IF(AND($AT188&lt;3,OFFSET(DATA!$C$14,$AS188,0)=AX$6),$AV188,dNULL)</f>
        <v>1.0895079144236794</v>
      </c>
      <c r="AY188">
        <f ca="1">IF(AND($AT188&lt;3,OFFSET(DATA!$C$14,$AS188,0)=AY$6),$AV188,dNULL)</f>
        <v>-99</v>
      </c>
      <c r="AZ188">
        <f ca="1">IF(AND($AT188&lt;3,OFFSET(DATA!$C$14,$AS188,0)=AZ$6),$AV188,dNULL)</f>
        <v>-99</v>
      </c>
      <c r="BA188">
        <f ca="1">IF(AND($AT188&lt;3,OFFSET(DATA!$C$14,$AS188,0)=BA$6),$AV188,dNULL)</f>
        <v>-99</v>
      </c>
      <c r="BB188">
        <f ca="1">IF(AND($AT188&lt;3,OFFSET(DATA!$C$14,$AS188,0)=BB$6),$AV188,dNULL)</f>
        <v>-99</v>
      </c>
      <c r="BC188">
        <f ca="1">IF(AND($AT188&lt;3,OFFSET(DATA!$C$14,$AS188,0)=BC$6),$AV188,dNULL)</f>
        <v>-99</v>
      </c>
      <c r="BD188">
        <f ca="1">IF(AND($AT188&lt;3,OFFSET(DATA!$C$14,$AS188,0)=BD$6),$AV188,dNULL)</f>
        <v>-99</v>
      </c>
      <c r="BE188">
        <f ca="1">IF(AND($AT188&lt;3,OFFSET(DATA!$C$14,$AS188,0)=BE$6),$AV188,dNULL)</f>
        <v>-99</v>
      </c>
      <c r="BF188">
        <f ca="1">IF(AND($AT188&lt;3,OFFSET(DATA!$C$14,$AS188,0)=BF$6),$AV188,dNULL)</f>
        <v>-99</v>
      </c>
      <c r="BG188">
        <f ca="1">IF(AND($AT188&lt;3,OFFSET(DATA!$C$14,$AS188,0)=BG$6),$AV188,dNULL)</f>
        <v>-99</v>
      </c>
      <c r="BH188">
        <f ca="1">IF(AND($AT188&lt;3,OFFSET(DATA!$C$14,$AS188,0)=BH$6),$AV188,dNULL)</f>
        <v>-99</v>
      </c>
      <c r="BU188">
        <f t="shared" si="77"/>
        <v>2</v>
      </c>
      <c r="BV188">
        <f t="shared" si="78"/>
        <v>1.9000000000000012</v>
      </c>
      <c r="BW188">
        <f t="shared" ca="1" si="74"/>
        <v>0.19881726705000147</v>
      </c>
      <c r="BX188">
        <f t="shared" ca="1" si="75"/>
        <v>-0.5229535416327602</v>
      </c>
    </row>
    <row r="189" spans="13:76" x14ac:dyDescent="0.25">
      <c r="Y189" s="26"/>
      <c r="Z189" s="26"/>
      <c r="AB189" s="26" t="str">
        <f t="shared" ca="1" si="63"/>
        <v/>
      </c>
      <c r="AC189">
        <f t="shared" ca="1" si="76"/>
        <v>90</v>
      </c>
      <c r="AD189" t="str">
        <f ca="1">IF(AND(AT189&lt;1,MAX(AW189:BH189)&gt;dNULL),DATA!$D197,"")</f>
        <v/>
      </c>
      <c r="AE189" s="7" t="str">
        <f ca="1">IF(LEN(DATA!D197)&gt;0,SUMPRODUCT(OFFSET(DATA!$R$6,AE$5,0,1,10),DATA!$R197:$AA197),"")</f>
        <v/>
      </c>
      <c r="AF189" s="7" t="str">
        <f ca="1">IF(LEN(DATA!E197)&gt;0,SUMPRODUCT(OFFSET(DATA!$R$6,AF$5,0,1,10),DATA!$R197:$AA197),"")</f>
        <v/>
      </c>
      <c r="AG189" s="7" t="str">
        <f ca="1">IF(LEN(DATA!F197)&gt;0,SUMPRODUCT(OFFSET(DATA!$R$6,AG$5,0,1,10),DATA!$R197:$AA197),"")</f>
        <v/>
      </c>
      <c r="AH189" s="7" t="str">
        <f ca="1">IF(LEN(DATA!G197)&gt;0,SUMPRODUCT(OFFSET(DATA!$R$6,AH$5,0,1,10),DATA!$R197:$AA197),"")</f>
        <v/>
      </c>
      <c r="AI189" s="7" t="str">
        <f ca="1">IF(LEN(DATA!H197)&gt;0,SUMPRODUCT(OFFSET(DATA!$R$6,AI$5,0,1,10),DATA!$R197:$AA197),"")</f>
        <v/>
      </c>
      <c r="AJ189" s="7" t="str">
        <f ca="1">IF(LEN(DATA!I197)&gt;0,SUMPRODUCT(OFFSET(DATA!$R$6,AJ$5,0,1,10),DATA!$R197:$AA197),"")</f>
        <v/>
      </c>
      <c r="AK189" s="7"/>
      <c r="AL189" s="7" t="e">
        <f t="shared" ca="1" si="64"/>
        <v>#DIV/0!</v>
      </c>
      <c r="AM189" s="7" t="e">
        <f t="shared" ca="1" si="65"/>
        <v>#DIV/0!</v>
      </c>
      <c r="AN189" s="7" t="e">
        <f t="shared" ca="1" si="66"/>
        <v>#DIV/0!</v>
      </c>
      <c r="AO189" s="7" t="e">
        <f t="shared" ca="1" si="67"/>
        <v>#DIV/0!</v>
      </c>
      <c r="AP189" s="7" t="e">
        <f t="shared" ca="1" si="68"/>
        <v>#DIV/0!</v>
      </c>
      <c r="AQ189" s="7" t="e">
        <f t="shared" ca="1" si="69"/>
        <v>#DIV/0!</v>
      </c>
      <c r="AS189">
        <f t="shared" si="70"/>
        <v>3</v>
      </c>
      <c r="AT189">
        <f t="shared" si="71"/>
        <v>2</v>
      </c>
      <c r="AU189">
        <f t="shared" ca="1" si="72"/>
        <v>1.0758927060789363</v>
      </c>
      <c r="AV189">
        <f t="shared" ca="1" si="73"/>
        <v>0.87964196428829111</v>
      </c>
      <c r="AW189">
        <f ca="1">IF(AND($AT189&lt;3,OFFSET(DATA!$C$14,$AS189,0)=AW$6),$AV189,dNULL)</f>
        <v>-99</v>
      </c>
      <c r="AX189">
        <f ca="1">IF(AND($AT189&lt;3,OFFSET(DATA!$C$14,$AS189,0)=AX$6),$AV189,dNULL)</f>
        <v>-99</v>
      </c>
      <c r="AY189">
        <f ca="1">IF(AND($AT189&lt;3,OFFSET(DATA!$C$14,$AS189,0)=AY$6),$AV189,dNULL)</f>
        <v>0.87964196428829111</v>
      </c>
      <c r="AZ189">
        <f ca="1">IF(AND($AT189&lt;3,OFFSET(DATA!$C$14,$AS189,0)=AZ$6),$AV189,dNULL)</f>
        <v>-99</v>
      </c>
      <c r="BA189">
        <f ca="1">IF(AND($AT189&lt;3,OFFSET(DATA!$C$14,$AS189,0)=BA$6),$AV189,dNULL)</f>
        <v>-99</v>
      </c>
      <c r="BB189">
        <f ca="1">IF(AND($AT189&lt;3,OFFSET(DATA!$C$14,$AS189,0)=BB$6),$AV189,dNULL)</f>
        <v>-99</v>
      </c>
      <c r="BC189">
        <f ca="1">IF(AND($AT189&lt;3,OFFSET(DATA!$C$14,$AS189,0)=BC$6),$AV189,dNULL)</f>
        <v>-99</v>
      </c>
      <c r="BD189">
        <f ca="1">IF(AND($AT189&lt;3,OFFSET(DATA!$C$14,$AS189,0)=BD$6),$AV189,dNULL)</f>
        <v>-99</v>
      </c>
      <c r="BE189">
        <f ca="1">IF(AND($AT189&lt;3,OFFSET(DATA!$C$14,$AS189,0)=BE$6),$AV189,dNULL)</f>
        <v>-99</v>
      </c>
      <c r="BF189">
        <f ca="1">IF(AND($AT189&lt;3,OFFSET(DATA!$C$14,$AS189,0)=BF$6),$AV189,dNULL)</f>
        <v>-99</v>
      </c>
      <c r="BG189">
        <f ca="1">IF(AND($AT189&lt;3,OFFSET(DATA!$C$14,$AS189,0)=BG$6),$AV189,dNULL)</f>
        <v>-99</v>
      </c>
      <c r="BH189">
        <f ca="1">IF(AND($AT189&lt;3,OFFSET(DATA!$C$14,$AS189,0)=BH$6),$AV189,dNULL)</f>
        <v>-99</v>
      </c>
      <c r="BU189">
        <f t="shared" si="77"/>
        <v>2</v>
      </c>
      <c r="BV189">
        <f t="shared" si="78"/>
        <v>1.9200000000000013</v>
      </c>
      <c r="BW189">
        <f t="shared" ca="1" si="74"/>
        <v>0.2</v>
      </c>
      <c r="BX189">
        <f t="shared" ca="1" si="75"/>
        <v>-0.2</v>
      </c>
    </row>
    <row r="190" spans="13:76" x14ac:dyDescent="0.25">
      <c r="N190">
        <f>N71+dAnionOFF*0.5</f>
        <v>0.85</v>
      </c>
      <c r="O190">
        <f>O71+dAnionOFF*3^0.5*0.5</f>
        <v>0.77942286340599476</v>
      </c>
      <c r="Y190" s="26"/>
      <c r="Z190" s="26"/>
      <c r="AB190" s="26" t="str">
        <f t="shared" ca="1" si="63"/>
        <v/>
      </c>
      <c r="AC190">
        <f t="shared" ca="1" si="76"/>
        <v>90</v>
      </c>
      <c r="AD190" t="str">
        <f ca="1">IF(AND(AT190&lt;1,MAX(AW190:BH190)&gt;dNULL),DATA!$D198,"")</f>
        <v/>
      </c>
      <c r="AE190" s="7" t="str">
        <f ca="1">IF(LEN(DATA!D198)&gt;0,SUMPRODUCT(OFFSET(DATA!$R$6,AE$5,0,1,10),DATA!$R198:$AA198),"")</f>
        <v/>
      </c>
      <c r="AF190" s="7" t="str">
        <f ca="1">IF(LEN(DATA!E198)&gt;0,SUMPRODUCT(OFFSET(DATA!$R$6,AF$5,0,1,10),DATA!$R198:$AA198),"")</f>
        <v/>
      </c>
      <c r="AG190" s="7" t="str">
        <f ca="1">IF(LEN(DATA!F198)&gt;0,SUMPRODUCT(OFFSET(DATA!$R$6,AG$5,0,1,10),DATA!$R198:$AA198),"")</f>
        <v/>
      </c>
      <c r="AH190" s="7" t="str">
        <f ca="1">IF(LEN(DATA!G198)&gt;0,SUMPRODUCT(OFFSET(DATA!$R$6,AH$5,0,1,10),DATA!$R198:$AA198),"")</f>
        <v/>
      </c>
      <c r="AI190" s="7" t="str">
        <f ca="1">IF(LEN(DATA!H198)&gt;0,SUMPRODUCT(OFFSET(DATA!$R$6,AI$5,0,1,10),DATA!$R198:$AA198),"")</f>
        <v/>
      </c>
      <c r="AJ190" s="7" t="str">
        <f ca="1">IF(LEN(DATA!I198)&gt;0,SUMPRODUCT(OFFSET(DATA!$R$6,AJ$5,0,1,10),DATA!$R198:$AA198),"")</f>
        <v/>
      </c>
      <c r="AK190" s="7"/>
      <c r="AL190" s="7" t="e">
        <f t="shared" ca="1" si="64"/>
        <v>#DIV/0!</v>
      </c>
      <c r="AM190" s="7" t="e">
        <f t="shared" ca="1" si="65"/>
        <v>#DIV/0!</v>
      </c>
      <c r="AN190" s="7" t="e">
        <f t="shared" ca="1" si="66"/>
        <v>#DIV/0!</v>
      </c>
      <c r="AO190" s="7" t="e">
        <f t="shared" ca="1" si="67"/>
        <v>#DIV/0!</v>
      </c>
      <c r="AP190" s="7" t="e">
        <f t="shared" ca="1" si="68"/>
        <v>#DIV/0!</v>
      </c>
      <c r="AQ190" s="7" t="e">
        <f t="shared" ca="1" si="69"/>
        <v>#DIV/0!</v>
      </c>
      <c r="AS190">
        <f t="shared" si="70"/>
        <v>4</v>
      </c>
      <c r="AT190">
        <f t="shared" si="71"/>
        <v>2</v>
      </c>
      <c r="AU190">
        <f t="shared" ca="1" si="72"/>
        <v>1.0268545940761631</v>
      </c>
      <c r="AV190">
        <f t="shared" ca="1" si="73"/>
        <v>0.90533547597217567</v>
      </c>
      <c r="AW190">
        <f ca="1">IF(AND($AT190&lt;3,OFFSET(DATA!$C$14,$AS190,0)=AW$6),$AV190,dNULL)</f>
        <v>-99</v>
      </c>
      <c r="AX190">
        <f ca="1">IF(AND($AT190&lt;3,OFFSET(DATA!$C$14,$AS190,0)=AX$6),$AV190,dNULL)</f>
        <v>-99</v>
      </c>
      <c r="AY190">
        <f ca="1">IF(AND($AT190&lt;3,OFFSET(DATA!$C$14,$AS190,0)=AY$6),$AV190,dNULL)</f>
        <v>0.90533547597217567</v>
      </c>
      <c r="AZ190">
        <f ca="1">IF(AND($AT190&lt;3,OFFSET(DATA!$C$14,$AS190,0)=AZ$6),$AV190,dNULL)</f>
        <v>-99</v>
      </c>
      <c r="BA190">
        <f ca="1">IF(AND($AT190&lt;3,OFFSET(DATA!$C$14,$AS190,0)=BA$6),$AV190,dNULL)</f>
        <v>-99</v>
      </c>
      <c r="BB190">
        <f ca="1">IF(AND($AT190&lt;3,OFFSET(DATA!$C$14,$AS190,0)=BB$6),$AV190,dNULL)</f>
        <v>-99</v>
      </c>
      <c r="BC190">
        <f ca="1">IF(AND($AT190&lt;3,OFFSET(DATA!$C$14,$AS190,0)=BC$6),$AV190,dNULL)</f>
        <v>-99</v>
      </c>
      <c r="BD190">
        <f ca="1">IF(AND($AT190&lt;3,OFFSET(DATA!$C$14,$AS190,0)=BD$6),$AV190,dNULL)</f>
        <v>-99</v>
      </c>
      <c r="BE190">
        <f ca="1">IF(AND($AT190&lt;3,OFFSET(DATA!$C$14,$AS190,0)=BE$6),$AV190,dNULL)</f>
        <v>-99</v>
      </c>
      <c r="BF190">
        <f ca="1">IF(AND($AT190&lt;3,OFFSET(DATA!$C$14,$AS190,0)=BF$6),$AV190,dNULL)</f>
        <v>-99</v>
      </c>
      <c r="BG190">
        <f ca="1">IF(AND($AT190&lt;3,OFFSET(DATA!$C$14,$AS190,0)=BG$6),$AV190,dNULL)</f>
        <v>-99</v>
      </c>
      <c r="BH190">
        <f ca="1">IF(AND($AT190&lt;3,OFFSET(DATA!$C$14,$AS190,0)=BH$6),$AV190,dNULL)</f>
        <v>-99</v>
      </c>
      <c r="BU190">
        <f t="shared" si="77"/>
        <v>2</v>
      </c>
      <c r="BV190">
        <f t="shared" si="78"/>
        <v>1.9200000000000013</v>
      </c>
      <c r="BW190">
        <f t="shared" ca="1" si="74"/>
        <v>0.19131264882605192</v>
      </c>
      <c r="BX190">
        <f t="shared" ca="1" si="75"/>
        <v>-0.51312540893845515</v>
      </c>
    </row>
    <row r="191" spans="13:76" x14ac:dyDescent="0.25">
      <c r="N191">
        <f>N190+0.5</f>
        <v>1.35</v>
      </c>
      <c r="O191">
        <f>O190+3^0.5/2</f>
        <v>1.6454482671904334</v>
      </c>
      <c r="Y191" s="26"/>
      <c r="Z191" s="26"/>
      <c r="AB191" s="26" t="str">
        <f t="shared" ca="1" si="63"/>
        <v/>
      </c>
      <c r="AC191">
        <f t="shared" ca="1" si="76"/>
        <v>90</v>
      </c>
      <c r="AD191" t="str">
        <f ca="1">IF(AND(AT191&lt;1,MAX(AW191:BH191)&gt;dNULL),DATA!$D199,"")</f>
        <v/>
      </c>
      <c r="AE191" s="7" t="str">
        <f ca="1">IF(LEN(DATA!D199)&gt;0,SUMPRODUCT(OFFSET(DATA!$R$6,AE$5,0,1,10),DATA!$R199:$AA199),"")</f>
        <v/>
      </c>
      <c r="AF191" s="7" t="str">
        <f ca="1">IF(LEN(DATA!E199)&gt;0,SUMPRODUCT(OFFSET(DATA!$R$6,AF$5,0,1,10),DATA!$R199:$AA199),"")</f>
        <v/>
      </c>
      <c r="AG191" s="7" t="str">
        <f ca="1">IF(LEN(DATA!F199)&gt;0,SUMPRODUCT(OFFSET(DATA!$R$6,AG$5,0,1,10),DATA!$R199:$AA199),"")</f>
        <v/>
      </c>
      <c r="AH191" s="7" t="str">
        <f ca="1">IF(LEN(DATA!G199)&gt;0,SUMPRODUCT(OFFSET(DATA!$R$6,AH$5,0,1,10),DATA!$R199:$AA199),"")</f>
        <v/>
      </c>
      <c r="AI191" s="7" t="str">
        <f ca="1">IF(LEN(DATA!H199)&gt;0,SUMPRODUCT(OFFSET(DATA!$R$6,AI$5,0,1,10),DATA!$R199:$AA199),"")</f>
        <v/>
      </c>
      <c r="AJ191" s="7" t="str">
        <f ca="1">IF(LEN(DATA!I199)&gt;0,SUMPRODUCT(OFFSET(DATA!$R$6,AJ$5,0,1,10),DATA!$R199:$AA199),"")</f>
        <v/>
      </c>
      <c r="AK191" s="7"/>
      <c r="AL191" s="7" t="e">
        <f t="shared" ca="1" si="64"/>
        <v>#DIV/0!</v>
      </c>
      <c r="AM191" s="7" t="e">
        <f t="shared" ca="1" si="65"/>
        <v>#DIV/0!</v>
      </c>
      <c r="AN191" s="7" t="e">
        <f t="shared" ca="1" si="66"/>
        <v>#DIV/0!</v>
      </c>
      <c r="AO191" s="7" t="e">
        <f t="shared" ca="1" si="67"/>
        <v>#DIV/0!</v>
      </c>
      <c r="AP191" s="7" t="e">
        <f t="shared" ca="1" si="68"/>
        <v>#DIV/0!</v>
      </c>
      <c r="AQ191" s="7" t="e">
        <f t="shared" ca="1" si="69"/>
        <v>#DIV/0!</v>
      </c>
      <c r="AS191">
        <f t="shared" si="70"/>
        <v>5</v>
      </c>
      <c r="AT191">
        <f t="shared" si="71"/>
        <v>2</v>
      </c>
      <c r="AU191">
        <f t="shared" ca="1" si="72"/>
        <v>1.0346366999285883</v>
      </c>
      <c r="AV191">
        <f t="shared" ca="1" si="73"/>
        <v>0.91558357568391324</v>
      </c>
      <c r="AW191">
        <f ca="1">IF(AND($AT191&lt;3,OFFSET(DATA!$C$14,$AS191,0)=AW$6),$AV191,dNULL)</f>
        <v>-99</v>
      </c>
      <c r="AX191">
        <f ca="1">IF(AND($AT191&lt;3,OFFSET(DATA!$C$14,$AS191,0)=AX$6),$AV191,dNULL)</f>
        <v>-99</v>
      </c>
      <c r="AY191">
        <f ca="1">IF(AND($AT191&lt;3,OFFSET(DATA!$C$14,$AS191,0)=AY$6),$AV191,dNULL)</f>
        <v>0.91558357568391324</v>
      </c>
      <c r="AZ191">
        <f ca="1">IF(AND($AT191&lt;3,OFFSET(DATA!$C$14,$AS191,0)=AZ$6),$AV191,dNULL)</f>
        <v>-99</v>
      </c>
      <c r="BA191">
        <f ca="1">IF(AND($AT191&lt;3,OFFSET(DATA!$C$14,$AS191,0)=BA$6),$AV191,dNULL)</f>
        <v>-99</v>
      </c>
      <c r="BB191">
        <f ca="1">IF(AND($AT191&lt;3,OFFSET(DATA!$C$14,$AS191,0)=BB$6),$AV191,dNULL)</f>
        <v>-99</v>
      </c>
      <c r="BC191">
        <f ca="1">IF(AND($AT191&lt;3,OFFSET(DATA!$C$14,$AS191,0)=BC$6),$AV191,dNULL)</f>
        <v>-99</v>
      </c>
      <c r="BD191">
        <f ca="1">IF(AND($AT191&lt;3,OFFSET(DATA!$C$14,$AS191,0)=BD$6),$AV191,dNULL)</f>
        <v>-99</v>
      </c>
      <c r="BE191">
        <f ca="1">IF(AND($AT191&lt;3,OFFSET(DATA!$C$14,$AS191,0)=BE$6),$AV191,dNULL)</f>
        <v>-99</v>
      </c>
      <c r="BF191">
        <f ca="1">IF(AND($AT191&lt;3,OFFSET(DATA!$C$14,$AS191,0)=BF$6),$AV191,dNULL)</f>
        <v>-99</v>
      </c>
      <c r="BG191">
        <f ca="1">IF(AND($AT191&lt;3,OFFSET(DATA!$C$14,$AS191,0)=BG$6),$AV191,dNULL)</f>
        <v>-99</v>
      </c>
      <c r="BH191">
        <f ca="1">IF(AND($AT191&lt;3,OFFSET(DATA!$C$14,$AS191,0)=BH$6),$AV191,dNULL)</f>
        <v>-99</v>
      </c>
      <c r="BU191">
        <f t="shared" si="77"/>
        <v>2</v>
      </c>
      <c r="BV191">
        <f t="shared" si="78"/>
        <v>1.9400000000000013</v>
      </c>
      <c r="BW191">
        <f t="shared" ca="1" si="74"/>
        <v>0.2</v>
      </c>
      <c r="BX191">
        <f t="shared" ca="1" si="75"/>
        <v>-0.2</v>
      </c>
    </row>
    <row r="192" spans="13:76" x14ac:dyDescent="0.25">
      <c r="Y192" s="26"/>
      <c r="Z192" s="26"/>
      <c r="AB192" s="26" t="str">
        <f t="shared" ca="1" si="63"/>
        <v/>
      </c>
      <c r="AC192">
        <f t="shared" ca="1" si="76"/>
        <v>90</v>
      </c>
      <c r="AD192" t="str">
        <f ca="1">IF(AND(AT192&lt;1,MAX(AW192:BH192)&gt;dNULL),DATA!$D200,"")</f>
        <v/>
      </c>
      <c r="AE192" s="7" t="str">
        <f ca="1">IF(LEN(DATA!D200)&gt;0,SUMPRODUCT(OFFSET(DATA!$R$6,AE$5,0,1,10),DATA!$R200:$AA200),"")</f>
        <v/>
      </c>
      <c r="AF192" s="7" t="str">
        <f ca="1">IF(LEN(DATA!E200)&gt;0,SUMPRODUCT(OFFSET(DATA!$R$6,AF$5,0,1,10),DATA!$R200:$AA200),"")</f>
        <v/>
      </c>
      <c r="AG192" s="7" t="str">
        <f ca="1">IF(LEN(DATA!F200)&gt;0,SUMPRODUCT(OFFSET(DATA!$R$6,AG$5,0,1,10),DATA!$R200:$AA200),"")</f>
        <v/>
      </c>
      <c r="AH192" s="7" t="str">
        <f ca="1">IF(LEN(DATA!G200)&gt;0,SUMPRODUCT(OFFSET(DATA!$R$6,AH$5,0,1,10),DATA!$R200:$AA200),"")</f>
        <v/>
      </c>
      <c r="AI192" s="7" t="str">
        <f ca="1">IF(LEN(DATA!H200)&gt;0,SUMPRODUCT(OFFSET(DATA!$R$6,AI$5,0,1,10),DATA!$R200:$AA200),"")</f>
        <v/>
      </c>
      <c r="AJ192" s="7" t="str">
        <f ca="1">IF(LEN(DATA!I200)&gt;0,SUMPRODUCT(OFFSET(DATA!$R$6,AJ$5,0,1,10),DATA!$R200:$AA200),"")</f>
        <v/>
      </c>
      <c r="AK192" s="7"/>
      <c r="AL192" s="7" t="e">
        <f t="shared" ca="1" si="64"/>
        <v>#DIV/0!</v>
      </c>
      <c r="AM192" s="7" t="e">
        <f t="shared" ca="1" si="65"/>
        <v>#DIV/0!</v>
      </c>
      <c r="AN192" s="7" t="e">
        <f t="shared" ca="1" si="66"/>
        <v>#DIV/0!</v>
      </c>
      <c r="AO192" s="7" t="e">
        <f t="shared" ca="1" si="67"/>
        <v>#DIV/0!</v>
      </c>
      <c r="AP192" s="7" t="e">
        <f t="shared" ca="1" si="68"/>
        <v>#DIV/0!</v>
      </c>
      <c r="AQ192" s="7" t="e">
        <f t="shared" ca="1" si="69"/>
        <v>#DIV/0!</v>
      </c>
      <c r="AS192">
        <f t="shared" si="70"/>
        <v>6</v>
      </c>
      <c r="AT192">
        <f t="shared" si="71"/>
        <v>2</v>
      </c>
      <c r="AU192">
        <f t="shared" ca="1" si="72"/>
        <v>1.0623283858594443</v>
      </c>
      <c r="AV192">
        <f t="shared" ca="1" si="73"/>
        <v>0.85181743722420133</v>
      </c>
      <c r="AW192">
        <f ca="1">IF(AND($AT192&lt;3,OFFSET(DATA!$C$14,$AS192,0)=AW$6),$AV192,dNULL)</f>
        <v>-99</v>
      </c>
      <c r="AX192">
        <f ca="1">IF(AND($AT192&lt;3,OFFSET(DATA!$C$14,$AS192,0)=AX$6),$AV192,dNULL)</f>
        <v>-99</v>
      </c>
      <c r="AY192">
        <f ca="1">IF(AND($AT192&lt;3,OFFSET(DATA!$C$14,$AS192,0)=AY$6),$AV192,dNULL)</f>
        <v>0.85181743722420133</v>
      </c>
      <c r="AZ192">
        <f ca="1">IF(AND($AT192&lt;3,OFFSET(DATA!$C$14,$AS192,0)=AZ$6),$AV192,dNULL)</f>
        <v>-99</v>
      </c>
      <c r="BA192">
        <f ca="1">IF(AND($AT192&lt;3,OFFSET(DATA!$C$14,$AS192,0)=BA$6),$AV192,dNULL)</f>
        <v>-99</v>
      </c>
      <c r="BB192">
        <f ca="1">IF(AND($AT192&lt;3,OFFSET(DATA!$C$14,$AS192,0)=BB$6),$AV192,dNULL)</f>
        <v>-99</v>
      </c>
      <c r="BC192">
        <f ca="1">IF(AND($AT192&lt;3,OFFSET(DATA!$C$14,$AS192,0)=BC$6),$AV192,dNULL)</f>
        <v>-99</v>
      </c>
      <c r="BD192">
        <f ca="1">IF(AND($AT192&lt;3,OFFSET(DATA!$C$14,$AS192,0)=BD$6),$AV192,dNULL)</f>
        <v>-99</v>
      </c>
      <c r="BE192">
        <f ca="1">IF(AND($AT192&lt;3,OFFSET(DATA!$C$14,$AS192,0)=BE$6),$AV192,dNULL)</f>
        <v>-99</v>
      </c>
      <c r="BF192">
        <f ca="1">IF(AND($AT192&lt;3,OFFSET(DATA!$C$14,$AS192,0)=BF$6),$AV192,dNULL)</f>
        <v>-99</v>
      </c>
      <c r="BG192">
        <f ca="1">IF(AND($AT192&lt;3,OFFSET(DATA!$C$14,$AS192,0)=BG$6),$AV192,dNULL)</f>
        <v>-99</v>
      </c>
      <c r="BH192">
        <f ca="1">IF(AND($AT192&lt;3,OFFSET(DATA!$C$14,$AS192,0)=BH$6),$AV192,dNULL)</f>
        <v>-99</v>
      </c>
      <c r="BU192">
        <f t="shared" si="77"/>
        <v>2</v>
      </c>
      <c r="BV192">
        <f t="shared" si="78"/>
        <v>1.9400000000000013</v>
      </c>
      <c r="BW192">
        <f t="shared" ca="1" si="74"/>
        <v>0.18380803060210238</v>
      </c>
      <c r="BX192">
        <f t="shared" ca="1" si="75"/>
        <v>-0.5032972762441501</v>
      </c>
    </row>
    <row r="193" spans="14:76" x14ac:dyDescent="0.25">
      <c r="N193">
        <f>N74+dAnionOFF*0.5</f>
        <v>0.95000000000000007</v>
      </c>
      <c r="O193">
        <f>O74+dAnionOFF*3^0.5*0.5</f>
        <v>0.60621778264910686</v>
      </c>
      <c r="Y193" s="26"/>
      <c r="Z193" s="26"/>
      <c r="AB193" s="26" t="str">
        <f t="shared" ca="1" si="63"/>
        <v/>
      </c>
      <c r="AC193">
        <f t="shared" ca="1" si="76"/>
        <v>90</v>
      </c>
      <c r="AD193" t="str">
        <f ca="1">IF(AND(AT193&lt;1,MAX(AW193:BH193)&gt;dNULL),DATA!$D201,"")</f>
        <v/>
      </c>
      <c r="AE193" s="7" t="str">
        <f ca="1">IF(LEN(DATA!D201)&gt;0,SUMPRODUCT(OFFSET(DATA!$R$6,AE$5,0,1,10),DATA!$R201:$AA201),"")</f>
        <v/>
      </c>
      <c r="AF193" s="7" t="str">
        <f ca="1">IF(LEN(DATA!E201)&gt;0,SUMPRODUCT(OFFSET(DATA!$R$6,AF$5,0,1,10),DATA!$R201:$AA201),"")</f>
        <v/>
      </c>
      <c r="AG193" s="7" t="str">
        <f ca="1">IF(LEN(DATA!F201)&gt;0,SUMPRODUCT(OFFSET(DATA!$R$6,AG$5,0,1,10),DATA!$R201:$AA201),"")</f>
        <v/>
      </c>
      <c r="AH193" s="7" t="str">
        <f ca="1">IF(LEN(DATA!G201)&gt;0,SUMPRODUCT(OFFSET(DATA!$R$6,AH$5,0,1,10),DATA!$R201:$AA201),"")</f>
        <v/>
      </c>
      <c r="AI193" s="7" t="str">
        <f ca="1">IF(LEN(DATA!H201)&gt;0,SUMPRODUCT(OFFSET(DATA!$R$6,AI$5,0,1,10),DATA!$R201:$AA201),"")</f>
        <v/>
      </c>
      <c r="AJ193" s="7" t="str">
        <f ca="1">IF(LEN(DATA!I201)&gt;0,SUMPRODUCT(OFFSET(DATA!$R$6,AJ$5,0,1,10),DATA!$R201:$AA201),"")</f>
        <v/>
      </c>
      <c r="AK193" s="7"/>
      <c r="AL193" s="7" t="e">
        <f t="shared" ca="1" si="64"/>
        <v>#DIV/0!</v>
      </c>
      <c r="AM193" s="7" t="e">
        <f t="shared" ca="1" si="65"/>
        <v>#DIV/0!</v>
      </c>
      <c r="AN193" s="7" t="e">
        <f t="shared" ca="1" si="66"/>
        <v>#DIV/0!</v>
      </c>
      <c r="AO193" s="7" t="e">
        <f t="shared" ca="1" si="67"/>
        <v>#DIV/0!</v>
      </c>
      <c r="AP193" s="7" t="e">
        <f t="shared" ca="1" si="68"/>
        <v>#DIV/0!</v>
      </c>
      <c r="AQ193" s="7" t="e">
        <f t="shared" ca="1" si="69"/>
        <v>#DIV/0!</v>
      </c>
      <c r="AS193">
        <f t="shared" si="70"/>
        <v>7</v>
      </c>
      <c r="AT193">
        <f t="shared" si="71"/>
        <v>2</v>
      </c>
      <c r="AU193">
        <f t="shared" ca="1" si="72"/>
        <v>1.1461820655532375</v>
      </c>
      <c r="AV193">
        <f t="shared" ca="1" si="73"/>
        <v>0.98846647179935276</v>
      </c>
      <c r="AW193">
        <f ca="1">IF(AND($AT193&lt;3,OFFSET(DATA!$C$14,$AS193,0)=AW$6),$AV193,dNULL)</f>
        <v>-99</v>
      </c>
      <c r="AX193">
        <f ca="1">IF(AND($AT193&lt;3,OFFSET(DATA!$C$14,$AS193,0)=AX$6),$AV193,dNULL)</f>
        <v>-99</v>
      </c>
      <c r="AY193">
        <f ca="1">IF(AND($AT193&lt;3,OFFSET(DATA!$C$14,$AS193,0)=AY$6),$AV193,dNULL)</f>
        <v>0.98846647179935276</v>
      </c>
      <c r="AZ193">
        <f ca="1">IF(AND($AT193&lt;3,OFFSET(DATA!$C$14,$AS193,0)=AZ$6),$AV193,dNULL)</f>
        <v>-99</v>
      </c>
      <c r="BA193">
        <f ca="1">IF(AND($AT193&lt;3,OFFSET(DATA!$C$14,$AS193,0)=BA$6),$AV193,dNULL)</f>
        <v>-99</v>
      </c>
      <c r="BB193">
        <f ca="1">IF(AND($AT193&lt;3,OFFSET(DATA!$C$14,$AS193,0)=BB$6),$AV193,dNULL)</f>
        <v>-99</v>
      </c>
      <c r="BC193">
        <f ca="1">IF(AND($AT193&lt;3,OFFSET(DATA!$C$14,$AS193,0)=BC$6),$AV193,dNULL)</f>
        <v>-99</v>
      </c>
      <c r="BD193">
        <f ca="1">IF(AND($AT193&lt;3,OFFSET(DATA!$C$14,$AS193,0)=BD$6),$AV193,dNULL)</f>
        <v>-99</v>
      </c>
      <c r="BE193">
        <f ca="1">IF(AND($AT193&lt;3,OFFSET(DATA!$C$14,$AS193,0)=BE$6),$AV193,dNULL)</f>
        <v>-99</v>
      </c>
      <c r="BF193">
        <f ca="1">IF(AND($AT193&lt;3,OFFSET(DATA!$C$14,$AS193,0)=BF$6),$AV193,dNULL)</f>
        <v>-99</v>
      </c>
      <c r="BG193">
        <f ca="1">IF(AND($AT193&lt;3,OFFSET(DATA!$C$14,$AS193,0)=BG$6),$AV193,dNULL)</f>
        <v>-99</v>
      </c>
      <c r="BH193">
        <f ca="1">IF(AND($AT193&lt;3,OFFSET(DATA!$C$14,$AS193,0)=BH$6),$AV193,dNULL)</f>
        <v>-99</v>
      </c>
      <c r="BU193">
        <f t="shared" si="77"/>
        <v>2</v>
      </c>
      <c r="BV193">
        <f t="shared" si="78"/>
        <v>1.9600000000000013</v>
      </c>
      <c r="BW193">
        <f t="shared" ca="1" si="74"/>
        <v>0.2</v>
      </c>
      <c r="BX193">
        <f t="shared" ca="1" si="75"/>
        <v>-0.2</v>
      </c>
    </row>
    <row r="194" spans="14:76" x14ac:dyDescent="0.25">
      <c r="N194">
        <f>N193+0.5</f>
        <v>1.4500000000000002</v>
      </c>
      <c r="O194">
        <f>O193+3^0.5/2</f>
        <v>1.4722431864335455</v>
      </c>
      <c r="Y194" s="26"/>
      <c r="Z194" s="26"/>
      <c r="AB194" s="26" t="str">
        <f t="shared" ca="1" si="63"/>
        <v/>
      </c>
      <c r="AC194">
        <f t="shared" ca="1" si="76"/>
        <v>90</v>
      </c>
      <c r="AD194" t="str">
        <f ca="1">IF(AND(AT194&lt;1,MAX(AW194:BH194)&gt;dNULL),DATA!$D202,"")</f>
        <v/>
      </c>
      <c r="AE194" s="7" t="str">
        <f ca="1">IF(LEN(DATA!D202)&gt;0,SUMPRODUCT(OFFSET(DATA!$R$6,AE$5,0,1,10),DATA!$R202:$AA202),"")</f>
        <v/>
      </c>
      <c r="AF194" s="7" t="str">
        <f ca="1">IF(LEN(DATA!E202)&gt;0,SUMPRODUCT(OFFSET(DATA!$R$6,AF$5,0,1,10),DATA!$R202:$AA202),"")</f>
        <v/>
      </c>
      <c r="AG194" s="7" t="str">
        <f ca="1">IF(LEN(DATA!F202)&gt;0,SUMPRODUCT(OFFSET(DATA!$R$6,AG$5,0,1,10),DATA!$R202:$AA202),"")</f>
        <v/>
      </c>
      <c r="AH194" s="7" t="str">
        <f ca="1">IF(LEN(DATA!G202)&gt;0,SUMPRODUCT(OFFSET(DATA!$R$6,AH$5,0,1,10),DATA!$R202:$AA202),"")</f>
        <v/>
      </c>
      <c r="AI194" s="7" t="str">
        <f ca="1">IF(LEN(DATA!H202)&gt;0,SUMPRODUCT(OFFSET(DATA!$R$6,AI$5,0,1,10),DATA!$R202:$AA202),"")</f>
        <v/>
      </c>
      <c r="AJ194" s="7" t="str">
        <f ca="1">IF(LEN(DATA!I202)&gt;0,SUMPRODUCT(OFFSET(DATA!$R$6,AJ$5,0,1,10),DATA!$R202:$AA202),"")</f>
        <v/>
      </c>
      <c r="AK194" s="7"/>
      <c r="AL194" s="7" t="e">
        <f t="shared" ca="1" si="64"/>
        <v>#DIV/0!</v>
      </c>
      <c r="AM194" s="7" t="e">
        <f t="shared" ca="1" si="65"/>
        <v>#DIV/0!</v>
      </c>
      <c r="AN194" s="7" t="e">
        <f t="shared" ca="1" si="66"/>
        <v>#DIV/0!</v>
      </c>
      <c r="AO194" s="7" t="e">
        <f t="shared" ca="1" si="67"/>
        <v>#DIV/0!</v>
      </c>
      <c r="AP194" s="7" t="e">
        <f t="shared" ca="1" si="68"/>
        <v>#DIV/0!</v>
      </c>
      <c r="AQ194" s="7" t="e">
        <f t="shared" ca="1" si="69"/>
        <v>#DIV/0!</v>
      </c>
      <c r="AS194">
        <f t="shared" si="70"/>
        <v>8</v>
      </c>
      <c r="AT194">
        <f t="shared" si="71"/>
        <v>2</v>
      </c>
      <c r="AU194">
        <f t="shared" ca="1" si="72"/>
        <v>1.1954716478617804</v>
      </c>
      <c r="AV194">
        <f t="shared" ca="1" si="73"/>
        <v>0.92411007393861389</v>
      </c>
      <c r="AW194">
        <f ca="1">IF(AND($AT194&lt;3,OFFSET(DATA!$C$14,$AS194,0)=AW$6),$AV194,dNULL)</f>
        <v>-99</v>
      </c>
      <c r="AX194">
        <f ca="1">IF(AND($AT194&lt;3,OFFSET(DATA!$C$14,$AS194,0)=AX$6),$AV194,dNULL)</f>
        <v>-99</v>
      </c>
      <c r="AY194">
        <f ca="1">IF(AND($AT194&lt;3,OFFSET(DATA!$C$14,$AS194,0)=AY$6),$AV194,dNULL)</f>
        <v>0.92411007393861389</v>
      </c>
      <c r="AZ194">
        <f ca="1">IF(AND($AT194&lt;3,OFFSET(DATA!$C$14,$AS194,0)=AZ$6),$AV194,dNULL)</f>
        <v>-99</v>
      </c>
      <c r="BA194">
        <f ca="1">IF(AND($AT194&lt;3,OFFSET(DATA!$C$14,$AS194,0)=BA$6),$AV194,dNULL)</f>
        <v>-99</v>
      </c>
      <c r="BB194">
        <f ca="1">IF(AND($AT194&lt;3,OFFSET(DATA!$C$14,$AS194,0)=BB$6),$AV194,dNULL)</f>
        <v>-99</v>
      </c>
      <c r="BC194">
        <f ca="1">IF(AND($AT194&lt;3,OFFSET(DATA!$C$14,$AS194,0)=BC$6),$AV194,dNULL)</f>
        <v>-99</v>
      </c>
      <c r="BD194">
        <f ca="1">IF(AND($AT194&lt;3,OFFSET(DATA!$C$14,$AS194,0)=BD$6),$AV194,dNULL)</f>
        <v>-99</v>
      </c>
      <c r="BE194">
        <f ca="1">IF(AND($AT194&lt;3,OFFSET(DATA!$C$14,$AS194,0)=BE$6),$AV194,dNULL)</f>
        <v>-99</v>
      </c>
      <c r="BF194">
        <f ca="1">IF(AND($AT194&lt;3,OFFSET(DATA!$C$14,$AS194,0)=BF$6),$AV194,dNULL)</f>
        <v>-99</v>
      </c>
      <c r="BG194">
        <f ca="1">IF(AND($AT194&lt;3,OFFSET(DATA!$C$14,$AS194,0)=BG$6),$AV194,dNULL)</f>
        <v>-99</v>
      </c>
      <c r="BH194">
        <f ca="1">IF(AND($AT194&lt;3,OFFSET(DATA!$C$14,$AS194,0)=BH$6),$AV194,dNULL)</f>
        <v>-99</v>
      </c>
      <c r="BU194">
        <f t="shared" si="77"/>
        <v>2</v>
      </c>
      <c r="BV194">
        <f t="shared" si="78"/>
        <v>1.9600000000000013</v>
      </c>
      <c r="BW194">
        <f t="shared" ca="1" si="74"/>
        <v>0.17630341237815284</v>
      </c>
      <c r="BX194">
        <f t="shared" ca="1" si="75"/>
        <v>-0.49346914354984495</v>
      </c>
    </row>
    <row r="195" spans="14:76" x14ac:dyDescent="0.25">
      <c r="Y195" s="26"/>
      <c r="Z195" s="26"/>
      <c r="AB195" s="26" t="str">
        <f t="shared" ca="1" si="63"/>
        <v/>
      </c>
      <c r="AC195">
        <f t="shared" ca="1" si="76"/>
        <v>90</v>
      </c>
      <c r="AD195" t="str">
        <f ca="1">IF(AND(AT195&lt;1,MAX(AW195:BH195)&gt;dNULL),DATA!$D203,"")</f>
        <v/>
      </c>
      <c r="AE195" s="7" t="str">
        <f ca="1">IF(LEN(DATA!D203)&gt;0,SUMPRODUCT(OFFSET(DATA!$R$6,AE$5,0,1,10),DATA!$R203:$AA203),"")</f>
        <v/>
      </c>
      <c r="AF195" s="7" t="str">
        <f ca="1">IF(LEN(DATA!E203)&gt;0,SUMPRODUCT(OFFSET(DATA!$R$6,AF$5,0,1,10),DATA!$R203:$AA203),"")</f>
        <v/>
      </c>
      <c r="AG195" s="7" t="str">
        <f ca="1">IF(LEN(DATA!F203)&gt;0,SUMPRODUCT(OFFSET(DATA!$R$6,AG$5,0,1,10),DATA!$R203:$AA203),"")</f>
        <v/>
      </c>
      <c r="AH195" s="7" t="str">
        <f ca="1">IF(LEN(DATA!G203)&gt;0,SUMPRODUCT(OFFSET(DATA!$R$6,AH$5,0,1,10),DATA!$R203:$AA203),"")</f>
        <v/>
      </c>
      <c r="AI195" s="7" t="str">
        <f ca="1">IF(LEN(DATA!H203)&gt;0,SUMPRODUCT(OFFSET(DATA!$R$6,AI$5,0,1,10),DATA!$R203:$AA203),"")</f>
        <v/>
      </c>
      <c r="AJ195" s="7" t="str">
        <f ca="1">IF(LEN(DATA!I203)&gt;0,SUMPRODUCT(OFFSET(DATA!$R$6,AJ$5,0,1,10),DATA!$R203:$AA203),"")</f>
        <v/>
      </c>
      <c r="AK195" s="7"/>
      <c r="AL195" s="7" t="e">
        <f t="shared" ca="1" si="64"/>
        <v>#DIV/0!</v>
      </c>
      <c r="AM195" s="7" t="e">
        <f t="shared" ca="1" si="65"/>
        <v>#DIV/0!</v>
      </c>
      <c r="AN195" s="7" t="e">
        <f t="shared" ca="1" si="66"/>
        <v>#DIV/0!</v>
      </c>
      <c r="AO195" s="7" t="e">
        <f t="shared" ca="1" si="67"/>
        <v>#DIV/0!</v>
      </c>
      <c r="AP195" s="7" t="e">
        <f t="shared" ca="1" si="68"/>
        <v>#DIV/0!</v>
      </c>
      <c r="AQ195" s="7" t="e">
        <f t="shared" ca="1" si="69"/>
        <v>#DIV/0!</v>
      </c>
      <c r="AS195">
        <f t="shared" si="70"/>
        <v>9</v>
      </c>
      <c r="AT195">
        <f t="shared" si="71"/>
        <v>2</v>
      </c>
      <c r="AU195">
        <f t="shared" ca="1" si="72"/>
        <v>1.0925362113253148</v>
      </c>
      <c r="AV195">
        <f t="shared" ca="1" si="73"/>
        <v>0.80614009269957054</v>
      </c>
      <c r="AW195">
        <f ca="1">IF(AND($AT195&lt;3,OFFSET(DATA!$C$14,$AS195,0)=AW$6),$AV195,dNULL)</f>
        <v>-99</v>
      </c>
      <c r="AX195">
        <f ca="1">IF(AND($AT195&lt;3,OFFSET(DATA!$C$14,$AS195,0)=AX$6),$AV195,dNULL)</f>
        <v>-99</v>
      </c>
      <c r="AY195">
        <f ca="1">IF(AND($AT195&lt;3,OFFSET(DATA!$C$14,$AS195,0)=AY$6),$AV195,dNULL)</f>
        <v>0.80614009269957054</v>
      </c>
      <c r="AZ195">
        <f ca="1">IF(AND($AT195&lt;3,OFFSET(DATA!$C$14,$AS195,0)=AZ$6),$AV195,dNULL)</f>
        <v>-99</v>
      </c>
      <c r="BA195">
        <f ca="1">IF(AND($AT195&lt;3,OFFSET(DATA!$C$14,$AS195,0)=BA$6),$AV195,dNULL)</f>
        <v>-99</v>
      </c>
      <c r="BB195">
        <f ca="1">IF(AND($AT195&lt;3,OFFSET(DATA!$C$14,$AS195,0)=BB$6),$AV195,dNULL)</f>
        <v>-99</v>
      </c>
      <c r="BC195">
        <f ca="1">IF(AND($AT195&lt;3,OFFSET(DATA!$C$14,$AS195,0)=BC$6),$AV195,dNULL)</f>
        <v>-99</v>
      </c>
      <c r="BD195">
        <f ca="1">IF(AND($AT195&lt;3,OFFSET(DATA!$C$14,$AS195,0)=BD$6),$AV195,dNULL)</f>
        <v>-99</v>
      </c>
      <c r="BE195">
        <f ca="1">IF(AND($AT195&lt;3,OFFSET(DATA!$C$14,$AS195,0)=BE$6),$AV195,dNULL)</f>
        <v>-99</v>
      </c>
      <c r="BF195">
        <f ca="1">IF(AND($AT195&lt;3,OFFSET(DATA!$C$14,$AS195,0)=BF$6),$AV195,dNULL)</f>
        <v>-99</v>
      </c>
      <c r="BG195">
        <f ca="1">IF(AND($AT195&lt;3,OFFSET(DATA!$C$14,$AS195,0)=BG$6),$AV195,dNULL)</f>
        <v>-99</v>
      </c>
      <c r="BH195">
        <f ca="1">IF(AND($AT195&lt;3,OFFSET(DATA!$C$14,$AS195,0)=BH$6),$AV195,dNULL)</f>
        <v>-99</v>
      </c>
      <c r="BU195">
        <f t="shared" si="77"/>
        <v>2</v>
      </c>
      <c r="BV195">
        <f t="shared" si="78"/>
        <v>1.9800000000000013</v>
      </c>
      <c r="BW195">
        <f t="shared" ca="1" si="74"/>
        <v>0.2</v>
      </c>
      <c r="BX195">
        <f t="shared" ca="1" si="75"/>
        <v>-0.2</v>
      </c>
    </row>
    <row r="196" spans="14:76" x14ac:dyDescent="0.25">
      <c r="N196">
        <f>N77+dAnionOFF*0.5</f>
        <v>1.05</v>
      </c>
      <c r="O196">
        <f>O77+dAnionOFF*3^0.5*0.5</f>
        <v>0.43301270189221924</v>
      </c>
      <c r="Y196" s="26"/>
      <c r="Z196" s="26"/>
      <c r="AB196" s="26" t="str">
        <f t="shared" ca="1" si="63"/>
        <v/>
      </c>
      <c r="AC196">
        <f t="shared" ca="1" si="76"/>
        <v>90</v>
      </c>
      <c r="AD196" t="str">
        <f ca="1">IF(AND(AT196&lt;1,MAX(AW196:BH196)&gt;dNULL),DATA!$D204,"")</f>
        <v/>
      </c>
      <c r="AE196" s="7" t="str">
        <f ca="1">IF(LEN(DATA!D204)&gt;0,SUMPRODUCT(OFFSET(DATA!$R$6,AE$5,0,1,10),DATA!$R204:$AA204),"")</f>
        <v/>
      </c>
      <c r="AF196" s="7" t="str">
        <f ca="1">IF(LEN(DATA!E204)&gt;0,SUMPRODUCT(OFFSET(DATA!$R$6,AF$5,0,1,10),DATA!$R204:$AA204),"")</f>
        <v/>
      </c>
      <c r="AG196" s="7" t="str">
        <f ca="1">IF(LEN(DATA!F204)&gt;0,SUMPRODUCT(OFFSET(DATA!$R$6,AG$5,0,1,10),DATA!$R204:$AA204),"")</f>
        <v/>
      </c>
      <c r="AH196" s="7" t="str">
        <f ca="1">IF(LEN(DATA!G204)&gt;0,SUMPRODUCT(OFFSET(DATA!$R$6,AH$5,0,1,10),DATA!$R204:$AA204),"")</f>
        <v/>
      </c>
      <c r="AI196" s="7" t="str">
        <f ca="1">IF(LEN(DATA!H204)&gt;0,SUMPRODUCT(OFFSET(DATA!$R$6,AI$5,0,1,10),DATA!$R204:$AA204),"")</f>
        <v/>
      </c>
      <c r="AJ196" s="7" t="str">
        <f ca="1">IF(LEN(DATA!I204)&gt;0,SUMPRODUCT(OFFSET(DATA!$R$6,AJ$5,0,1,10),DATA!$R204:$AA204),"")</f>
        <v/>
      </c>
      <c r="AK196" s="7"/>
      <c r="AL196" s="7" t="e">
        <f t="shared" ca="1" si="64"/>
        <v>#DIV/0!</v>
      </c>
      <c r="AM196" s="7" t="e">
        <f t="shared" ca="1" si="65"/>
        <v>#DIV/0!</v>
      </c>
      <c r="AN196" s="7" t="e">
        <f t="shared" ca="1" si="66"/>
        <v>#DIV/0!</v>
      </c>
      <c r="AO196" s="7" t="e">
        <f t="shared" ca="1" si="67"/>
        <v>#DIV/0!</v>
      </c>
      <c r="AP196" s="7" t="e">
        <f t="shared" ca="1" si="68"/>
        <v>#DIV/0!</v>
      </c>
      <c r="AQ196" s="7" t="e">
        <f t="shared" ca="1" si="69"/>
        <v>#DIV/0!</v>
      </c>
      <c r="AS196">
        <f t="shared" si="70"/>
        <v>10</v>
      </c>
      <c r="AT196">
        <f t="shared" si="71"/>
        <v>2</v>
      </c>
      <c r="AU196">
        <f t="shared" ca="1" si="72"/>
        <v>1.1010527934745384</v>
      </c>
      <c r="AV196">
        <f t="shared" ca="1" si="73"/>
        <v>0.99246179383248267</v>
      </c>
      <c r="AW196">
        <f ca="1">IF(AND($AT196&lt;3,OFFSET(DATA!$C$14,$AS196,0)=AW$6),$AV196,dNULL)</f>
        <v>-99</v>
      </c>
      <c r="AX196">
        <f ca="1">IF(AND($AT196&lt;3,OFFSET(DATA!$C$14,$AS196,0)=AX$6),$AV196,dNULL)</f>
        <v>-99</v>
      </c>
      <c r="AY196">
        <f ca="1">IF(AND($AT196&lt;3,OFFSET(DATA!$C$14,$AS196,0)=AY$6),$AV196,dNULL)</f>
        <v>0.99246179383248267</v>
      </c>
      <c r="AZ196">
        <f ca="1">IF(AND($AT196&lt;3,OFFSET(DATA!$C$14,$AS196,0)=AZ$6),$AV196,dNULL)</f>
        <v>-99</v>
      </c>
      <c r="BA196">
        <f ca="1">IF(AND($AT196&lt;3,OFFSET(DATA!$C$14,$AS196,0)=BA$6),$AV196,dNULL)</f>
        <v>-99</v>
      </c>
      <c r="BB196">
        <f ca="1">IF(AND($AT196&lt;3,OFFSET(DATA!$C$14,$AS196,0)=BB$6),$AV196,dNULL)</f>
        <v>-99</v>
      </c>
      <c r="BC196">
        <f ca="1">IF(AND($AT196&lt;3,OFFSET(DATA!$C$14,$AS196,0)=BC$6),$AV196,dNULL)</f>
        <v>-99</v>
      </c>
      <c r="BD196">
        <f ca="1">IF(AND($AT196&lt;3,OFFSET(DATA!$C$14,$AS196,0)=BD$6),$AV196,dNULL)</f>
        <v>-99</v>
      </c>
      <c r="BE196">
        <f ca="1">IF(AND($AT196&lt;3,OFFSET(DATA!$C$14,$AS196,0)=BE$6),$AV196,dNULL)</f>
        <v>-99</v>
      </c>
      <c r="BF196">
        <f ca="1">IF(AND($AT196&lt;3,OFFSET(DATA!$C$14,$AS196,0)=BF$6),$AV196,dNULL)</f>
        <v>-99</v>
      </c>
      <c r="BG196">
        <f ca="1">IF(AND($AT196&lt;3,OFFSET(DATA!$C$14,$AS196,0)=BG$6),$AV196,dNULL)</f>
        <v>-99</v>
      </c>
      <c r="BH196">
        <f ca="1">IF(AND($AT196&lt;3,OFFSET(DATA!$C$14,$AS196,0)=BH$6),$AV196,dNULL)</f>
        <v>-99</v>
      </c>
      <c r="BU196">
        <f t="shared" si="77"/>
        <v>2</v>
      </c>
      <c r="BV196">
        <f t="shared" si="78"/>
        <v>1.9800000000000013</v>
      </c>
      <c r="BW196">
        <f t="shared" ca="1" si="74"/>
        <v>0.16879879415420324</v>
      </c>
      <c r="BX196">
        <f t="shared" ca="1" si="75"/>
        <v>-0.48364101085553984</v>
      </c>
    </row>
    <row r="197" spans="14:76" x14ac:dyDescent="0.25">
      <c r="N197">
        <f>N196+0.5</f>
        <v>1.55</v>
      </c>
      <c r="O197">
        <f>O196+3^0.5/2</f>
        <v>1.2990381056766578</v>
      </c>
      <c r="Y197" s="26"/>
      <c r="Z197" s="26"/>
      <c r="AB197" s="26" t="str">
        <f t="shared" ca="1" si="63"/>
        <v/>
      </c>
      <c r="AC197">
        <f t="shared" ca="1" si="76"/>
        <v>90</v>
      </c>
      <c r="AD197" t="str">
        <f ca="1">IF(AND(AT197&lt;1,MAX(AW197:BH197)&gt;dNULL),DATA!$D205,"")</f>
        <v/>
      </c>
      <c r="AE197" s="7" t="str">
        <f ca="1">IF(LEN(DATA!D205)&gt;0,SUMPRODUCT(OFFSET(DATA!$R$6,AE$5,0,1,10),DATA!$R205:$AA205),"")</f>
        <v/>
      </c>
      <c r="AF197" s="7" t="str">
        <f ca="1">IF(LEN(DATA!E205)&gt;0,SUMPRODUCT(OFFSET(DATA!$R$6,AF$5,0,1,10),DATA!$R205:$AA205),"")</f>
        <v/>
      </c>
      <c r="AG197" s="7" t="str">
        <f ca="1">IF(LEN(DATA!F205)&gt;0,SUMPRODUCT(OFFSET(DATA!$R$6,AG$5,0,1,10),DATA!$R205:$AA205),"")</f>
        <v/>
      </c>
      <c r="AH197" s="7" t="str">
        <f ca="1">IF(LEN(DATA!G205)&gt;0,SUMPRODUCT(OFFSET(DATA!$R$6,AH$5,0,1,10),DATA!$R205:$AA205),"")</f>
        <v/>
      </c>
      <c r="AI197" s="7" t="str">
        <f ca="1">IF(LEN(DATA!H205)&gt;0,SUMPRODUCT(OFFSET(DATA!$R$6,AI$5,0,1,10),DATA!$R205:$AA205),"")</f>
        <v/>
      </c>
      <c r="AJ197" s="7" t="str">
        <f ca="1">IF(LEN(DATA!I205)&gt;0,SUMPRODUCT(OFFSET(DATA!$R$6,AJ$5,0,1,10),DATA!$R205:$AA205),"")</f>
        <v/>
      </c>
      <c r="AK197" s="7"/>
      <c r="AL197" s="7" t="e">
        <f t="shared" ca="1" si="64"/>
        <v>#DIV/0!</v>
      </c>
      <c r="AM197" s="7" t="e">
        <f t="shared" ca="1" si="65"/>
        <v>#DIV/0!</v>
      </c>
      <c r="AN197" s="7" t="e">
        <f t="shared" ca="1" si="66"/>
        <v>#DIV/0!</v>
      </c>
      <c r="AO197" s="7" t="e">
        <f t="shared" ca="1" si="67"/>
        <v>#DIV/0!</v>
      </c>
      <c r="AP197" s="7" t="e">
        <f t="shared" ca="1" si="68"/>
        <v>#DIV/0!</v>
      </c>
      <c r="AQ197" s="7" t="e">
        <f t="shared" ca="1" si="69"/>
        <v>#DIV/0!</v>
      </c>
      <c r="AS197">
        <f t="shared" si="70"/>
        <v>11</v>
      </c>
      <c r="AT197">
        <f t="shared" si="71"/>
        <v>2</v>
      </c>
      <c r="AU197">
        <f t="shared" ca="1" si="72"/>
        <v>1.0912140872924294</v>
      </c>
      <c r="AV197">
        <f t="shared" ca="1" si="73"/>
        <v>0.88620390114649328</v>
      </c>
      <c r="AW197">
        <f ca="1">IF(AND($AT197&lt;3,OFFSET(DATA!$C$14,$AS197,0)=AW$6),$AV197,dNULL)</f>
        <v>-99</v>
      </c>
      <c r="AX197">
        <f ca="1">IF(AND($AT197&lt;3,OFFSET(DATA!$C$14,$AS197,0)=AX$6),$AV197,dNULL)</f>
        <v>-99</v>
      </c>
      <c r="AY197">
        <f ca="1">IF(AND($AT197&lt;3,OFFSET(DATA!$C$14,$AS197,0)=AY$6),$AV197,dNULL)</f>
        <v>0.88620390114649328</v>
      </c>
      <c r="AZ197">
        <f ca="1">IF(AND($AT197&lt;3,OFFSET(DATA!$C$14,$AS197,0)=AZ$6),$AV197,dNULL)</f>
        <v>-99</v>
      </c>
      <c r="BA197">
        <f ca="1">IF(AND($AT197&lt;3,OFFSET(DATA!$C$14,$AS197,0)=BA$6),$AV197,dNULL)</f>
        <v>-99</v>
      </c>
      <c r="BB197">
        <f ca="1">IF(AND($AT197&lt;3,OFFSET(DATA!$C$14,$AS197,0)=BB$6),$AV197,dNULL)</f>
        <v>-99</v>
      </c>
      <c r="BC197">
        <f ca="1">IF(AND($AT197&lt;3,OFFSET(DATA!$C$14,$AS197,0)=BC$6),$AV197,dNULL)</f>
        <v>-99</v>
      </c>
      <c r="BD197">
        <f ca="1">IF(AND($AT197&lt;3,OFFSET(DATA!$C$14,$AS197,0)=BD$6),$AV197,dNULL)</f>
        <v>-99</v>
      </c>
      <c r="BE197">
        <f ca="1">IF(AND($AT197&lt;3,OFFSET(DATA!$C$14,$AS197,0)=BE$6),$AV197,dNULL)</f>
        <v>-99</v>
      </c>
      <c r="BF197">
        <f ca="1">IF(AND($AT197&lt;3,OFFSET(DATA!$C$14,$AS197,0)=BF$6),$AV197,dNULL)</f>
        <v>-99</v>
      </c>
      <c r="BG197">
        <f ca="1">IF(AND($AT197&lt;3,OFFSET(DATA!$C$14,$AS197,0)=BG$6),$AV197,dNULL)</f>
        <v>-99</v>
      </c>
      <c r="BH197">
        <f ca="1">IF(AND($AT197&lt;3,OFFSET(DATA!$C$14,$AS197,0)=BH$6),$AV197,dNULL)</f>
        <v>-99</v>
      </c>
      <c r="BU197">
        <f t="shared" si="77"/>
        <v>2</v>
      </c>
      <c r="BV197">
        <f t="shared" si="78"/>
        <v>2.0000000000000013</v>
      </c>
      <c r="BW197">
        <f t="shared" ca="1" si="74"/>
        <v>0.2</v>
      </c>
      <c r="BX197">
        <f t="shared" ca="1" si="75"/>
        <v>-0.2</v>
      </c>
    </row>
    <row r="198" spans="14:76" x14ac:dyDescent="0.25">
      <c r="Y198" s="26"/>
      <c r="Z198" s="26"/>
      <c r="AB198" s="26" t="str">
        <f t="shared" ca="1" si="63"/>
        <v/>
      </c>
      <c r="AC198">
        <f t="shared" ca="1" si="76"/>
        <v>90</v>
      </c>
      <c r="AD198" t="str">
        <f ca="1">IF(AND(AT198&lt;1,MAX(AW198:BH198)&gt;dNULL),DATA!$D206,"")</f>
        <v/>
      </c>
      <c r="AE198" s="7" t="str">
        <f ca="1">IF(LEN(DATA!D206)&gt;0,SUMPRODUCT(OFFSET(DATA!$R$6,AE$5,0,1,10),DATA!$R206:$AA206),"")</f>
        <v/>
      </c>
      <c r="AF198" s="7" t="str">
        <f ca="1">IF(LEN(DATA!E206)&gt;0,SUMPRODUCT(OFFSET(DATA!$R$6,AF$5,0,1,10),DATA!$R206:$AA206),"")</f>
        <v/>
      </c>
      <c r="AG198" s="7" t="str">
        <f ca="1">IF(LEN(DATA!F206)&gt;0,SUMPRODUCT(OFFSET(DATA!$R$6,AG$5,0,1,10),DATA!$R206:$AA206),"")</f>
        <v/>
      </c>
      <c r="AH198" s="7" t="str">
        <f ca="1">IF(LEN(DATA!G206)&gt;0,SUMPRODUCT(OFFSET(DATA!$R$6,AH$5,0,1,10),DATA!$R206:$AA206),"")</f>
        <v/>
      </c>
      <c r="AI198" s="7" t="str">
        <f ca="1">IF(LEN(DATA!H206)&gt;0,SUMPRODUCT(OFFSET(DATA!$R$6,AI$5,0,1,10),DATA!$R206:$AA206),"")</f>
        <v/>
      </c>
      <c r="AJ198" s="7" t="str">
        <f ca="1">IF(LEN(DATA!I206)&gt;0,SUMPRODUCT(OFFSET(DATA!$R$6,AJ$5,0,1,10),DATA!$R206:$AA206),"")</f>
        <v/>
      </c>
      <c r="AK198" s="7"/>
      <c r="AL198" s="7" t="e">
        <f t="shared" ca="1" si="64"/>
        <v>#DIV/0!</v>
      </c>
      <c r="AM198" s="7" t="e">
        <f t="shared" ca="1" si="65"/>
        <v>#DIV/0!</v>
      </c>
      <c r="AN198" s="7" t="e">
        <f t="shared" ca="1" si="66"/>
        <v>#DIV/0!</v>
      </c>
      <c r="AO198" s="7" t="e">
        <f t="shared" ca="1" si="67"/>
        <v>#DIV/0!</v>
      </c>
      <c r="AP198" s="7" t="e">
        <f t="shared" ca="1" si="68"/>
        <v>#DIV/0!</v>
      </c>
      <c r="AQ198" s="7" t="e">
        <f t="shared" ca="1" si="69"/>
        <v>#DIV/0!</v>
      </c>
      <c r="AS198">
        <f t="shared" si="70"/>
        <v>12</v>
      </c>
      <c r="AT198">
        <f t="shared" si="71"/>
        <v>2</v>
      </c>
      <c r="AU198">
        <f t="shared" ca="1" si="72"/>
        <v>1.1492356054922255</v>
      </c>
      <c r="AV198">
        <f t="shared" ca="1" si="73"/>
        <v>0.73404224046123445</v>
      </c>
      <c r="AW198">
        <f ca="1">IF(AND($AT198&lt;3,OFFSET(DATA!$C$14,$AS198,0)=AW$6),$AV198,dNULL)</f>
        <v>-99</v>
      </c>
      <c r="AX198">
        <f ca="1">IF(AND($AT198&lt;3,OFFSET(DATA!$C$14,$AS198,0)=AX$6),$AV198,dNULL)</f>
        <v>-99</v>
      </c>
      <c r="AY198">
        <f ca="1">IF(AND($AT198&lt;3,OFFSET(DATA!$C$14,$AS198,0)=AY$6),$AV198,dNULL)</f>
        <v>0.73404224046123445</v>
      </c>
      <c r="AZ198">
        <f ca="1">IF(AND($AT198&lt;3,OFFSET(DATA!$C$14,$AS198,0)=AZ$6),$AV198,dNULL)</f>
        <v>-99</v>
      </c>
      <c r="BA198">
        <f ca="1">IF(AND($AT198&lt;3,OFFSET(DATA!$C$14,$AS198,0)=BA$6),$AV198,dNULL)</f>
        <v>-99</v>
      </c>
      <c r="BB198">
        <f ca="1">IF(AND($AT198&lt;3,OFFSET(DATA!$C$14,$AS198,0)=BB$6),$AV198,dNULL)</f>
        <v>-99</v>
      </c>
      <c r="BC198">
        <f ca="1">IF(AND($AT198&lt;3,OFFSET(DATA!$C$14,$AS198,0)=BC$6),$AV198,dNULL)</f>
        <v>-99</v>
      </c>
      <c r="BD198">
        <f ca="1">IF(AND($AT198&lt;3,OFFSET(DATA!$C$14,$AS198,0)=BD$6),$AV198,dNULL)</f>
        <v>-99</v>
      </c>
      <c r="BE198">
        <f ca="1">IF(AND($AT198&lt;3,OFFSET(DATA!$C$14,$AS198,0)=BE$6),$AV198,dNULL)</f>
        <v>-99</v>
      </c>
      <c r="BF198">
        <f ca="1">IF(AND($AT198&lt;3,OFFSET(DATA!$C$14,$AS198,0)=BF$6),$AV198,dNULL)</f>
        <v>-99</v>
      </c>
      <c r="BG198">
        <f ca="1">IF(AND($AT198&lt;3,OFFSET(DATA!$C$14,$AS198,0)=BG$6),$AV198,dNULL)</f>
        <v>-99</v>
      </c>
      <c r="BH198">
        <f ca="1">IF(AND($AT198&lt;3,OFFSET(DATA!$C$14,$AS198,0)=BH$6),$AV198,dNULL)</f>
        <v>-99</v>
      </c>
      <c r="BU198">
        <f t="shared" si="77"/>
        <v>2</v>
      </c>
      <c r="BV198">
        <f t="shared" si="78"/>
        <v>2.0000000000000013</v>
      </c>
      <c r="BW198">
        <f t="shared" ca="1" si="74"/>
        <v>0.16129417593025369</v>
      </c>
      <c r="BX198">
        <f t="shared" ca="1" si="75"/>
        <v>-0.47381287816123474</v>
      </c>
    </row>
    <row r="199" spans="14:76" x14ac:dyDescent="0.25">
      <c r="N199">
        <f>N80+dAnionOFF*0.5</f>
        <v>-48.85</v>
      </c>
      <c r="O199">
        <f>O80+dAnionOFF*3^0.5*0.5</f>
        <v>86.8623479995792</v>
      </c>
      <c r="Y199" s="26"/>
      <c r="Z199" s="26"/>
      <c r="AB199" s="26" t="str">
        <f t="shared" ref="AB199:AB262" ca="1" si="80">IF(ROW(AB199)-ROW($AB$6)&lt;=$AB$5,OFFSET($AD$6,MATCH(ROW(AB199)-ROW($AB$6),$AC$7:$AC$314,0),0),"")</f>
        <v/>
      </c>
      <c r="AC199">
        <f t="shared" ca="1" si="76"/>
        <v>90</v>
      </c>
      <c r="AD199" t="str">
        <f ca="1">IF(AND(AT199&lt;1,MAX(AW199:BH199)&gt;dNULL),DATA!$D207,"")</f>
        <v/>
      </c>
      <c r="AE199" s="7" t="str">
        <f ca="1">IF(LEN(DATA!D207)&gt;0,SUMPRODUCT(OFFSET(DATA!$R$6,AE$5,0,1,10),DATA!$R207:$AA207),"")</f>
        <v/>
      </c>
      <c r="AF199" s="7" t="str">
        <f ca="1">IF(LEN(DATA!E207)&gt;0,SUMPRODUCT(OFFSET(DATA!$R$6,AF$5,0,1,10),DATA!$R207:$AA207),"")</f>
        <v/>
      </c>
      <c r="AG199" s="7" t="str">
        <f ca="1">IF(LEN(DATA!F207)&gt;0,SUMPRODUCT(OFFSET(DATA!$R$6,AG$5,0,1,10),DATA!$R207:$AA207),"")</f>
        <v/>
      </c>
      <c r="AH199" s="7" t="str">
        <f ca="1">IF(LEN(DATA!G207)&gt;0,SUMPRODUCT(OFFSET(DATA!$R$6,AH$5,0,1,10),DATA!$R207:$AA207),"")</f>
        <v/>
      </c>
      <c r="AI199" s="7" t="str">
        <f ca="1">IF(LEN(DATA!H207)&gt;0,SUMPRODUCT(OFFSET(DATA!$R$6,AI$5,0,1,10),DATA!$R207:$AA207),"")</f>
        <v/>
      </c>
      <c r="AJ199" s="7" t="str">
        <f ca="1">IF(LEN(DATA!I207)&gt;0,SUMPRODUCT(OFFSET(DATA!$R$6,AJ$5,0,1,10),DATA!$R207:$AA207),"")</f>
        <v/>
      </c>
      <c r="AK199" s="7"/>
      <c r="AL199" s="7" t="e">
        <f t="shared" ref="AL199:AL262" ca="1" si="81">IF(ISNUMBER(AE199),AE199,0)/SUM($AE199:$AG199)</f>
        <v>#DIV/0!</v>
      </c>
      <c r="AM199" s="7" t="e">
        <f t="shared" ref="AM199:AM262" ca="1" si="82">IF(ISNUMBER(AF199),AF199,0)/SUM($AE199:$AG199)</f>
        <v>#DIV/0!</v>
      </c>
      <c r="AN199" s="7" t="e">
        <f t="shared" ref="AN199:AN262" ca="1" si="83">IF(ISNUMBER(AH199),AH199,0)/SUM($AH199:$AJ199)</f>
        <v>#DIV/0!</v>
      </c>
      <c r="AO199" s="7" t="e">
        <f t="shared" ref="AO199:AO262" ca="1" si="84">IF(ISNUMBER(AI199),AI199,0)/SUM($AH199:$AJ199)</f>
        <v>#DIV/0!</v>
      </c>
      <c r="AP199" s="7" t="e">
        <f t="shared" ref="AP199:AP262" ca="1" si="85">IF(ISNUMBER(AG199),AG199,0)/SUM($AE199:$AG199)</f>
        <v>#DIV/0!</v>
      </c>
      <c r="AQ199" s="7" t="e">
        <f t="shared" ref="AQ199:AQ262" ca="1" si="86">IF(ISNUMBER(AJ199),AJ199,0)/SUM($AH199:$AJ199)</f>
        <v>#DIV/0!</v>
      </c>
      <c r="AS199">
        <f t="shared" ref="AS199:AS262" si="87">MOD(ROW(AT199)-ROW($AT$7),lCNTsites)+1</f>
        <v>13</v>
      </c>
      <c r="AT199">
        <f t="shared" ref="AT199:AT262" si="88">INT((ROW(AT199)-ROW($AT$7))/lCNTsites)</f>
        <v>2</v>
      </c>
      <c r="AU199">
        <f t="shared" ref="AU199:AU262" ca="1" si="89">IF($AT199=0,(1-OFFSET($AL$6,$AS199,$AT199*2))-OFFSET($AL$6,$AS199,$AT199*2+1)*$K$8,IF($AT199=1,dAnionOFF+1+OFFSET($AL$6,$AS199,$AT199*2)+OFFSET($AL$6,$AS199,$AT199*2+1)/2,IF($AT199=2,$K$17-(1-OFFSET($AL$6,$AS199,$AT199*2))*0.5+(1-OFFSET($AL$6,$AS199,$AT199*2+1))*0.5,dNULL)))</f>
        <v>1.1349619145675156</v>
      </c>
      <c r="AV199">
        <f t="shared" ref="AV199:AV262" ca="1" si="90">IF($AT199=0,OFFSET($AL$6,$AS199,$AT199*2+1)*$L$8,IF($AT199=1,OFFSET($AL$6,$AS199,$AT199*2+1)*3^0.5/2,IF($AT199=2,$L$17+(2-OFFSET($AL$6,$AS199,$AT199*2)-OFFSET($AL$6,$AS199,$AT199*2+1))*$L$8,dNULL)))</f>
        <v>0.8056114525632514</v>
      </c>
      <c r="AW199">
        <f ca="1">IF(AND($AT199&lt;3,OFFSET(DATA!$C$14,$AS199,0)=AW$6),$AV199,dNULL)</f>
        <v>-99</v>
      </c>
      <c r="AX199">
        <f ca="1">IF(AND($AT199&lt;3,OFFSET(DATA!$C$14,$AS199,0)=AX$6),$AV199,dNULL)</f>
        <v>-99</v>
      </c>
      <c r="AY199">
        <f ca="1">IF(AND($AT199&lt;3,OFFSET(DATA!$C$14,$AS199,0)=AY$6),$AV199,dNULL)</f>
        <v>0.8056114525632514</v>
      </c>
      <c r="AZ199">
        <f ca="1">IF(AND($AT199&lt;3,OFFSET(DATA!$C$14,$AS199,0)=AZ$6),$AV199,dNULL)</f>
        <v>-99</v>
      </c>
      <c r="BA199">
        <f ca="1">IF(AND($AT199&lt;3,OFFSET(DATA!$C$14,$AS199,0)=BA$6),$AV199,dNULL)</f>
        <v>-99</v>
      </c>
      <c r="BB199">
        <f ca="1">IF(AND($AT199&lt;3,OFFSET(DATA!$C$14,$AS199,0)=BB$6),$AV199,dNULL)</f>
        <v>-99</v>
      </c>
      <c r="BC199">
        <f ca="1">IF(AND($AT199&lt;3,OFFSET(DATA!$C$14,$AS199,0)=BC$6),$AV199,dNULL)</f>
        <v>-99</v>
      </c>
      <c r="BD199">
        <f ca="1">IF(AND($AT199&lt;3,OFFSET(DATA!$C$14,$AS199,0)=BD$6),$AV199,dNULL)</f>
        <v>-99</v>
      </c>
      <c r="BE199">
        <f ca="1">IF(AND($AT199&lt;3,OFFSET(DATA!$C$14,$AS199,0)=BE$6),$AV199,dNULL)</f>
        <v>-99</v>
      </c>
      <c r="BF199">
        <f ca="1">IF(AND($AT199&lt;3,OFFSET(DATA!$C$14,$AS199,0)=BF$6),$AV199,dNULL)</f>
        <v>-99</v>
      </c>
      <c r="BG199">
        <f ca="1">IF(AND($AT199&lt;3,OFFSET(DATA!$C$14,$AS199,0)=BG$6),$AV199,dNULL)</f>
        <v>-99</v>
      </c>
      <c r="BH199">
        <f ca="1">IF(AND($AT199&lt;3,OFFSET(DATA!$C$14,$AS199,0)=BH$6),$AV199,dNULL)</f>
        <v>-99</v>
      </c>
      <c r="BU199">
        <f t="shared" si="77"/>
        <v>2</v>
      </c>
      <c r="BV199">
        <f t="shared" si="78"/>
        <v>2.0200000000000014</v>
      </c>
      <c r="BW199">
        <f t="shared" ref="BW199:BW208" ca="1" si="91">IF(MOD(ROW(BU200)-ROW($BV$8),2)&gt;0,OFFSET(BM$6,$BU199,0)+($BV199-OFFSET($BL$6,$BU199,0))*(OFFSET(BM$6,$BU199+1,0)-OFFSET(BM$6,$BU199,0))/(OFFSET($BL$6,$BU199+1,0)-OFFSET($BL$6,$BU199,0)),BW$5)</f>
        <v>0.2</v>
      </c>
      <c r="BX199">
        <f t="shared" ref="BX199:BX208" ca="1" si="92">IF(MOD(ROW(BV200)-ROW($BV$8),2)&gt;0,OFFSET(BN$6,$BU199,0)+($BV199-OFFSET($BL$6,$BU199,0))*(OFFSET(BN$6,$BU199+1,0)-OFFSET(BN$6,$BU199,0))/(OFFSET($BL$6,$BU199+1,0)-OFFSET($BL$6,$BU199,0)),BX$5)</f>
        <v>-0.2</v>
      </c>
    </row>
    <row r="200" spans="14:76" x14ac:dyDescent="0.25">
      <c r="N200">
        <f>N199+0.5</f>
        <v>-48.35</v>
      </c>
      <c r="O200">
        <f>O199+3^0.5/2</f>
        <v>87.728373403363634</v>
      </c>
      <c r="Y200" s="26"/>
      <c r="Z200" s="26"/>
      <c r="AB200" s="26" t="str">
        <f t="shared" ca="1" si="80"/>
        <v/>
      </c>
      <c r="AC200">
        <f t="shared" ref="AC200:AC263" ca="1" si="93">AC199+IF(LEN(AD200)&gt;0,1,0)</f>
        <v>90</v>
      </c>
      <c r="AD200" t="str">
        <f ca="1">IF(AND(AT200&lt;1,MAX(AW200:BH200)&gt;dNULL),DATA!$D208,"")</f>
        <v/>
      </c>
      <c r="AE200" s="7" t="str">
        <f ca="1">IF(LEN(DATA!D208)&gt;0,SUMPRODUCT(OFFSET(DATA!$R$6,AE$5,0,1,10),DATA!$R208:$AA208),"")</f>
        <v/>
      </c>
      <c r="AF200" s="7" t="str">
        <f ca="1">IF(LEN(DATA!E208)&gt;0,SUMPRODUCT(OFFSET(DATA!$R$6,AF$5,0,1,10),DATA!$R208:$AA208),"")</f>
        <v/>
      </c>
      <c r="AG200" s="7" t="str">
        <f ca="1">IF(LEN(DATA!F208)&gt;0,SUMPRODUCT(OFFSET(DATA!$R$6,AG$5,0,1,10),DATA!$R208:$AA208),"")</f>
        <v/>
      </c>
      <c r="AH200" s="7" t="str">
        <f ca="1">IF(LEN(DATA!G208)&gt;0,SUMPRODUCT(OFFSET(DATA!$R$6,AH$5,0,1,10),DATA!$R208:$AA208),"")</f>
        <v/>
      </c>
      <c r="AI200" s="7" t="str">
        <f ca="1">IF(LEN(DATA!H208)&gt;0,SUMPRODUCT(OFFSET(DATA!$R$6,AI$5,0,1,10),DATA!$R208:$AA208),"")</f>
        <v/>
      </c>
      <c r="AJ200" s="7" t="str">
        <f ca="1">IF(LEN(DATA!I208)&gt;0,SUMPRODUCT(OFFSET(DATA!$R$6,AJ$5,0,1,10),DATA!$R208:$AA208),"")</f>
        <v/>
      </c>
      <c r="AK200" s="7"/>
      <c r="AL200" s="7" t="e">
        <f t="shared" ca="1" si="81"/>
        <v>#DIV/0!</v>
      </c>
      <c r="AM200" s="7" t="e">
        <f t="shared" ca="1" si="82"/>
        <v>#DIV/0!</v>
      </c>
      <c r="AN200" s="7" t="e">
        <f t="shared" ca="1" si="83"/>
        <v>#DIV/0!</v>
      </c>
      <c r="AO200" s="7" t="e">
        <f t="shared" ca="1" si="84"/>
        <v>#DIV/0!</v>
      </c>
      <c r="AP200" s="7" t="e">
        <f t="shared" ca="1" si="85"/>
        <v>#DIV/0!</v>
      </c>
      <c r="AQ200" s="7" t="e">
        <f t="shared" ca="1" si="86"/>
        <v>#DIV/0!</v>
      </c>
      <c r="AS200">
        <f t="shared" si="87"/>
        <v>14</v>
      </c>
      <c r="AT200">
        <f t="shared" si="88"/>
        <v>2</v>
      </c>
      <c r="AU200">
        <f t="shared" ca="1" si="89"/>
        <v>1.1122817840868864</v>
      </c>
      <c r="AV200">
        <f t="shared" ca="1" si="90"/>
        <v>0.79758397364315425</v>
      </c>
      <c r="AW200">
        <f ca="1">IF(AND($AT200&lt;3,OFFSET(DATA!$C$14,$AS200,0)=AW$6),$AV200,dNULL)</f>
        <v>-99</v>
      </c>
      <c r="AX200">
        <f ca="1">IF(AND($AT200&lt;3,OFFSET(DATA!$C$14,$AS200,0)=AX$6),$AV200,dNULL)</f>
        <v>-99</v>
      </c>
      <c r="AY200">
        <f ca="1">IF(AND($AT200&lt;3,OFFSET(DATA!$C$14,$AS200,0)=AY$6),$AV200,dNULL)</f>
        <v>0.79758397364315425</v>
      </c>
      <c r="AZ200">
        <f ca="1">IF(AND($AT200&lt;3,OFFSET(DATA!$C$14,$AS200,0)=AZ$6),$AV200,dNULL)</f>
        <v>-99</v>
      </c>
      <c r="BA200">
        <f ca="1">IF(AND($AT200&lt;3,OFFSET(DATA!$C$14,$AS200,0)=BA$6),$AV200,dNULL)</f>
        <v>-99</v>
      </c>
      <c r="BB200">
        <f ca="1">IF(AND($AT200&lt;3,OFFSET(DATA!$C$14,$AS200,0)=BB$6),$AV200,dNULL)</f>
        <v>-99</v>
      </c>
      <c r="BC200">
        <f ca="1">IF(AND($AT200&lt;3,OFFSET(DATA!$C$14,$AS200,0)=BC$6),$AV200,dNULL)</f>
        <v>-99</v>
      </c>
      <c r="BD200">
        <f ca="1">IF(AND($AT200&lt;3,OFFSET(DATA!$C$14,$AS200,0)=BD$6),$AV200,dNULL)</f>
        <v>-99</v>
      </c>
      <c r="BE200">
        <f ca="1">IF(AND($AT200&lt;3,OFFSET(DATA!$C$14,$AS200,0)=BE$6),$AV200,dNULL)</f>
        <v>-99</v>
      </c>
      <c r="BF200">
        <f ca="1">IF(AND($AT200&lt;3,OFFSET(DATA!$C$14,$AS200,0)=BF$6),$AV200,dNULL)</f>
        <v>-99</v>
      </c>
      <c r="BG200">
        <f ca="1">IF(AND($AT200&lt;3,OFFSET(DATA!$C$14,$AS200,0)=BG$6),$AV200,dNULL)</f>
        <v>-99</v>
      </c>
      <c r="BH200">
        <f ca="1">IF(AND($AT200&lt;3,OFFSET(DATA!$C$14,$AS200,0)=BH$6),$AV200,dNULL)</f>
        <v>-99</v>
      </c>
      <c r="BU200">
        <f t="shared" ref="BU200:BU208" si="94">MATCH(BV200,$BL$7:$BL$9,1)</f>
        <v>2</v>
      </c>
      <c r="BV200">
        <f t="shared" si="78"/>
        <v>2.0200000000000014</v>
      </c>
      <c r="BW200">
        <f t="shared" ca="1" si="91"/>
        <v>0.15378955770630415</v>
      </c>
      <c r="BX200">
        <f t="shared" ca="1" si="92"/>
        <v>-0.46398474546692958</v>
      </c>
    </row>
    <row r="201" spans="14:76" x14ac:dyDescent="0.25">
      <c r="Y201" s="26"/>
      <c r="Z201" s="26"/>
      <c r="AB201" s="26" t="str">
        <f t="shared" ca="1" si="80"/>
        <v/>
      </c>
      <c r="AC201">
        <f t="shared" ca="1" si="93"/>
        <v>90</v>
      </c>
      <c r="AD201" t="str">
        <f ca="1">IF(AND(AT201&lt;1,MAX(AW201:BH201)&gt;dNULL),DATA!$D209,"")</f>
        <v/>
      </c>
      <c r="AE201" s="7" t="str">
        <f ca="1">IF(LEN(DATA!D209)&gt;0,SUMPRODUCT(OFFSET(DATA!$R$6,AE$5,0,1,10),DATA!$R209:$AA209),"")</f>
        <v/>
      </c>
      <c r="AF201" s="7" t="str">
        <f ca="1">IF(LEN(DATA!E209)&gt;0,SUMPRODUCT(OFFSET(DATA!$R$6,AF$5,0,1,10),DATA!$R209:$AA209),"")</f>
        <v/>
      </c>
      <c r="AG201" s="7" t="str">
        <f ca="1">IF(LEN(DATA!F209)&gt;0,SUMPRODUCT(OFFSET(DATA!$R$6,AG$5,0,1,10),DATA!$R209:$AA209),"")</f>
        <v/>
      </c>
      <c r="AH201" s="7" t="str">
        <f ca="1">IF(LEN(DATA!G209)&gt;0,SUMPRODUCT(OFFSET(DATA!$R$6,AH$5,0,1,10),DATA!$R209:$AA209),"")</f>
        <v/>
      </c>
      <c r="AI201" s="7" t="str">
        <f ca="1">IF(LEN(DATA!H209)&gt;0,SUMPRODUCT(OFFSET(DATA!$R$6,AI$5,0,1,10),DATA!$R209:$AA209),"")</f>
        <v/>
      </c>
      <c r="AJ201" s="7" t="str">
        <f ca="1">IF(LEN(DATA!I209)&gt;0,SUMPRODUCT(OFFSET(DATA!$R$6,AJ$5,0,1,10),DATA!$R209:$AA209),"")</f>
        <v/>
      </c>
      <c r="AK201" s="7"/>
      <c r="AL201" s="7" t="e">
        <f t="shared" ca="1" si="81"/>
        <v>#DIV/0!</v>
      </c>
      <c r="AM201" s="7" t="e">
        <f t="shared" ca="1" si="82"/>
        <v>#DIV/0!</v>
      </c>
      <c r="AN201" s="7" t="e">
        <f t="shared" ca="1" si="83"/>
        <v>#DIV/0!</v>
      </c>
      <c r="AO201" s="7" t="e">
        <f t="shared" ca="1" si="84"/>
        <v>#DIV/0!</v>
      </c>
      <c r="AP201" s="7" t="e">
        <f t="shared" ca="1" si="85"/>
        <v>#DIV/0!</v>
      </c>
      <c r="AQ201" s="7" t="e">
        <f t="shared" ca="1" si="86"/>
        <v>#DIV/0!</v>
      </c>
      <c r="AS201">
        <f t="shared" si="87"/>
        <v>15</v>
      </c>
      <c r="AT201">
        <f t="shared" si="88"/>
        <v>2</v>
      </c>
      <c r="AU201">
        <f t="shared" ca="1" si="89"/>
        <v>1.0987532507697635</v>
      </c>
      <c r="AV201">
        <f t="shared" ca="1" si="90"/>
        <v>0.79112811614253165</v>
      </c>
      <c r="AW201">
        <f ca="1">IF(AND($AT201&lt;3,OFFSET(DATA!$C$14,$AS201,0)=AW$6),$AV201,dNULL)</f>
        <v>-99</v>
      </c>
      <c r="AX201">
        <f ca="1">IF(AND($AT201&lt;3,OFFSET(DATA!$C$14,$AS201,0)=AX$6),$AV201,dNULL)</f>
        <v>-99</v>
      </c>
      <c r="AY201">
        <f ca="1">IF(AND($AT201&lt;3,OFFSET(DATA!$C$14,$AS201,0)=AY$6),$AV201,dNULL)</f>
        <v>0.79112811614253165</v>
      </c>
      <c r="AZ201">
        <f ca="1">IF(AND($AT201&lt;3,OFFSET(DATA!$C$14,$AS201,0)=AZ$6),$AV201,dNULL)</f>
        <v>-99</v>
      </c>
      <c r="BA201">
        <f ca="1">IF(AND($AT201&lt;3,OFFSET(DATA!$C$14,$AS201,0)=BA$6),$AV201,dNULL)</f>
        <v>-99</v>
      </c>
      <c r="BB201">
        <f ca="1">IF(AND($AT201&lt;3,OFFSET(DATA!$C$14,$AS201,0)=BB$6),$AV201,dNULL)</f>
        <v>-99</v>
      </c>
      <c r="BC201">
        <f ca="1">IF(AND($AT201&lt;3,OFFSET(DATA!$C$14,$AS201,0)=BC$6),$AV201,dNULL)</f>
        <v>-99</v>
      </c>
      <c r="BD201">
        <f ca="1">IF(AND($AT201&lt;3,OFFSET(DATA!$C$14,$AS201,0)=BD$6),$AV201,dNULL)</f>
        <v>-99</v>
      </c>
      <c r="BE201">
        <f ca="1">IF(AND($AT201&lt;3,OFFSET(DATA!$C$14,$AS201,0)=BE$6),$AV201,dNULL)</f>
        <v>-99</v>
      </c>
      <c r="BF201">
        <f ca="1">IF(AND($AT201&lt;3,OFFSET(DATA!$C$14,$AS201,0)=BF$6),$AV201,dNULL)</f>
        <v>-99</v>
      </c>
      <c r="BG201">
        <f ca="1">IF(AND($AT201&lt;3,OFFSET(DATA!$C$14,$AS201,0)=BG$6),$AV201,dNULL)</f>
        <v>-99</v>
      </c>
      <c r="BH201">
        <f ca="1">IF(AND($AT201&lt;3,OFFSET(DATA!$C$14,$AS201,0)=BH$6),$AV201,dNULL)</f>
        <v>-99</v>
      </c>
      <c r="BU201">
        <f t="shared" si="94"/>
        <v>2</v>
      </c>
      <c r="BV201">
        <f t="shared" ref="BV201:BV208" si="95">BV200+MOD(ROW(BV201)-ROW($H$16),2)*$BV$4</f>
        <v>2.0400000000000014</v>
      </c>
      <c r="BW201">
        <f t="shared" ca="1" si="91"/>
        <v>0.2</v>
      </c>
      <c r="BX201">
        <f t="shared" ca="1" si="92"/>
        <v>-0.2</v>
      </c>
    </row>
    <row r="202" spans="14:76" x14ac:dyDescent="0.25">
      <c r="N202">
        <f>N83+dAnionOFF*0.5</f>
        <v>-48.75</v>
      </c>
      <c r="O202">
        <f>O83+dAnionOFF*3^0.5*0.5</f>
        <v>86.689142918822313</v>
      </c>
      <c r="Y202" s="26"/>
      <c r="Z202" s="26"/>
      <c r="AB202" s="26" t="str">
        <f t="shared" ca="1" si="80"/>
        <v/>
      </c>
      <c r="AC202">
        <f t="shared" ca="1" si="93"/>
        <v>90</v>
      </c>
      <c r="AD202" t="str">
        <f ca="1">IF(AND(AT202&lt;1,MAX(AW202:BH202)&gt;dNULL),DATA!$D210,"")</f>
        <v/>
      </c>
      <c r="AE202" s="7" t="str">
        <f ca="1">IF(LEN(DATA!D210)&gt;0,SUMPRODUCT(OFFSET(DATA!$R$6,AE$5,0,1,10),DATA!$R210:$AA210),"")</f>
        <v/>
      </c>
      <c r="AF202" s="7" t="str">
        <f ca="1">IF(LEN(DATA!E210)&gt;0,SUMPRODUCT(OFFSET(DATA!$R$6,AF$5,0,1,10),DATA!$R210:$AA210),"")</f>
        <v/>
      </c>
      <c r="AG202" s="7" t="str">
        <f ca="1">IF(LEN(DATA!F210)&gt;0,SUMPRODUCT(OFFSET(DATA!$R$6,AG$5,0,1,10),DATA!$R210:$AA210),"")</f>
        <v/>
      </c>
      <c r="AH202" s="7" t="str">
        <f ca="1">IF(LEN(DATA!G210)&gt;0,SUMPRODUCT(OFFSET(DATA!$R$6,AH$5,0,1,10),DATA!$R210:$AA210),"")</f>
        <v/>
      </c>
      <c r="AI202" s="7" t="str">
        <f ca="1">IF(LEN(DATA!H210)&gt;0,SUMPRODUCT(OFFSET(DATA!$R$6,AI$5,0,1,10),DATA!$R210:$AA210),"")</f>
        <v/>
      </c>
      <c r="AJ202" s="7" t="str">
        <f ca="1">IF(LEN(DATA!I210)&gt;0,SUMPRODUCT(OFFSET(DATA!$R$6,AJ$5,0,1,10),DATA!$R210:$AA210),"")</f>
        <v/>
      </c>
      <c r="AK202" s="7"/>
      <c r="AL202" s="7" t="e">
        <f t="shared" ca="1" si="81"/>
        <v>#DIV/0!</v>
      </c>
      <c r="AM202" s="7" t="e">
        <f t="shared" ca="1" si="82"/>
        <v>#DIV/0!</v>
      </c>
      <c r="AN202" s="7" t="e">
        <f t="shared" ca="1" si="83"/>
        <v>#DIV/0!</v>
      </c>
      <c r="AO202" s="7" t="e">
        <f t="shared" ca="1" si="84"/>
        <v>#DIV/0!</v>
      </c>
      <c r="AP202" s="7" t="e">
        <f t="shared" ca="1" si="85"/>
        <v>#DIV/0!</v>
      </c>
      <c r="AQ202" s="7" t="e">
        <f t="shared" ca="1" si="86"/>
        <v>#DIV/0!</v>
      </c>
      <c r="AS202">
        <f t="shared" si="87"/>
        <v>16</v>
      </c>
      <c r="AT202">
        <f t="shared" si="88"/>
        <v>2</v>
      </c>
      <c r="AU202">
        <f t="shared" ca="1" si="89"/>
        <v>1.1089889945820777</v>
      </c>
      <c r="AV202">
        <f t="shared" ca="1" si="90"/>
        <v>0.83259336172915543</v>
      </c>
      <c r="AW202">
        <f ca="1">IF(AND($AT202&lt;3,OFFSET(DATA!$C$14,$AS202,0)=AW$6),$AV202,dNULL)</f>
        <v>-99</v>
      </c>
      <c r="AX202">
        <f ca="1">IF(AND($AT202&lt;3,OFFSET(DATA!$C$14,$AS202,0)=AX$6),$AV202,dNULL)</f>
        <v>-99</v>
      </c>
      <c r="AY202">
        <f ca="1">IF(AND($AT202&lt;3,OFFSET(DATA!$C$14,$AS202,0)=AY$6),$AV202,dNULL)</f>
        <v>0.83259336172915543</v>
      </c>
      <c r="AZ202">
        <f ca="1">IF(AND($AT202&lt;3,OFFSET(DATA!$C$14,$AS202,0)=AZ$6),$AV202,dNULL)</f>
        <v>-99</v>
      </c>
      <c r="BA202">
        <f ca="1">IF(AND($AT202&lt;3,OFFSET(DATA!$C$14,$AS202,0)=BA$6),$AV202,dNULL)</f>
        <v>-99</v>
      </c>
      <c r="BB202">
        <f ca="1">IF(AND($AT202&lt;3,OFFSET(DATA!$C$14,$AS202,0)=BB$6),$AV202,dNULL)</f>
        <v>-99</v>
      </c>
      <c r="BC202">
        <f ca="1">IF(AND($AT202&lt;3,OFFSET(DATA!$C$14,$AS202,0)=BC$6),$AV202,dNULL)</f>
        <v>-99</v>
      </c>
      <c r="BD202">
        <f ca="1">IF(AND($AT202&lt;3,OFFSET(DATA!$C$14,$AS202,0)=BD$6),$AV202,dNULL)</f>
        <v>-99</v>
      </c>
      <c r="BE202">
        <f ca="1">IF(AND($AT202&lt;3,OFFSET(DATA!$C$14,$AS202,0)=BE$6),$AV202,dNULL)</f>
        <v>-99</v>
      </c>
      <c r="BF202">
        <f ca="1">IF(AND($AT202&lt;3,OFFSET(DATA!$C$14,$AS202,0)=BF$6),$AV202,dNULL)</f>
        <v>-99</v>
      </c>
      <c r="BG202">
        <f ca="1">IF(AND($AT202&lt;3,OFFSET(DATA!$C$14,$AS202,0)=BG$6),$AV202,dNULL)</f>
        <v>-99</v>
      </c>
      <c r="BH202">
        <f ca="1">IF(AND($AT202&lt;3,OFFSET(DATA!$C$14,$AS202,0)=BH$6),$AV202,dNULL)</f>
        <v>-99</v>
      </c>
      <c r="BU202">
        <f t="shared" si="94"/>
        <v>2</v>
      </c>
      <c r="BV202">
        <f t="shared" si="95"/>
        <v>2.0400000000000014</v>
      </c>
      <c r="BW202">
        <f t="shared" ca="1" si="91"/>
        <v>0.14628493948235455</v>
      </c>
      <c r="BX202">
        <f t="shared" ca="1" si="92"/>
        <v>-0.45415661277262448</v>
      </c>
    </row>
    <row r="203" spans="14:76" x14ac:dyDescent="0.25">
      <c r="N203">
        <f>N202+0.5</f>
        <v>-48.25</v>
      </c>
      <c r="O203">
        <f>O202+3^0.5/2</f>
        <v>87.555168322606747</v>
      </c>
      <c r="Y203" s="26"/>
      <c r="Z203" s="26"/>
      <c r="AB203" s="26" t="str">
        <f t="shared" ca="1" si="80"/>
        <v/>
      </c>
      <c r="AC203">
        <f t="shared" ca="1" si="93"/>
        <v>90</v>
      </c>
      <c r="AD203" t="str">
        <f ca="1">IF(AND(AT203&lt;1,MAX(AW203:BH203)&gt;dNULL),DATA!$D211,"")</f>
        <v/>
      </c>
      <c r="AE203" s="7" t="str">
        <f ca="1">IF(LEN(DATA!D211)&gt;0,SUMPRODUCT(OFFSET(DATA!$R$6,AE$5,0,1,10),DATA!$R211:$AA211),"")</f>
        <v/>
      </c>
      <c r="AF203" s="7" t="str">
        <f ca="1">IF(LEN(DATA!E211)&gt;0,SUMPRODUCT(OFFSET(DATA!$R$6,AF$5,0,1,10),DATA!$R211:$AA211),"")</f>
        <v/>
      </c>
      <c r="AG203" s="7" t="str">
        <f ca="1">IF(LEN(DATA!F211)&gt;0,SUMPRODUCT(OFFSET(DATA!$R$6,AG$5,0,1,10),DATA!$R211:$AA211),"")</f>
        <v/>
      </c>
      <c r="AH203" s="7" t="str">
        <f ca="1">IF(LEN(DATA!G211)&gt;0,SUMPRODUCT(OFFSET(DATA!$R$6,AH$5,0,1,10),DATA!$R211:$AA211),"")</f>
        <v/>
      </c>
      <c r="AI203" s="7" t="str">
        <f ca="1">IF(LEN(DATA!H211)&gt;0,SUMPRODUCT(OFFSET(DATA!$R$6,AI$5,0,1,10),DATA!$R211:$AA211),"")</f>
        <v/>
      </c>
      <c r="AJ203" s="7" t="str">
        <f ca="1">IF(LEN(DATA!I211)&gt;0,SUMPRODUCT(OFFSET(DATA!$R$6,AJ$5,0,1,10),DATA!$R211:$AA211),"")</f>
        <v/>
      </c>
      <c r="AK203" s="7"/>
      <c r="AL203" s="7" t="e">
        <f t="shared" ca="1" si="81"/>
        <v>#DIV/0!</v>
      </c>
      <c r="AM203" s="7" t="e">
        <f t="shared" ca="1" si="82"/>
        <v>#DIV/0!</v>
      </c>
      <c r="AN203" s="7" t="e">
        <f t="shared" ca="1" si="83"/>
        <v>#DIV/0!</v>
      </c>
      <c r="AO203" s="7" t="e">
        <f t="shared" ca="1" si="84"/>
        <v>#DIV/0!</v>
      </c>
      <c r="AP203" s="7" t="e">
        <f t="shared" ca="1" si="85"/>
        <v>#DIV/0!</v>
      </c>
      <c r="AQ203" s="7" t="e">
        <f t="shared" ca="1" si="86"/>
        <v>#DIV/0!</v>
      </c>
      <c r="AS203">
        <f t="shared" si="87"/>
        <v>17</v>
      </c>
      <c r="AT203">
        <f t="shared" si="88"/>
        <v>2</v>
      </c>
      <c r="AU203">
        <f t="shared" ca="1" si="89"/>
        <v>1.1787354462895352</v>
      </c>
      <c r="AV203">
        <f t="shared" ca="1" si="90"/>
        <v>0.99874431803781905</v>
      </c>
      <c r="AW203">
        <f ca="1">IF(AND($AT203&lt;3,OFFSET(DATA!$C$14,$AS203,0)=AW$6),$AV203,dNULL)</f>
        <v>-99</v>
      </c>
      <c r="AX203">
        <f ca="1">IF(AND($AT203&lt;3,OFFSET(DATA!$C$14,$AS203,0)=AX$6),$AV203,dNULL)</f>
        <v>-99</v>
      </c>
      <c r="AY203">
        <f ca="1">IF(AND($AT203&lt;3,OFFSET(DATA!$C$14,$AS203,0)=AY$6),$AV203,dNULL)</f>
        <v>0.99874431803781905</v>
      </c>
      <c r="AZ203">
        <f ca="1">IF(AND($AT203&lt;3,OFFSET(DATA!$C$14,$AS203,0)=AZ$6),$AV203,dNULL)</f>
        <v>-99</v>
      </c>
      <c r="BA203">
        <f ca="1">IF(AND($AT203&lt;3,OFFSET(DATA!$C$14,$AS203,0)=BA$6),$AV203,dNULL)</f>
        <v>-99</v>
      </c>
      <c r="BB203">
        <f ca="1">IF(AND($AT203&lt;3,OFFSET(DATA!$C$14,$AS203,0)=BB$6),$AV203,dNULL)</f>
        <v>-99</v>
      </c>
      <c r="BC203">
        <f ca="1">IF(AND($AT203&lt;3,OFFSET(DATA!$C$14,$AS203,0)=BC$6),$AV203,dNULL)</f>
        <v>-99</v>
      </c>
      <c r="BD203">
        <f ca="1">IF(AND($AT203&lt;3,OFFSET(DATA!$C$14,$AS203,0)=BD$6),$AV203,dNULL)</f>
        <v>-99</v>
      </c>
      <c r="BE203">
        <f ca="1">IF(AND($AT203&lt;3,OFFSET(DATA!$C$14,$AS203,0)=BE$6),$AV203,dNULL)</f>
        <v>-99</v>
      </c>
      <c r="BF203">
        <f ca="1">IF(AND($AT203&lt;3,OFFSET(DATA!$C$14,$AS203,0)=BF$6),$AV203,dNULL)</f>
        <v>-99</v>
      </c>
      <c r="BG203">
        <f ca="1">IF(AND($AT203&lt;3,OFFSET(DATA!$C$14,$AS203,0)=BG$6),$AV203,dNULL)</f>
        <v>-99</v>
      </c>
      <c r="BH203">
        <f ca="1">IF(AND($AT203&lt;3,OFFSET(DATA!$C$14,$AS203,0)=BH$6),$AV203,dNULL)</f>
        <v>-99</v>
      </c>
      <c r="BU203">
        <f t="shared" si="94"/>
        <v>2</v>
      </c>
      <c r="BV203">
        <f t="shared" si="95"/>
        <v>2.0600000000000014</v>
      </c>
      <c r="BW203">
        <f t="shared" ca="1" si="91"/>
        <v>0.2</v>
      </c>
      <c r="BX203">
        <f t="shared" ca="1" si="92"/>
        <v>-0.2</v>
      </c>
    </row>
    <row r="204" spans="14:76" x14ac:dyDescent="0.25">
      <c r="Y204" s="26"/>
      <c r="Z204" s="26"/>
      <c r="AB204" s="26" t="str">
        <f t="shared" ca="1" si="80"/>
        <v/>
      </c>
      <c r="AC204">
        <f t="shared" ca="1" si="93"/>
        <v>90</v>
      </c>
      <c r="AD204" t="str">
        <f ca="1">IF(AND(AT204&lt;1,MAX(AW204:BH204)&gt;dNULL),DATA!$D212,"")</f>
        <v/>
      </c>
      <c r="AE204" s="7" t="str">
        <f ca="1">IF(LEN(DATA!D212)&gt;0,SUMPRODUCT(OFFSET(DATA!$R$6,AE$5,0,1,10),DATA!$R212:$AA212),"")</f>
        <v/>
      </c>
      <c r="AF204" s="7" t="str">
        <f ca="1">IF(LEN(DATA!E212)&gt;0,SUMPRODUCT(OFFSET(DATA!$R$6,AF$5,0,1,10),DATA!$R212:$AA212),"")</f>
        <v/>
      </c>
      <c r="AG204" s="7" t="str">
        <f ca="1">IF(LEN(DATA!F212)&gt;0,SUMPRODUCT(OFFSET(DATA!$R$6,AG$5,0,1,10),DATA!$R212:$AA212),"")</f>
        <v/>
      </c>
      <c r="AH204" s="7" t="str">
        <f ca="1">IF(LEN(DATA!G212)&gt;0,SUMPRODUCT(OFFSET(DATA!$R$6,AH$5,0,1,10),DATA!$R212:$AA212),"")</f>
        <v/>
      </c>
      <c r="AI204" s="7" t="str">
        <f ca="1">IF(LEN(DATA!H212)&gt;0,SUMPRODUCT(OFFSET(DATA!$R$6,AI$5,0,1,10),DATA!$R212:$AA212),"")</f>
        <v/>
      </c>
      <c r="AJ204" s="7" t="str">
        <f ca="1">IF(LEN(DATA!I212)&gt;0,SUMPRODUCT(OFFSET(DATA!$R$6,AJ$5,0,1,10),DATA!$R212:$AA212),"")</f>
        <v/>
      </c>
      <c r="AK204" s="7"/>
      <c r="AL204" s="7" t="e">
        <f t="shared" ca="1" si="81"/>
        <v>#DIV/0!</v>
      </c>
      <c r="AM204" s="7" t="e">
        <f t="shared" ca="1" si="82"/>
        <v>#DIV/0!</v>
      </c>
      <c r="AN204" s="7" t="e">
        <f t="shared" ca="1" si="83"/>
        <v>#DIV/0!</v>
      </c>
      <c r="AO204" s="7" t="e">
        <f t="shared" ca="1" si="84"/>
        <v>#DIV/0!</v>
      </c>
      <c r="AP204" s="7" t="e">
        <f t="shared" ca="1" si="85"/>
        <v>#DIV/0!</v>
      </c>
      <c r="AQ204" s="7" t="e">
        <f t="shared" ca="1" si="86"/>
        <v>#DIV/0!</v>
      </c>
      <c r="AS204">
        <f t="shared" si="87"/>
        <v>18</v>
      </c>
      <c r="AT204">
        <f t="shared" si="88"/>
        <v>2</v>
      </c>
      <c r="AU204">
        <f t="shared" ca="1" si="89"/>
        <v>1.0869069808016703</v>
      </c>
      <c r="AV204">
        <f t="shared" ca="1" si="90"/>
        <v>0.87705564044151774</v>
      </c>
      <c r="AW204">
        <f ca="1">IF(AND($AT204&lt;3,OFFSET(DATA!$C$14,$AS204,0)=AW$6),$AV204,dNULL)</f>
        <v>-99</v>
      </c>
      <c r="AX204">
        <f ca="1">IF(AND($AT204&lt;3,OFFSET(DATA!$C$14,$AS204,0)=AX$6),$AV204,dNULL)</f>
        <v>-99</v>
      </c>
      <c r="AY204">
        <f ca="1">IF(AND($AT204&lt;3,OFFSET(DATA!$C$14,$AS204,0)=AY$6),$AV204,dNULL)</f>
        <v>0.87705564044151774</v>
      </c>
      <c r="AZ204">
        <f ca="1">IF(AND($AT204&lt;3,OFFSET(DATA!$C$14,$AS204,0)=AZ$6),$AV204,dNULL)</f>
        <v>-99</v>
      </c>
      <c r="BA204">
        <f ca="1">IF(AND($AT204&lt;3,OFFSET(DATA!$C$14,$AS204,0)=BA$6),$AV204,dNULL)</f>
        <v>-99</v>
      </c>
      <c r="BB204">
        <f ca="1">IF(AND($AT204&lt;3,OFFSET(DATA!$C$14,$AS204,0)=BB$6),$AV204,dNULL)</f>
        <v>-99</v>
      </c>
      <c r="BC204">
        <f ca="1">IF(AND($AT204&lt;3,OFFSET(DATA!$C$14,$AS204,0)=BC$6),$AV204,dNULL)</f>
        <v>-99</v>
      </c>
      <c r="BD204">
        <f ca="1">IF(AND($AT204&lt;3,OFFSET(DATA!$C$14,$AS204,0)=BD$6),$AV204,dNULL)</f>
        <v>-99</v>
      </c>
      <c r="BE204">
        <f ca="1">IF(AND($AT204&lt;3,OFFSET(DATA!$C$14,$AS204,0)=BE$6),$AV204,dNULL)</f>
        <v>-99</v>
      </c>
      <c r="BF204">
        <f ca="1">IF(AND($AT204&lt;3,OFFSET(DATA!$C$14,$AS204,0)=BF$6),$AV204,dNULL)</f>
        <v>-99</v>
      </c>
      <c r="BG204">
        <f ca="1">IF(AND($AT204&lt;3,OFFSET(DATA!$C$14,$AS204,0)=BG$6),$AV204,dNULL)</f>
        <v>-99</v>
      </c>
      <c r="BH204">
        <f ca="1">IF(AND($AT204&lt;3,OFFSET(DATA!$C$14,$AS204,0)=BH$6),$AV204,dNULL)</f>
        <v>-99</v>
      </c>
      <c r="BU204">
        <f t="shared" si="94"/>
        <v>2</v>
      </c>
      <c r="BV204">
        <f t="shared" si="95"/>
        <v>2.0600000000000014</v>
      </c>
      <c r="BW204">
        <f t="shared" ca="1" si="91"/>
        <v>0.138780321258405</v>
      </c>
      <c r="BX204">
        <f t="shared" ca="1" si="92"/>
        <v>-0.44432848007831938</v>
      </c>
    </row>
    <row r="205" spans="14:76" x14ac:dyDescent="0.25">
      <c r="N205">
        <f>N86+dAnionOFF*0.5</f>
        <v>-48.65</v>
      </c>
      <c r="O205">
        <f>O86+dAnionOFF*3^0.5*0.5</f>
        <v>86.515937838065412</v>
      </c>
      <c r="Y205" s="26"/>
      <c r="Z205" s="26"/>
      <c r="AB205" s="26" t="str">
        <f t="shared" ca="1" si="80"/>
        <v/>
      </c>
      <c r="AC205">
        <f t="shared" ca="1" si="93"/>
        <v>90</v>
      </c>
      <c r="AD205" t="str">
        <f ca="1">IF(AND(AT205&lt;1,MAX(AW205:BH205)&gt;dNULL),DATA!$D213,"")</f>
        <v/>
      </c>
      <c r="AE205" s="7" t="str">
        <f ca="1">IF(LEN(DATA!D213)&gt;0,SUMPRODUCT(OFFSET(DATA!$R$6,AE$5,0,1,10),DATA!$R213:$AA213),"")</f>
        <v/>
      </c>
      <c r="AF205" s="7" t="str">
        <f ca="1">IF(LEN(DATA!E213)&gt;0,SUMPRODUCT(OFFSET(DATA!$R$6,AF$5,0,1,10),DATA!$R213:$AA213),"")</f>
        <v/>
      </c>
      <c r="AG205" s="7" t="str">
        <f ca="1">IF(LEN(DATA!F213)&gt;0,SUMPRODUCT(OFFSET(DATA!$R$6,AG$5,0,1,10),DATA!$R213:$AA213),"")</f>
        <v/>
      </c>
      <c r="AH205" s="7" t="str">
        <f ca="1">IF(LEN(DATA!G213)&gt;0,SUMPRODUCT(OFFSET(DATA!$R$6,AH$5,0,1,10),DATA!$R213:$AA213),"")</f>
        <v/>
      </c>
      <c r="AI205" s="7" t="str">
        <f ca="1">IF(LEN(DATA!H213)&gt;0,SUMPRODUCT(OFFSET(DATA!$R$6,AI$5,0,1,10),DATA!$R213:$AA213),"")</f>
        <v/>
      </c>
      <c r="AJ205" s="7" t="str">
        <f ca="1">IF(LEN(DATA!I213)&gt;0,SUMPRODUCT(OFFSET(DATA!$R$6,AJ$5,0,1,10),DATA!$R213:$AA213),"")</f>
        <v/>
      </c>
      <c r="AK205" s="7"/>
      <c r="AL205" s="7" t="e">
        <f t="shared" ca="1" si="81"/>
        <v>#DIV/0!</v>
      </c>
      <c r="AM205" s="7" t="e">
        <f t="shared" ca="1" si="82"/>
        <v>#DIV/0!</v>
      </c>
      <c r="AN205" s="7" t="e">
        <f t="shared" ca="1" si="83"/>
        <v>#DIV/0!</v>
      </c>
      <c r="AO205" s="7" t="e">
        <f t="shared" ca="1" si="84"/>
        <v>#DIV/0!</v>
      </c>
      <c r="AP205" s="7" t="e">
        <f t="shared" ca="1" si="85"/>
        <v>#DIV/0!</v>
      </c>
      <c r="AQ205" s="7" t="e">
        <f t="shared" ca="1" si="86"/>
        <v>#DIV/0!</v>
      </c>
      <c r="AS205">
        <f t="shared" si="87"/>
        <v>19</v>
      </c>
      <c r="AT205">
        <f t="shared" si="88"/>
        <v>2</v>
      </c>
      <c r="AU205">
        <f t="shared" ca="1" si="89"/>
        <v>1.096539047508919</v>
      </c>
      <c r="AV205">
        <f t="shared" ca="1" si="90"/>
        <v>0.96791364900244625</v>
      </c>
      <c r="AW205">
        <f ca="1">IF(AND($AT205&lt;3,OFFSET(DATA!$C$14,$AS205,0)=AW$6),$AV205,dNULL)</f>
        <v>-99</v>
      </c>
      <c r="AX205">
        <f ca="1">IF(AND($AT205&lt;3,OFFSET(DATA!$C$14,$AS205,0)=AX$6),$AV205,dNULL)</f>
        <v>-99</v>
      </c>
      <c r="AY205">
        <f ca="1">IF(AND($AT205&lt;3,OFFSET(DATA!$C$14,$AS205,0)=AY$6),$AV205,dNULL)</f>
        <v>0.96791364900244625</v>
      </c>
      <c r="AZ205">
        <f ca="1">IF(AND($AT205&lt;3,OFFSET(DATA!$C$14,$AS205,0)=AZ$6),$AV205,dNULL)</f>
        <v>-99</v>
      </c>
      <c r="BA205">
        <f ca="1">IF(AND($AT205&lt;3,OFFSET(DATA!$C$14,$AS205,0)=BA$6),$AV205,dNULL)</f>
        <v>-99</v>
      </c>
      <c r="BB205">
        <f ca="1">IF(AND($AT205&lt;3,OFFSET(DATA!$C$14,$AS205,0)=BB$6),$AV205,dNULL)</f>
        <v>-99</v>
      </c>
      <c r="BC205">
        <f ca="1">IF(AND($AT205&lt;3,OFFSET(DATA!$C$14,$AS205,0)=BC$6),$AV205,dNULL)</f>
        <v>-99</v>
      </c>
      <c r="BD205">
        <f ca="1">IF(AND($AT205&lt;3,OFFSET(DATA!$C$14,$AS205,0)=BD$6),$AV205,dNULL)</f>
        <v>-99</v>
      </c>
      <c r="BE205">
        <f ca="1">IF(AND($AT205&lt;3,OFFSET(DATA!$C$14,$AS205,0)=BE$6),$AV205,dNULL)</f>
        <v>-99</v>
      </c>
      <c r="BF205">
        <f ca="1">IF(AND($AT205&lt;3,OFFSET(DATA!$C$14,$AS205,0)=BF$6),$AV205,dNULL)</f>
        <v>-99</v>
      </c>
      <c r="BG205">
        <f ca="1">IF(AND($AT205&lt;3,OFFSET(DATA!$C$14,$AS205,0)=BG$6),$AV205,dNULL)</f>
        <v>-99</v>
      </c>
      <c r="BH205">
        <f ca="1">IF(AND($AT205&lt;3,OFFSET(DATA!$C$14,$AS205,0)=BH$6),$AV205,dNULL)</f>
        <v>-99</v>
      </c>
      <c r="BU205">
        <f t="shared" si="94"/>
        <v>2</v>
      </c>
      <c r="BV205">
        <f t="shared" si="95"/>
        <v>2.0800000000000014</v>
      </c>
      <c r="BW205">
        <f t="shared" ca="1" si="91"/>
        <v>0.2</v>
      </c>
      <c r="BX205">
        <f t="shared" ca="1" si="92"/>
        <v>-0.2</v>
      </c>
    </row>
    <row r="206" spans="14:76" x14ac:dyDescent="0.25">
      <c r="N206">
        <f>N205+0.5</f>
        <v>-48.15</v>
      </c>
      <c r="O206">
        <f>O205+3^0.5/2</f>
        <v>87.381963241849846</v>
      </c>
      <c r="Y206" s="26"/>
      <c r="Z206" s="26"/>
      <c r="AB206" s="26" t="str">
        <f t="shared" ca="1" si="80"/>
        <v/>
      </c>
      <c r="AC206">
        <f t="shared" ca="1" si="93"/>
        <v>90</v>
      </c>
      <c r="AD206" t="str">
        <f ca="1">IF(AND(AT206&lt;1,MAX(AW206:BH206)&gt;dNULL),DATA!$D214,"")</f>
        <v/>
      </c>
      <c r="AE206" s="7" t="str">
        <f ca="1">IF(LEN(DATA!D214)&gt;0,SUMPRODUCT(OFFSET(DATA!$R$6,AE$5,0,1,10),DATA!$R214:$AA214),"")</f>
        <v/>
      </c>
      <c r="AF206" s="7" t="str">
        <f ca="1">IF(LEN(DATA!E214)&gt;0,SUMPRODUCT(OFFSET(DATA!$R$6,AF$5,0,1,10),DATA!$R214:$AA214),"")</f>
        <v/>
      </c>
      <c r="AG206" s="7" t="str">
        <f ca="1">IF(LEN(DATA!F214)&gt;0,SUMPRODUCT(OFFSET(DATA!$R$6,AG$5,0,1,10),DATA!$R214:$AA214),"")</f>
        <v/>
      </c>
      <c r="AH206" s="7" t="str">
        <f ca="1">IF(LEN(DATA!G214)&gt;0,SUMPRODUCT(OFFSET(DATA!$R$6,AH$5,0,1,10),DATA!$R214:$AA214),"")</f>
        <v/>
      </c>
      <c r="AI206" s="7" t="str">
        <f ca="1">IF(LEN(DATA!H214)&gt;0,SUMPRODUCT(OFFSET(DATA!$R$6,AI$5,0,1,10),DATA!$R214:$AA214),"")</f>
        <v/>
      </c>
      <c r="AJ206" s="7" t="str">
        <f ca="1">IF(LEN(DATA!I214)&gt;0,SUMPRODUCT(OFFSET(DATA!$R$6,AJ$5,0,1,10),DATA!$R214:$AA214),"")</f>
        <v/>
      </c>
      <c r="AK206" s="7"/>
      <c r="AL206" s="7" t="e">
        <f t="shared" ca="1" si="81"/>
        <v>#DIV/0!</v>
      </c>
      <c r="AM206" s="7" t="e">
        <f t="shared" ca="1" si="82"/>
        <v>#DIV/0!</v>
      </c>
      <c r="AN206" s="7" t="e">
        <f t="shared" ca="1" si="83"/>
        <v>#DIV/0!</v>
      </c>
      <c r="AO206" s="7" t="e">
        <f t="shared" ca="1" si="84"/>
        <v>#DIV/0!</v>
      </c>
      <c r="AP206" s="7" t="e">
        <f t="shared" ca="1" si="85"/>
        <v>#DIV/0!</v>
      </c>
      <c r="AQ206" s="7" t="e">
        <f t="shared" ca="1" si="86"/>
        <v>#DIV/0!</v>
      </c>
      <c r="AS206">
        <f t="shared" si="87"/>
        <v>20</v>
      </c>
      <c r="AT206">
        <f t="shared" si="88"/>
        <v>2</v>
      </c>
      <c r="AU206">
        <f t="shared" ca="1" si="89"/>
        <v>1.16369192752581</v>
      </c>
      <c r="AV206">
        <f t="shared" ca="1" si="90"/>
        <v>0.65988896495397409</v>
      </c>
      <c r="AW206">
        <f ca="1">IF(AND($AT206&lt;3,OFFSET(DATA!$C$14,$AS206,0)=AW$6),$AV206,dNULL)</f>
        <v>-99</v>
      </c>
      <c r="AX206">
        <f ca="1">IF(AND($AT206&lt;3,OFFSET(DATA!$C$14,$AS206,0)=AX$6),$AV206,dNULL)</f>
        <v>-99</v>
      </c>
      <c r="AY206">
        <f ca="1">IF(AND($AT206&lt;3,OFFSET(DATA!$C$14,$AS206,0)=AY$6),$AV206,dNULL)</f>
        <v>0.65988896495397409</v>
      </c>
      <c r="AZ206">
        <f ca="1">IF(AND($AT206&lt;3,OFFSET(DATA!$C$14,$AS206,0)=AZ$6),$AV206,dNULL)</f>
        <v>-99</v>
      </c>
      <c r="BA206">
        <f ca="1">IF(AND($AT206&lt;3,OFFSET(DATA!$C$14,$AS206,0)=BA$6),$AV206,dNULL)</f>
        <v>-99</v>
      </c>
      <c r="BB206">
        <f ca="1">IF(AND($AT206&lt;3,OFFSET(DATA!$C$14,$AS206,0)=BB$6),$AV206,dNULL)</f>
        <v>-99</v>
      </c>
      <c r="BC206">
        <f ca="1">IF(AND($AT206&lt;3,OFFSET(DATA!$C$14,$AS206,0)=BC$6),$AV206,dNULL)</f>
        <v>-99</v>
      </c>
      <c r="BD206">
        <f ca="1">IF(AND($AT206&lt;3,OFFSET(DATA!$C$14,$AS206,0)=BD$6),$AV206,dNULL)</f>
        <v>-99</v>
      </c>
      <c r="BE206">
        <f ca="1">IF(AND($AT206&lt;3,OFFSET(DATA!$C$14,$AS206,0)=BE$6),$AV206,dNULL)</f>
        <v>-99</v>
      </c>
      <c r="BF206">
        <f ca="1">IF(AND($AT206&lt;3,OFFSET(DATA!$C$14,$AS206,0)=BF$6),$AV206,dNULL)</f>
        <v>-99</v>
      </c>
      <c r="BG206">
        <f ca="1">IF(AND($AT206&lt;3,OFFSET(DATA!$C$14,$AS206,0)=BG$6),$AV206,dNULL)</f>
        <v>-99</v>
      </c>
      <c r="BH206">
        <f ca="1">IF(AND($AT206&lt;3,OFFSET(DATA!$C$14,$AS206,0)=BH$6),$AV206,dNULL)</f>
        <v>-99</v>
      </c>
      <c r="BU206">
        <f t="shared" si="94"/>
        <v>2</v>
      </c>
      <c r="BV206">
        <f t="shared" si="95"/>
        <v>2.0800000000000014</v>
      </c>
      <c r="BW206">
        <f t="shared" ca="1" si="91"/>
        <v>0.13127570303445546</v>
      </c>
      <c r="BX206">
        <f t="shared" ca="1" si="92"/>
        <v>-0.43450034738401427</v>
      </c>
    </row>
    <row r="207" spans="14:76" x14ac:dyDescent="0.25">
      <c r="Y207" s="26"/>
      <c r="Z207" s="26"/>
      <c r="AB207" s="26" t="str">
        <f t="shared" ca="1" si="80"/>
        <v/>
      </c>
      <c r="AC207">
        <f t="shared" ca="1" si="93"/>
        <v>90</v>
      </c>
      <c r="AD207" t="str">
        <f ca="1">IF(AND(AT207&lt;1,MAX(AW207:BH207)&gt;dNULL),DATA!$D215,"")</f>
        <v/>
      </c>
      <c r="AE207" s="7" t="str">
        <f ca="1">IF(LEN(DATA!D215)&gt;0,SUMPRODUCT(OFFSET(DATA!$R$6,AE$5,0,1,10),DATA!$R215:$AA215),"")</f>
        <v/>
      </c>
      <c r="AF207" s="7" t="str">
        <f ca="1">IF(LEN(DATA!E215)&gt;0,SUMPRODUCT(OFFSET(DATA!$R$6,AF$5,0,1,10),DATA!$R215:$AA215),"")</f>
        <v/>
      </c>
      <c r="AG207" s="7" t="str">
        <f ca="1">IF(LEN(DATA!F215)&gt;0,SUMPRODUCT(OFFSET(DATA!$R$6,AG$5,0,1,10),DATA!$R215:$AA215),"")</f>
        <v/>
      </c>
      <c r="AH207" s="7" t="str">
        <f ca="1">IF(LEN(DATA!G215)&gt;0,SUMPRODUCT(OFFSET(DATA!$R$6,AH$5,0,1,10),DATA!$R215:$AA215),"")</f>
        <v/>
      </c>
      <c r="AI207" s="7" t="str">
        <f ca="1">IF(LEN(DATA!H215)&gt;0,SUMPRODUCT(OFFSET(DATA!$R$6,AI$5,0,1,10),DATA!$R215:$AA215),"")</f>
        <v/>
      </c>
      <c r="AJ207" s="7" t="str">
        <f ca="1">IF(LEN(DATA!I215)&gt;0,SUMPRODUCT(OFFSET(DATA!$R$6,AJ$5,0,1,10),DATA!$R215:$AA215),"")</f>
        <v/>
      </c>
      <c r="AK207" s="7"/>
      <c r="AL207" s="7" t="e">
        <f t="shared" ca="1" si="81"/>
        <v>#DIV/0!</v>
      </c>
      <c r="AM207" s="7" t="e">
        <f t="shared" ca="1" si="82"/>
        <v>#DIV/0!</v>
      </c>
      <c r="AN207" s="7" t="e">
        <f t="shared" ca="1" si="83"/>
        <v>#DIV/0!</v>
      </c>
      <c r="AO207" s="7" t="e">
        <f t="shared" ca="1" si="84"/>
        <v>#DIV/0!</v>
      </c>
      <c r="AP207" s="7" t="e">
        <f t="shared" ca="1" si="85"/>
        <v>#DIV/0!</v>
      </c>
      <c r="AQ207" s="7" t="e">
        <f t="shared" ca="1" si="86"/>
        <v>#DIV/0!</v>
      </c>
      <c r="AS207">
        <f t="shared" si="87"/>
        <v>21</v>
      </c>
      <c r="AT207">
        <f t="shared" si="88"/>
        <v>2</v>
      </c>
      <c r="AU207">
        <f t="shared" ca="1" si="89"/>
        <v>1.1947641349451448</v>
      </c>
      <c r="AV207">
        <f t="shared" ca="1" si="90"/>
        <v>0.59858281286676207</v>
      </c>
      <c r="AW207">
        <f ca="1">IF(AND($AT207&lt;3,OFFSET(DATA!$C$14,$AS207,0)=AW$6),$AV207,dNULL)</f>
        <v>-99</v>
      </c>
      <c r="AX207">
        <f ca="1">IF(AND($AT207&lt;3,OFFSET(DATA!$C$14,$AS207,0)=AX$6),$AV207,dNULL)</f>
        <v>-99</v>
      </c>
      <c r="AY207">
        <f ca="1">IF(AND($AT207&lt;3,OFFSET(DATA!$C$14,$AS207,0)=AY$6),$AV207,dNULL)</f>
        <v>0.59858281286676207</v>
      </c>
      <c r="AZ207">
        <f ca="1">IF(AND($AT207&lt;3,OFFSET(DATA!$C$14,$AS207,0)=AZ$6),$AV207,dNULL)</f>
        <v>-99</v>
      </c>
      <c r="BA207">
        <f ca="1">IF(AND($AT207&lt;3,OFFSET(DATA!$C$14,$AS207,0)=BA$6),$AV207,dNULL)</f>
        <v>-99</v>
      </c>
      <c r="BB207">
        <f ca="1">IF(AND($AT207&lt;3,OFFSET(DATA!$C$14,$AS207,0)=BB$6),$AV207,dNULL)</f>
        <v>-99</v>
      </c>
      <c r="BC207">
        <f ca="1">IF(AND($AT207&lt;3,OFFSET(DATA!$C$14,$AS207,0)=BC$6),$AV207,dNULL)</f>
        <v>-99</v>
      </c>
      <c r="BD207">
        <f ca="1">IF(AND($AT207&lt;3,OFFSET(DATA!$C$14,$AS207,0)=BD$6),$AV207,dNULL)</f>
        <v>-99</v>
      </c>
      <c r="BE207">
        <f ca="1">IF(AND($AT207&lt;3,OFFSET(DATA!$C$14,$AS207,0)=BE$6),$AV207,dNULL)</f>
        <v>-99</v>
      </c>
      <c r="BF207">
        <f ca="1">IF(AND($AT207&lt;3,OFFSET(DATA!$C$14,$AS207,0)=BF$6),$AV207,dNULL)</f>
        <v>-99</v>
      </c>
      <c r="BG207">
        <f ca="1">IF(AND($AT207&lt;3,OFFSET(DATA!$C$14,$AS207,0)=BG$6),$AV207,dNULL)</f>
        <v>-99</v>
      </c>
      <c r="BH207">
        <f ca="1">IF(AND($AT207&lt;3,OFFSET(DATA!$C$14,$AS207,0)=BH$6),$AV207,dNULL)</f>
        <v>-99</v>
      </c>
      <c r="BU207">
        <f t="shared" si="94"/>
        <v>2</v>
      </c>
      <c r="BV207">
        <f t="shared" si="95"/>
        <v>2.1000000000000014</v>
      </c>
      <c r="BW207">
        <f t="shared" ca="1" si="91"/>
        <v>0.2</v>
      </c>
      <c r="BX207">
        <f t="shared" ca="1" si="92"/>
        <v>-0.2</v>
      </c>
    </row>
    <row r="208" spans="14:76" x14ac:dyDescent="0.25">
      <c r="N208">
        <f>N89+dAnionOFF*0.5</f>
        <v>-48.55</v>
      </c>
      <c r="O208">
        <f>O89+dAnionOFF*3^0.5*0.5</f>
        <v>86.342732757308525</v>
      </c>
      <c r="Y208" s="26"/>
      <c r="Z208" s="26"/>
      <c r="AB208" s="26" t="str">
        <f t="shared" ca="1" si="80"/>
        <v/>
      </c>
      <c r="AC208">
        <f t="shared" ca="1" si="93"/>
        <v>90</v>
      </c>
      <c r="AD208" t="str">
        <f ca="1">IF(AND(AT208&lt;1,MAX(AW208:BH208)&gt;dNULL),DATA!$D216,"")</f>
        <v/>
      </c>
      <c r="AE208" s="7" t="str">
        <f ca="1">IF(LEN(DATA!D216)&gt;0,SUMPRODUCT(OFFSET(DATA!$R$6,AE$5,0,1,10),DATA!$R216:$AA216),"")</f>
        <v/>
      </c>
      <c r="AF208" s="7" t="str">
        <f ca="1">IF(LEN(DATA!E216)&gt;0,SUMPRODUCT(OFFSET(DATA!$R$6,AF$5,0,1,10),DATA!$R216:$AA216),"")</f>
        <v/>
      </c>
      <c r="AG208" s="7" t="str">
        <f ca="1">IF(LEN(DATA!F216)&gt;0,SUMPRODUCT(OFFSET(DATA!$R$6,AG$5,0,1,10),DATA!$R216:$AA216),"")</f>
        <v/>
      </c>
      <c r="AH208" s="7" t="str">
        <f ca="1">IF(LEN(DATA!G216)&gt;0,SUMPRODUCT(OFFSET(DATA!$R$6,AH$5,0,1,10),DATA!$R216:$AA216),"")</f>
        <v/>
      </c>
      <c r="AI208" s="7" t="str">
        <f ca="1">IF(LEN(DATA!H216)&gt;0,SUMPRODUCT(OFFSET(DATA!$R$6,AI$5,0,1,10),DATA!$R216:$AA216),"")</f>
        <v/>
      </c>
      <c r="AJ208" s="7" t="str">
        <f ca="1">IF(LEN(DATA!I216)&gt;0,SUMPRODUCT(OFFSET(DATA!$R$6,AJ$5,0,1,10),DATA!$R216:$AA216),"")</f>
        <v/>
      </c>
      <c r="AK208" s="7"/>
      <c r="AL208" s="7" t="e">
        <f t="shared" ca="1" si="81"/>
        <v>#DIV/0!</v>
      </c>
      <c r="AM208" s="7" t="e">
        <f t="shared" ca="1" si="82"/>
        <v>#DIV/0!</v>
      </c>
      <c r="AN208" s="7" t="e">
        <f t="shared" ca="1" si="83"/>
        <v>#DIV/0!</v>
      </c>
      <c r="AO208" s="7" t="e">
        <f t="shared" ca="1" si="84"/>
        <v>#DIV/0!</v>
      </c>
      <c r="AP208" s="7" t="e">
        <f t="shared" ca="1" si="85"/>
        <v>#DIV/0!</v>
      </c>
      <c r="AQ208" s="7" t="e">
        <f t="shared" ca="1" si="86"/>
        <v>#DIV/0!</v>
      </c>
      <c r="AS208">
        <f t="shared" si="87"/>
        <v>22</v>
      </c>
      <c r="AT208">
        <f t="shared" si="88"/>
        <v>2</v>
      </c>
      <c r="AU208">
        <f t="shared" ca="1" si="89"/>
        <v>1.1670472868336763</v>
      </c>
      <c r="AV208">
        <f t="shared" ca="1" si="90"/>
        <v>0.66730790052744315</v>
      </c>
      <c r="AW208">
        <f ca="1">IF(AND($AT208&lt;3,OFFSET(DATA!$C$14,$AS208,0)=AW$6),$AV208,dNULL)</f>
        <v>-99</v>
      </c>
      <c r="AX208">
        <f ca="1">IF(AND($AT208&lt;3,OFFSET(DATA!$C$14,$AS208,0)=AX$6),$AV208,dNULL)</f>
        <v>-99</v>
      </c>
      <c r="AY208">
        <f ca="1">IF(AND($AT208&lt;3,OFFSET(DATA!$C$14,$AS208,0)=AY$6),$AV208,dNULL)</f>
        <v>0.66730790052744315</v>
      </c>
      <c r="AZ208">
        <f ca="1">IF(AND($AT208&lt;3,OFFSET(DATA!$C$14,$AS208,0)=AZ$6),$AV208,dNULL)</f>
        <v>-99</v>
      </c>
      <c r="BA208">
        <f ca="1">IF(AND($AT208&lt;3,OFFSET(DATA!$C$14,$AS208,0)=BA$6),$AV208,dNULL)</f>
        <v>-99</v>
      </c>
      <c r="BB208">
        <f ca="1">IF(AND($AT208&lt;3,OFFSET(DATA!$C$14,$AS208,0)=BB$6),$AV208,dNULL)</f>
        <v>-99</v>
      </c>
      <c r="BC208">
        <f ca="1">IF(AND($AT208&lt;3,OFFSET(DATA!$C$14,$AS208,0)=BC$6),$AV208,dNULL)</f>
        <v>-99</v>
      </c>
      <c r="BD208">
        <f ca="1">IF(AND($AT208&lt;3,OFFSET(DATA!$C$14,$AS208,0)=BD$6),$AV208,dNULL)</f>
        <v>-99</v>
      </c>
      <c r="BE208">
        <f ca="1">IF(AND($AT208&lt;3,OFFSET(DATA!$C$14,$AS208,0)=BE$6),$AV208,dNULL)</f>
        <v>-99</v>
      </c>
      <c r="BF208">
        <f ca="1">IF(AND($AT208&lt;3,OFFSET(DATA!$C$14,$AS208,0)=BF$6),$AV208,dNULL)</f>
        <v>-99</v>
      </c>
      <c r="BG208">
        <f ca="1">IF(AND($AT208&lt;3,OFFSET(DATA!$C$14,$AS208,0)=BG$6),$AV208,dNULL)</f>
        <v>-99</v>
      </c>
      <c r="BH208">
        <f ca="1">IF(AND($AT208&lt;3,OFFSET(DATA!$C$14,$AS208,0)=BH$6),$AV208,dNULL)</f>
        <v>-99</v>
      </c>
      <c r="BU208">
        <f t="shared" si="94"/>
        <v>2</v>
      </c>
      <c r="BV208">
        <f t="shared" si="95"/>
        <v>2.1000000000000014</v>
      </c>
      <c r="BW208">
        <f t="shared" ca="1" si="91"/>
        <v>0.12377108481050592</v>
      </c>
      <c r="BX208">
        <f t="shared" ca="1" si="92"/>
        <v>-0.42467221468970912</v>
      </c>
    </row>
    <row r="209" spans="13:60" x14ac:dyDescent="0.25">
      <c r="N209">
        <f>N208+0.5</f>
        <v>-48.05</v>
      </c>
      <c r="O209">
        <f>O208+3^0.5/2</f>
        <v>87.208758161092959</v>
      </c>
      <c r="Y209" s="26"/>
      <c r="Z209" s="26"/>
      <c r="AB209" s="26" t="str">
        <f t="shared" ca="1" si="80"/>
        <v/>
      </c>
      <c r="AC209">
        <f t="shared" ca="1" si="93"/>
        <v>90</v>
      </c>
      <c r="AD209" t="str">
        <f ca="1">IF(AND(AT209&lt;1,MAX(AW209:BH209)&gt;dNULL),DATA!$D217,"")</f>
        <v/>
      </c>
      <c r="AE209" s="7" t="str">
        <f ca="1">IF(LEN(DATA!D217)&gt;0,SUMPRODUCT(OFFSET(DATA!$R$6,AE$5,0,1,10),DATA!$R217:$AA217),"")</f>
        <v/>
      </c>
      <c r="AF209" s="7" t="str">
        <f ca="1">IF(LEN(DATA!E217)&gt;0,SUMPRODUCT(OFFSET(DATA!$R$6,AF$5,0,1,10),DATA!$R217:$AA217),"")</f>
        <v/>
      </c>
      <c r="AG209" s="7" t="str">
        <f ca="1">IF(LEN(DATA!F217)&gt;0,SUMPRODUCT(OFFSET(DATA!$R$6,AG$5,0,1,10),DATA!$R217:$AA217),"")</f>
        <v/>
      </c>
      <c r="AH209" s="7" t="str">
        <f ca="1">IF(LEN(DATA!G217)&gt;0,SUMPRODUCT(OFFSET(DATA!$R$6,AH$5,0,1,10),DATA!$R217:$AA217),"")</f>
        <v/>
      </c>
      <c r="AI209" s="7" t="str">
        <f ca="1">IF(LEN(DATA!H217)&gt;0,SUMPRODUCT(OFFSET(DATA!$R$6,AI$5,0,1,10),DATA!$R217:$AA217),"")</f>
        <v/>
      </c>
      <c r="AJ209" s="7" t="str">
        <f ca="1">IF(LEN(DATA!I217)&gt;0,SUMPRODUCT(OFFSET(DATA!$R$6,AJ$5,0,1,10),DATA!$R217:$AA217),"")</f>
        <v/>
      </c>
      <c r="AK209" s="7"/>
      <c r="AL209" s="7" t="e">
        <f t="shared" ca="1" si="81"/>
        <v>#DIV/0!</v>
      </c>
      <c r="AM209" s="7" t="e">
        <f t="shared" ca="1" si="82"/>
        <v>#DIV/0!</v>
      </c>
      <c r="AN209" s="7" t="e">
        <f t="shared" ca="1" si="83"/>
        <v>#DIV/0!</v>
      </c>
      <c r="AO209" s="7" t="e">
        <f t="shared" ca="1" si="84"/>
        <v>#DIV/0!</v>
      </c>
      <c r="AP209" s="7" t="e">
        <f t="shared" ca="1" si="85"/>
        <v>#DIV/0!</v>
      </c>
      <c r="AQ209" s="7" t="e">
        <f t="shared" ca="1" si="86"/>
        <v>#DIV/0!</v>
      </c>
      <c r="AS209">
        <f t="shared" si="87"/>
        <v>23</v>
      </c>
      <c r="AT209">
        <f t="shared" si="88"/>
        <v>2</v>
      </c>
      <c r="AU209">
        <f t="shared" ca="1" si="89"/>
        <v>1.132842870370719</v>
      </c>
      <c r="AV209">
        <f t="shared" ca="1" si="90"/>
        <v>0.97596931724841718</v>
      </c>
      <c r="AW209">
        <f ca="1">IF(AND($AT209&lt;3,OFFSET(DATA!$C$14,$AS209,0)=AW$6),$AV209,dNULL)</f>
        <v>-99</v>
      </c>
      <c r="AX209">
        <f ca="1">IF(AND($AT209&lt;3,OFFSET(DATA!$C$14,$AS209,0)=AX$6),$AV209,dNULL)</f>
        <v>-99</v>
      </c>
      <c r="AY209">
        <f ca="1">IF(AND($AT209&lt;3,OFFSET(DATA!$C$14,$AS209,0)=AY$6),$AV209,dNULL)</f>
        <v>0.97596931724841718</v>
      </c>
      <c r="AZ209">
        <f ca="1">IF(AND($AT209&lt;3,OFFSET(DATA!$C$14,$AS209,0)=AZ$6),$AV209,dNULL)</f>
        <v>-99</v>
      </c>
      <c r="BA209">
        <f ca="1">IF(AND($AT209&lt;3,OFFSET(DATA!$C$14,$AS209,0)=BA$6),$AV209,dNULL)</f>
        <v>-99</v>
      </c>
      <c r="BB209">
        <f ca="1">IF(AND($AT209&lt;3,OFFSET(DATA!$C$14,$AS209,0)=BB$6),$AV209,dNULL)</f>
        <v>-99</v>
      </c>
      <c r="BC209">
        <f ca="1">IF(AND($AT209&lt;3,OFFSET(DATA!$C$14,$AS209,0)=BC$6),$AV209,dNULL)</f>
        <v>-99</v>
      </c>
      <c r="BD209">
        <f ca="1">IF(AND($AT209&lt;3,OFFSET(DATA!$C$14,$AS209,0)=BD$6),$AV209,dNULL)</f>
        <v>-99</v>
      </c>
      <c r="BE209">
        <f ca="1">IF(AND($AT209&lt;3,OFFSET(DATA!$C$14,$AS209,0)=BE$6),$AV209,dNULL)</f>
        <v>-99</v>
      </c>
      <c r="BF209">
        <f ca="1">IF(AND($AT209&lt;3,OFFSET(DATA!$C$14,$AS209,0)=BF$6),$AV209,dNULL)</f>
        <v>-99</v>
      </c>
      <c r="BG209">
        <f ca="1">IF(AND($AT209&lt;3,OFFSET(DATA!$C$14,$AS209,0)=BG$6),$AV209,dNULL)</f>
        <v>-99</v>
      </c>
      <c r="BH209">
        <f ca="1">IF(AND($AT209&lt;3,OFFSET(DATA!$C$14,$AS209,0)=BH$6),$AV209,dNULL)</f>
        <v>-99</v>
      </c>
    </row>
    <row r="210" spans="13:60" x14ac:dyDescent="0.25">
      <c r="Y210" s="26"/>
      <c r="Z210" s="26"/>
      <c r="AB210" s="26" t="str">
        <f t="shared" ca="1" si="80"/>
        <v/>
      </c>
      <c r="AC210">
        <f t="shared" ca="1" si="93"/>
        <v>90</v>
      </c>
      <c r="AD210" t="str">
        <f ca="1">IF(AND(AT210&lt;1,MAX(AW210:BH210)&gt;dNULL),DATA!$D218,"")</f>
        <v/>
      </c>
      <c r="AE210" s="7" t="str">
        <f ca="1">IF(LEN(DATA!D218)&gt;0,SUMPRODUCT(OFFSET(DATA!$R$6,AE$5,0,1,10),DATA!$R218:$AA218),"")</f>
        <v/>
      </c>
      <c r="AF210" s="7" t="str">
        <f ca="1">IF(LEN(DATA!E218)&gt;0,SUMPRODUCT(OFFSET(DATA!$R$6,AF$5,0,1,10),DATA!$R218:$AA218),"")</f>
        <v/>
      </c>
      <c r="AG210" s="7" t="str">
        <f ca="1">IF(LEN(DATA!F218)&gt;0,SUMPRODUCT(OFFSET(DATA!$R$6,AG$5,0,1,10),DATA!$R218:$AA218),"")</f>
        <v/>
      </c>
      <c r="AH210" s="7" t="str">
        <f ca="1">IF(LEN(DATA!G218)&gt;0,SUMPRODUCT(OFFSET(DATA!$R$6,AH$5,0,1,10),DATA!$R218:$AA218),"")</f>
        <v/>
      </c>
      <c r="AI210" s="7" t="str">
        <f ca="1">IF(LEN(DATA!H218)&gt;0,SUMPRODUCT(OFFSET(DATA!$R$6,AI$5,0,1,10),DATA!$R218:$AA218),"")</f>
        <v/>
      </c>
      <c r="AJ210" s="7" t="str">
        <f ca="1">IF(LEN(DATA!I218)&gt;0,SUMPRODUCT(OFFSET(DATA!$R$6,AJ$5,0,1,10),DATA!$R218:$AA218),"")</f>
        <v/>
      </c>
      <c r="AK210" s="7"/>
      <c r="AL210" s="7" t="e">
        <f t="shared" ca="1" si="81"/>
        <v>#DIV/0!</v>
      </c>
      <c r="AM210" s="7" t="e">
        <f t="shared" ca="1" si="82"/>
        <v>#DIV/0!</v>
      </c>
      <c r="AN210" s="7" t="e">
        <f t="shared" ca="1" si="83"/>
        <v>#DIV/0!</v>
      </c>
      <c r="AO210" s="7" t="e">
        <f t="shared" ca="1" si="84"/>
        <v>#DIV/0!</v>
      </c>
      <c r="AP210" s="7" t="e">
        <f t="shared" ca="1" si="85"/>
        <v>#DIV/0!</v>
      </c>
      <c r="AQ210" s="7" t="e">
        <f t="shared" ca="1" si="86"/>
        <v>#DIV/0!</v>
      </c>
      <c r="AS210">
        <f t="shared" si="87"/>
        <v>24</v>
      </c>
      <c r="AT210">
        <f t="shared" si="88"/>
        <v>2</v>
      </c>
      <c r="AU210">
        <f t="shared" ca="1" si="89"/>
        <v>1.1656627791847993</v>
      </c>
      <c r="AV210">
        <f t="shared" ca="1" si="90"/>
        <v>1.0207529754875346</v>
      </c>
      <c r="AW210">
        <f ca="1">IF(AND($AT210&lt;3,OFFSET(DATA!$C$14,$AS210,0)=AW$6),$AV210,dNULL)</f>
        <v>-99</v>
      </c>
      <c r="AX210">
        <f ca="1">IF(AND($AT210&lt;3,OFFSET(DATA!$C$14,$AS210,0)=AX$6),$AV210,dNULL)</f>
        <v>-99</v>
      </c>
      <c r="AY210">
        <f ca="1">IF(AND($AT210&lt;3,OFFSET(DATA!$C$14,$AS210,0)=AY$6),$AV210,dNULL)</f>
        <v>-99</v>
      </c>
      <c r="AZ210">
        <f ca="1">IF(AND($AT210&lt;3,OFFSET(DATA!$C$14,$AS210,0)=AZ$6),$AV210,dNULL)</f>
        <v>-99</v>
      </c>
      <c r="BA210">
        <f ca="1">IF(AND($AT210&lt;3,OFFSET(DATA!$C$14,$AS210,0)=BA$6),$AV210,dNULL)</f>
        <v>1.0207529754875346</v>
      </c>
      <c r="BB210">
        <f ca="1">IF(AND($AT210&lt;3,OFFSET(DATA!$C$14,$AS210,0)=BB$6),$AV210,dNULL)</f>
        <v>-99</v>
      </c>
      <c r="BC210">
        <f ca="1">IF(AND($AT210&lt;3,OFFSET(DATA!$C$14,$AS210,0)=BC$6),$AV210,dNULL)</f>
        <v>-99</v>
      </c>
      <c r="BD210">
        <f ca="1">IF(AND($AT210&lt;3,OFFSET(DATA!$C$14,$AS210,0)=BD$6),$AV210,dNULL)</f>
        <v>-99</v>
      </c>
      <c r="BE210">
        <f ca="1">IF(AND($AT210&lt;3,OFFSET(DATA!$C$14,$AS210,0)=BE$6),$AV210,dNULL)</f>
        <v>-99</v>
      </c>
      <c r="BF210">
        <f ca="1">IF(AND($AT210&lt;3,OFFSET(DATA!$C$14,$AS210,0)=BF$6),$AV210,dNULL)</f>
        <v>-99</v>
      </c>
      <c r="BG210">
        <f ca="1">IF(AND($AT210&lt;3,OFFSET(DATA!$C$14,$AS210,0)=BG$6),$AV210,dNULL)</f>
        <v>-99</v>
      </c>
      <c r="BH210">
        <f ca="1">IF(AND($AT210&lt;3,OFFSET(DATA!$C$14,$AS210,0)=BH$6),$AV210,dNULL)</f>
        <v>-99</v>
      </c>
    </row>
    <row r="211" spans="13:60" x14ac:dyDescent="0.25">
      <c r="N211">
        <f>N92+dAnionOFF*0.5</f>
        <v>-48.449999999999996</v>
      </c>
      <c r="O211">
        <f>O92+dAnionOFF*3^0.5*0.5</f>
        <v>86.169527676551638</v>
      </c>
      <c r="Y211" s="26"/>
      <c r="Z211" s="26"/>
      <c r="AB211" s="26" t="str">
        <f t="shared" ca="1" si="80"/>
        <v/>
      </c>
      <c r="AC211">
        <f t="shared" ca="1" si="93"/>
        <v>90</v>
      </c>
      <c r="AD211" t="str">
        <f ca="1">IF(AND(AT211&lt;1,MAX(AW211:BH211)&gt;dNULL),DATA!$D219,"")</f>
        <v/>
      </c>
      <c r="AE211" s="7" t="str">
        <f ca="1">IF(LEN(DATA!D219)&gt;0,SUMPRODUCT(OFFSET(DATA!$R$6,AE$5,0,1,10),DATA!$R219:$AA219),"")</f>
        <v/>
      </c>
      <c r="AF211" s="7" t="str">
        <f ca="1">IF(LEN(DATA!E219)&gt;0,SUMPRODUCT(OFFSET(DATA!$R$6,AF$5,0,1,10),DATA!$R219:$AA219),"")</f>
        <v/>
      </c>
      <c r="AG211" s="7" t="str">
        <f ca="1">IF(LEN(DATA!F219)&gt;0,SUMPRODUCT(OFFSET(DATA!$R$6,AG$5,0,1,10),DATA!$R219:$AA219),"")</f>
        <v/>
      </c>
      <c r="AH211" s="7" t="str">
        <f ca="1">IF(LEN(DATA!G219)&gt;0,SUMPRODUCT(OFFSET(DATA!$R$6,AH$5,0,1,10),DATA!$R219:$AA219),"")</f>
        <v/>
      </c>
      <c r="AI211" s="7" t="str">
        <f ca="1">IF(LEN(DATA!H219)&gt;0,SUMPRODUCT(OFFSET(DATA!$R$6,AI$5,0,1,10),DATA!$R219:$AA219),"")</f>
        <v/>
      </c>
      <c r="AJ211" s="7" t="str">
        <f ca="1">IF(LEN(DATA!I219)&gt;0,SUMPRODUCT(OFFSET(DATA!$R$6,AJ$5,0,1,10),DATA!$R219:$AA219),"")</f>
        <v/>
      </c>
      <c r="AK211" s="7"/>
      <c r="AL211" s="7" t="e">
        <f t="shared" ca="1" si="81"/>
        <v>#DIV/0!</v>
      </c>
      <c r="AM211" s="7" t="e">
        <f t="shared" ca="1" si="82"/>
        <v>#DIV/0!</v>
      </c>
      <c r="AN211" s="7" t="e">
        <f t="shared" ca="1" si="83"/>
        <v>#DIV/0!</v>
      </c>
      <c r="AO211" s="7" t="e">
        <f t="shared" ca="1" si="84"/>
        <v>#DIV/0!</v>
      </c>
      <c r="AP211" s="7" t="e">
        <f t="shared" ca="1" si="85"/>
        <v>#DIV/0!</v>
      </c>
      <c r="AQ211" s="7" t="e">
        <f t="shared" ca="1" si="86"/>
        <v>#DIV/0!</v>
      </c>
      <c r="AS211">
        <f t="shared" si="87"/>
        <v>25</v>
      </c>
      <c r="AT211">
        <f t="shared" si="88"/>
        <v>2</v>
      </c>
      <c r="AU211">
        <f t="shared" ca="1" si="89"/>
        <v>1.1755134633633804</v>
      </c>
      <c r="AV211">
        <f t="shared" ca="1" si="90"/>
        <v>1.0113706344759823</v>
      </c>
      <c r="AW211">
        <f ca="1">IF(AND($AT211&lt;3,OFFSET(DATA!$C$14,$AS211,0)=AW$6),$AV211,dNULL)</f>
        <v>-99</v>
      </c>
      <c r="AX211">
        <f ca="1">IF(AND($AT211&lt;3,OFFSET(DATA!$C$14,$AS211,0)=AX$6),$AV211,dNULL)</f>
        <v>-99</v>
      </c>
      <c r="AY211">
        <f ca="1">IF(AND($AT211&lt;3,OFFSET(DATA!$C$14,$AS211,0)=AY$6),$AV211,dNULL)</f>
        <v>-99</v>
      </c>
      <c r="AZ211">
        <f ca="1">IF(AND($AT211&lt;3,OFFSET(DATA!$C$14,$AS211,0)=AZ$6),$AV211,dNULL)</f>
        <v>-99</v>
      </c>
      <c r="BA211">
        <f ca="1">IF(AND($AT211&lt;3,OFFSET(DATA!$C$14,$AS211,0)=BA$6),$AV211,dNULL)</f>
        <v>1.0113706344759823</v>
      </c>
      <c r="BB211">
        <f ca="1">IF(AND($AT211&lt;3,OFFSET(DATA!$C$14,$AS211,0)=BB$6),$AV211,dNULL)</f>
        <v>-99</v>
      </c>
      <c r="BC211">
        <f ca="1">IF(AND($AT211&lt;3,OFFSET(DATA!$C$14,$AS211,0)=BC$6),$AV211,dNULL)</f>
        <v>-99</v>
      </c>
      <c r="BD211">
        <f ca="1">IF(AND($AT211&lt;3,OFFSET(DATA!$C$14,$AS211,0)=BD$6),$AV211,dNULL)</f>
        <v>-99</v>
      </c>
      <c r="BE211">
        <f ca="1">IF(AND($AT211&lt;3,OFFSET(DATA!$C$14,$AS211,0)=BE$6),$AV211,dNULL)</f>
        <v>-99</v>
      </c>
      <c r="BF211">
        <f ca="1">IF(AND($AT211&lt;3,OFFSET(DATA!$C$14,$AS211,0)=BF$6),$AV211,dNULL)</f>
        <v>-99</v>
      </c>
      <c r="BG211">
        <f ca="1">IF(AND($AT211&lt;3,OFFSET(DATA!$C$14,$AS211,0)=BG$6),$AV211,dNULL)</f>
        <v>-99</v>
      </c>
      <c r="BH211">
        <f ca="1">IF(AND($AT211&lt;3,OFFSET(DATA!$C$14,$AS211,0)=BH$6),$AV211,dNULL)</f>
        <v>-99</v>
      </c>
    </row>
    <row r="212" spans="13:60" x14ac:dyDescent="0.25">
      <c r="N212">
        <f>N211+0.5</f>
        <v>-47.949999999999996</v>
      </c>
      <c r="O212">
        <f>O211+3^0.5/2</f>
        <v>87.035553080336072</v>
      </c>
      <c r="Y212" s="26"/>
      <c r="Z212" s="26"/>
      <c r="AB212" s="26" t="str">
        <f t="shared" ca="1" si="80"/>
        <v/>
      </c>
      <c r="AC212">
        <f t="shared" ca="1" si="93"/>
        <v>90</v>
      </c>
      <c r="AD212" t="str">
        <f ca="1">IF(AND(AT212&lt;1,MAX(AW212:BH212)&gt;dNULL),DATA!$D220,"")</f>
        <v/>
      </c>
      <c r="AE212" s="7" t="str">
        <f ca="1">IF(LEN(DATA!D220)&gt;0,SUMPRODUCT(OFFSET(DATA!$R$6,AE$5,0,1,10),DATA!$R220:$AA220),"")</f>
        <v/>
      </c>
      <c r="AF212" s="7" t="str">
        <f ca="1">IF(LEN(DATA!E220)&gt;0,SUMPRODUCT(OFFSET(DATA!$R$6,AF$5,0,1,10),DATA!$R220:$AA220),"")</f>
        <v/>
      </c>
      <c r="AG212" s="7" t="str">
        <f ca="1">IF(LEN(DATA!F220)&gt;0,SUMPRODUCT(OFFSET(DATA!$R$6,AG$5,0,1,10),DATA!$R220:$AA220),"")</f>
        <v/>
      </c>
      <c r="AH212" s="7" t="str">
        <f ca="1">IF(LEN(DATA!G220)&gt;0,SUMPRODUCT(OFFSET(DATA!$R$6,AH$5,0,1,10),DATA!$R220:$AA220),"")</f>
        <v/>
      </c>
      <c r="AI212" s="7" t="str">
        <f ca="1">IF(LEN(DATA!H220)&gt;0,SUMPRODUCT(OFFSET(DATA!$R$6,AI$5,0,1,10),DATA!$R220:$AA220),"")</f>
        <v/>
      </c>
      <c r="AJ212" s="7" t="str">
        <f ca="1">IF(LEN(DATA!I220)&gt;0,SUMPRODUCT(OFFSET(DATA!$R$6,AJ$5,0,1,10),DATA!$R220:$AA220),"")</f>
        <v/>
      </c>
      <c r="AK212" s="7"/>
      <c r="AL212" s="7" t="e">
        <f t="shared" ca="1" si="81"/>
        <v>#DIV/0!</v>
      </c>
      <c r="AM212" s="7" t="e">
        <f t="shared" ca="1" si="82"/>
        <v>#DIV/0!</v>
      </c>
      <c r="AN212" s="7" t="e">
        <f t="shared" ca="1" si="83"/>
        <v>#DIV/0!</v>
      </c>
      <c r="AO212" s="7" t="e">
        <f t="shared" ca="1" si="84"/>
        <v>#DIV/0!</v>
      </c>
      <c r="AP212" s="7" t="e">
        <f t="shared" ca="1" si="85"/>
        <v>#DIV/0!</v>
      </c>
      <c r="AQ212" s="7" t="e">
        <f t="shared" ca="1" si="86"/>
        <v>#DIV/0!</v>
      </c>
      <c r="AS212">
        <f t="shared" si="87"/>
        <v>26</v>
      </c>
      <c r="AT212">
        <f t="shared" si="88"/>
        <v>2</v>
      </c>
      <c r="AU212">
        <f t="shared" ca="1" si="89"/>
        <v>1.1977966905495669</v>
      </c>
      <c r="AV212">
        <f t="shared" ca="1" si="90"/>
        <v>1.0640126805421148</v>
      </c>
      <c r="AW212">
        <f ca="1">IF(AND($AT212&lt;3,OFFSET(DATA!$C$14,$AS212,0)=AW$6),$AV212,dNULL)</f>
        <v>-99</v>
      </c>
      <c r="AX212">
        <f ca="1">IF(AND($AT212&lt;3,OFFSET(DATA!$C$14,$AS212,0)=AX$6),$AV212,dNULL)</f>
        <v>-99</v>
      </c>
      <c r="AY212">
        <f ca="1">IF(AND($AT212&lt;3,OFFSET(DATA!$C$14,$AS212,0)=AY$6),$AV212,dNULL)</f>
        <v>1.0640126805421148</v>
      </c>
      <c r="AZ212">
        <f ca="1">IF(AND($AT212&lt;3,OFFSET(DATA!$C$14,$AS212,0)=AZ$6),$AV212,dNULL)</f>
        <v>-99</v>
      </c>
      <c r="BA212">
        <f ca="1">IF(AND($AT212&lt;3,OFFSET(DATA!$C$14,$AS212,0)=BA$6),$AV212,dNULL)</f>
        <v>-99</v>
      </c>
      <c r="BB212">
        <f ca="1">IF(AND($AT212&lt;3,OFFSET(DATA!$C$14,$AS212,0)=BB$6),$AV212,dNULL)</f>
        <v>-99</v>
      </c>
      <c r="BC212">
        <f ca="1">IF(AND($AT212&lt;3,OFFSET(DATA!$C$14,$AS212,0)=BC$6),$AV212,dNULL)</f>
        <v>-99</v>
      </c>
      <c r="BD212">
        <f ca="1">IF(AND($AT212&lt;3,OFFSET(DATA!$C$14,$AS212,0)=BD$6),$AV212,dNULL)</f>
        <v>-99</v>
      </c>
      <c r="BE212">
        <f ca="1">IF(AND($AT212&lt;3,OFFSET(DATA!$C$14,$AS212,0)=BE$6),$AV212,dNULL)</f>
        <v>-99</v>
      </c>
      <c r="BF212">
        <f ca="1">IF(AND($AT212&lt;3,OFFSET(DATA!$C$14,$AS212,0)=BF$6),$AV212,dNULL)</f>
        <v>-99</v>
      </c>
      <c r="BG212">
        <f ca="1">IF(AND($AT212&lt;3,OFFSET(DATA!$C$14,$AS212,0)=BG$6),$AV212,dNULL)</f>
        <v>-99</v>
      </c>
      <c r="BH212">
        <f ca="1">IF(AND($AT212&lt;3,OFFSET(DATA!$C$14,$AS212,0)=BH$6),$AV212,dNULL)</f>
        <v>-99</v>
      </c>
    </row>
    <row r="213" spans="13:60" x14ac:dyDescent="0.25">
      <c r="Y213" s="26"/>
      <c r="Z213" s="26"/>
      <c r="AB213" s="26" t="str">
        <f t="shared" ca="1" si="80"/>
        <v/>
      </c>
      <c r="AC213">
        <f t="shared" ca="1" si="93"/>
        <v>90</v>
      </c>
      <c r="AD213" t="str">
        <f ca="1">IF(AND(AT213&lt;1,MAX(AW213:BH213)&gt;dNULL),DATA!$D221,"")</f>
        <v/>
      </c>
      <c r="AE213" s="7" t="str">
        <f ca="1">IF(LEN(DATA!D221)&gt;0,SUMPRODUCT(OFFSET(DATA!$R$6,AE$5,0,1,10),DATA!$R221:$AA221),"")</f>
        <v/>
      </c>
      <c r="AF213" s="7" t="str">
        <f ca="1">IF(LEN(DATA!E221)&gt;0,SUMPRODUCT(OFFSET(DATA!$R$6,AF$5,0,1,10),DATA!$R221:$AA221),"")</f>
        <v/>
      </c>
      <c r="AG213" s="7" t="str">
        <f ca="1">IF(LEN(DATA!F221)&gt;0,SUMPRODUCT(OFFSET(DATA!$R$6,AG$5,0,1,10),DATA!$R221:$AA221),"")</f>
        <v/>
      </c>
      <c r="AH213" s="7" t="str">
        <f ca="1">IF(LEN(DATA!G221)&gt;0,SUMPRODUCT(OFFSET(DATA!$R$6,AH$5,0,1,10),DATA!$R221:$AA221),"")</f>
        <v/>
      </c>
      <c r="AI213" s="7" t="str">
        <f ca="1">IF(LEN(DATA!H221)&gt;0,SUMPRODUCT(OFFSET(DATA!$R$6,AI$5,0,1,10),DATA!$R221:$AA221),"")</f>
        <v/>
      </c>
      <c r="AJ213" s="7" t="str">
        <f ca="1">IF(LEN(DATA!I221)&gt;0,SUMPRODUCT(OFFSET(DATA!$R$6,AJ$5,0,1,10),DATA!$R221:$AA221),"")</f>
        <v/>
      </c>
      <c r="AK213" s="7"/>
      <c r="AL213" s="7" t="e">
        <f t="shared" ca="1" si="81"/>
        <v>#DIV/0!</v>
      </c>
      <c r="AM213" s="7" t="e">
        <f t="shared" ca="1" si="82"/>
        <v>#DIV/0!</v>
      </c>
      <c r="AN213" s="7" t="e">
        <f t="shared" ca="1" si="83"/>
        <v>#DIV/0!</v>
      </c>
      <c r="AO213" s="7" t="e">
        <f t="shared" ca="1" si="84"/>
        <v>#DIV/0!</v>
      </c>
      <c r="AP213" s="7" t="e">
        <f t="shared" ca="1" si="85"/>
        <v>#DIV/0!</v>
      </c>
      <c r="AQ213" s="7" t="e">
        <f t="shared" ca="1" si="86"/>
        <v>#DIV/0!</v>
      </c>
      <c r="AS213">
        <f t="shared" si="87"/>
        <v>27</v>
      </c>
      <c r="AT213">
        <f t="shared" si="88"/>
        <v>2</v>
      </c>
      <c r="AU213">
        <f t="shared" ca="1" si="89"/>
        <v>1.1580123373677602</v>
      </c>
      <c r="AV213">
        <f t="shared" ca="1" si="90"/>
        <v>1.0301835456980954</v>
      </c>
      <c r="AW213">
        <f ca="1">IF(AND($AT213&lt;3,OFFSET(DATA!$C$14,$AS213,0)=AW$6),$AV213,dNULL)</f>
        <v>-99</v>
      </c>
      <c r="AX213">
        <f ca="1">IF(AND($AT213&lt;3,OFFSET(DATA!$C$14,$AS213,0)=AX$6),$AV213,dNULL)</f>
        <v>-99</v>
      </c>
      <c r="AY213">
        <f ca="1">IF(AND($AT213&lt;3,OFFSET(DATA!$C$14,$AS213,0)=AY$6),$AV213,dNULL)</f>
        <v>1.0301835456980954</v>
      </c>
      <c r="AZ213">
        <f ca="1">IF(AND($AT213&lt;3,OFFSET(DATA!$C$14,$AS213,0)=AZ$6),$AV213,dNULL)</f>
        <v>-99</v>
      </c>
      <c r="BA213">
        <f ca="1">IF(AND($AT213&lt;3,OFFSET(DATA!$C$14,$AS213,0)=BA$6),$AV213,dNULL)</f>
        <v>-99</v>
      </c>
      <c r="BB213">
        <f ca="1">IF(AND($AT213&lt;3,OFFSET(DATA!$C$14,$AS213,0)=BB$6),$AV213,dNULL)</f>
        <v>-99</v>
      </c>
      <c r="BC213">
        <f ca="1">IF(AND($AT213&lt;3,OFFSET(DATA!$C$14,$AS213,0)=BC$6),$AV213,dNULL)</f>
        <v>-99</v>
      </c>
      <c r="BD213">
        <f ca="1">IF(AND($AT213&lt;3,OFFSET(DATA!$C$14,$AS213,0)=BD$6),$AV213,dNULL)</f>
        <v>-99</v>
      </c>
      <c r="BE213">
        <f ca="1">IF(AND($AT213&lt;3,OFFSET(DATA!$C$14,$AS213,0)=BE$6),$AV213,dNULL)</f>
        <v>-99</v>
      </c>
      <c r="BF213">
        <f ca="1">IF(AND($AT213&lt;3,OFFSET(DATA!$C$14,$AS213,0)=BF$6),$AV213,dNULL)</f>
        <v>-99</v>
      </c>
      <c r="BG213">
        <f ca="1">IF(AND($AT213&lt;3,OFFSET(DATA!$C$14,$AS213,0)=BG$6),$AV213,dNULL)</f>
        <v>-99</v>
      </c>
      <c r="BH213">
        <f ca="1">IF(AND($AT213&lt;3,OFFSET(DATA!$C$14,$AS213,0)=BH$6),$AV213,dNULL)</f>
        <v>-99</v>
      </c>
    </row>
    <row r="214" spans="13:60" x14ac:dyDescent="0.25">
      <c r="N214">
        <f>N95+dAnionOFF*0.5</f>
        <v>-48.349999999999994</v>
      </c>
      <c r="O214">
        <f>O95+dAnionOFF*3^0.5*0.5</f>
        <v>85.996322595794751</v>
      </c>
      <c r="Y214" s="26"/>
      <c r="Z214" s="26"/>
      <c r="AB214" s="26" t="str">
        <f t="shared" ca="1" si="80"/>
        <v/>
      </c>
      <c r="AC214">
        <f t="shared" ca="1" si="93"/>
        <v>90</v>
      </c>
      <c r="AD214" t="str">
        <f ca="1">IF(AND(AT214&lt;1,MAX(AW214:BH214)&gt;dNULL),DATA!$D222,"")</f>
        <v/>
      </c>
      <c r="AE214" s="7" t="str">
        <f ca="1">IF(LEN(DATA!D222)&gt;0,SUMPRODUCT(OFFSET(DATA!$R$6,AE$5,0,1,10),DATA!$R222:$AA222),"")</f>
        <v/>
      </c>
      <c r="AF214" s="7" t="str">
        <f ca="1">IF(LEN(DATA!E222)&gt;0,SUMPRODUCT(OFFSET(DATA!$R$6,AF$5,0,1,10),DATA!$R222:$AA222),"")</f>
        <v/>
      </c>
      <c r="AG214" s="7" t="str">
        <f ca="1">IF(LEN(DATA!F222)&gt;0,SUMPRODUCT(OFFSET(DATA!$R$6,AG$5,0,1,10),DATA!$R222:$AA222),"")</f>
        <v/>
      </c>
      <c r="AH214" s="7" t="str">
        <f ca="1">IF(LEN(DATA!G222)&gt;0,SUMPRODUCT(OFFSET(DATA!$R$6,AH$5,0,1,10),DATA!$R222:$AA222),"")</f>
        <v/>
      </c>
      <c r="AI214" s="7" t="str">
        <f ca="1">IF(LEN(DATA!H222)&gt;0,SUMPRODUCT(OFFSET(DATA!$R$6,AI$5,0,1,10),DATA!$R222:$AA222),"")</f>
        <v/>
      </c>
      <c r="AJ214" s="7" t="str">
        <f ca="1">IF(LEN(DATA!I222)&gt;0,SUMPRODUCT(OFFSET(DATA!$R$6,AJ$5,0,1,10),DATA!$R222:$AA222),"")</f>
        <v/>
      </c>
      <c r="AK214" s="7"/>
      <c r="AL214" s="7" t="e">
        <f t="shared" ca="1" si="81"/>
        <v>#DIV/0!</v>
      </c>
      <c r="AM214" s="7" t="e">
        <f t="shared" ca="1" si="82"/>
        <v>#DIV/0!</v>
      </c>
      <c r="AN214" s="7" t="e">
        <f t="shared" ca="1" si="83"/>
        <v>#DIV/0!</v>
      </c>
      <c r="AO214" s="7" t="e">
        <f t="shared" ca="1" si="84"/>
        <v>#DIV/0!</v>
      </c>
      <c r="AP214" s="7" t="e">
        <f t="shared" ca="1" si="85"/>
        <v>#DIV/0!</v>
      </c>
      <c r="AQ214" s="7" t="e">
        <f t="shared" ca="1" si="86"/>
        <v>#DIV/0!</v>
      </c>
      <c r="AS214">
        <f t="shared" si="87"/>
        <v>28</v>
      </c>
      <c r="AT214">
        <f t="shared" si="88"/>
        <v>2</v>
      </c>
      <c r="AU214">
        <f t="shared" ca="1" si="89"/>
        <v>1.1616012052795339</v>
      </c>
      <c r="AV214">
        <f t="shared" ca="1" si="90"/>
        <v>1.0183420888490691</v>
      </c>
      <c r="AW214">
        <f ca="1">IF(AND($AT214&lt;3,OFFSET(DATA!$C$14,$AS214,0)=AW$6),$AV214,dNULL)</f>
        <v>-99</v>
      </c>
      <c r="AX214">
        <f ca="1">IF(AND($AT214&lt;3,OFFSET(DATA!$C$14,$AS214,0)=AX$6),$AV214,dNULL)</f>
        <v>-99</v>
      </c>
      <c r="AY214">
        <f ca="1">IF(AND($AT214&lt;3,OFFSET(DATA!$C$14,$AS214,0)=AY$6),$AV214,dNULL)</f>
        <v>1.0183420888490691</v>
      </c>
      <c r="AZ214">
        <f ca="1">IF(AND($AT214&lt;3,OFFSET(DATA!$C$14,$AS214,0)=AZ$6),$AV214,dNULL)</f>
        <v>-99</v>
      </c>
      <c r="BA214">
        <f ca="1">IF(AND($AT214&lt;3,OFFSET(DATA!$C$14,$AS214,0)=BA$6),$AV214,dNULL)</f>
        <v>-99</v>
      </c>
      <c r="BB214">
        <f ca="1">IF(AND($AT214&lt;3,OFFSET(DATA!$C$14,$AS214,0)=BB$6),$AV214,dNULL)</f>
        <v>-99</v>
      </c>
      <c r="BC214">
        <f ca="1">IF(AND($AT214&lt;3,OFFSET(DATA!$C$14,$AS214,0)=BC$6),$AV214,dNULL)</f>
        <v>-99</v>
      </c>
      <c r="BD214">
        <f ca="1">IF(AND($AT214&lt;3,OFFSET(DATA!$C$14,$AS214,0)=BD$6),$AV214,dNULL)</f>
        <v>-99</v>
      </c>
      <c r="BE214">
        <f ca="1">IF(AND($AT214&lt;3,OFFSET(DATA!$C$14,$AS214,0)=BE$6),$AV214,dNULL)</f>
        <v>-99</v>
      </c>
      <c r="BF214">
        <f ca="1">IF(AND($AT214&lt;3,OFFSET(DATA!$C$14,$AS214,0)=BF$6),$AV214,dNULL)</f>
        <v>-99</v>
      </c>
      <c r="BG214">
        <f ca="1">IF(AND($AT214&lt;3,OFFSET(DATA!$C$14,$AS214,0)=BG$6),$AV214,dNULL)</f>
        <v>-99</v>
      </c>
      <c r="BH214">
        <f ca="1">IF(AND($AT214&lt;3,OFFSET(DATA!$C$14,$AS214,0)=BH$6),$AV214,dNULL)</f>
        <v>-99</v>
      </c>
    </row>
    <row r="215" spans="13:60" x14ac:dyDescent="0.25">
      <c r="N215">
        <f>N214+0.5</f>
        <v>-47.849999999999994</v>
      </c>
      <c r="O215">
        <f>O214+3^0.5/2</f>
        <v>86.862347999579185</v>
      </c>
      <c r="Y215" s="26"/>
      <c r="Z215" s="26"/>
      <c r="AB215" s="26" t="str">
        <f t="shared" ca="1" si="80"/>
        <v/>
      </c>
      <c r="AC215">
        <f t="shared" ca="1" si="93"/>
        <v>90</v>
      </c>
      <c r="AD215" t="str">
        <f ca="1">IF(AND(AT215&lt;1,MAX(AW215:BH215)&gt;dNULL),DATA!$D223,"")</f>
        <v/>
      </c>
      <c r="AE215" s="7" t="str">
        <f ca="1">IF(LEN(DATA!D223)&gt;0,SUMPRODUCT(OFFSET(DATA!$R$6,AE$5,0,1,10),DATA!$R223:$AA223),"")</f>
        <v/>
      </c>
      <c r="AF215" s="7" t="str">
        <f ca="1">IF(LEN(DATA!E223)&gt;0,SUMPRODUCT(OFFSET(DATA!$R$6,AF$5,0,1,10),DATA!$R223:$AA223),"")</f>
        <v/>
      </c>
      <c r="AG215" s="7" t="str">
        <f ca="1">IF(LEN(DATA!F223)&gt;0,SUMPRODUCT(OFFSET(DATA!$R$6,AG$5,0,1,10),DATA!$R223:$AA223),"")</f>
        <v/>
      </c>
      <c r="AH215" s="7" t="str">
        <f ca="1">IF(LEN(DATA!G223)&gt;0,SUMPRODUCT(OFFSET(DATA!$R$6,AH$5,0,1,10),DATA!$R223:$AA223),"")</f>
        <v/>
      </c>
      <c r="AI215" s="7" t="str">
        <f ca="1">IF(LEN(DATA!H223)&gt;0,SUMPRODUCT(OFFSET(DATA!$R$6,AI$5,0,1,10),DATA!$R223:$AA223),"")</f>
        <v/>
      </c>
      <c r="AJ215" s="7" t="str">
        <f ca="1">IF(LEN(DATA!I223)&gt;0,SUMPRODUCT(OFFSET(DATA!$R$6,AJ$5,0,1,10),DATA!$R223:$AA223),"")</f>
        <v/>
      </c>
      <c r="AK215" s="7"/>
      <c r="AL215" s="7" t="e">
        <f t="shared" ca="1" si="81"/>
        <v>#DIV/0!</v>
      </c>
      <c r="AM215" s="7" t="e">
        <f t="shared" ca="1" si="82"/>
        <v>#DIV/0!</v>
      </c>
      <c r="AN215" s="7" t="e">
        <f t="shared" ca="1" si="83"/>
        <v>#DIV/0!</v>
      </c>
      <c r="AO215" s="7" t="e">
        <f t="shared" ca="1" si="84"/>
        <v>#DIV/0!</v>
      </c>
      <c r="AP215" s="7" t="e">
        <f t="shared" ca="1" si="85"/>
        <v>#DIV/0!</v>
      </c>
      <c r="AQ215" s="7" t="e">
        <f t="shared" ca="1" si="86"/>
        <v>#DIV/0!</v>
      </c>
      <c r="AS215">
        <f t="shared" si="87"/>
        <v>29</v>
      </c>
      <c r="AT215">
        <f t="shared" si="88"/>
        <v>2</v>
      </c>
      <c r="AU215">
        <f t="shared" ca="1" si="89"/>
        <v>1.1911987964426554</v>
      </c>
      <c r="AV215">
        <f t="shared" ca="1" si="90"/>
        <v>0.99743102679957185</v>
      </c>
      <c r="AW215">
        <f ca="1">IF(AND($AT215&lt;3,OFFSET(DATA!$C$14,$AS215,0)=AW$6),$AV215,dNULL)</f>
        <v>-99</v>
      </c>
      <c r="AX215">
        <f ca="1">IF(AND($AT215&lt;3,OFFSET(DATA!$C$14,$AS215,0)=AX$6),$AV215,dNULL)</f>
        <v>-99</v>
      </c>
      <c r="AY215">
        <f ca="1">IF(AND($AT215&lt;3,OFFSET(DATA!$C$14,$AS215,0)=AY$6),$AV215,dNULL)</f>
        <v>0.99743102679957185</v>
      </c>
      <c r="AZ215">
        <f ca="1">IF(AND($AT215&lt;3,OFFSET(DATA!$C$14,$AS215,0)=AZ$6),$AV215,dNULL)</f>
        <v>-99</v>
      </c>
      <c r="BA215">
        <f ca="1">IF(AND($AT215&lt;3,OFFSET(DATA!$C$14,$AS215,0)=BA$6),$AV215,dNULL)</f>
        <v>-99</v>
      </c>
      <c r="BB215">
        <f ca="1">IF(AND($AT215&lt;3,OFFSET(DATA!$C$14,$AS215,0)=BB$6),$AV215,dNULL)</f>
        <v>-99</v>
      </c>
      <c r="BC215">
        <f ca="1">IF(AND($AT215&lt;3,OFFSET(DATA!$C$14,$AS215,0)=BC$6),$AV215,dNULL)</f>
        <v>-99</v>
      </c>
      <c r="BD215">
        <f ca="1">IF(AND($AT215&lt;3,OFFSET(DATA!$C$14,$AS215,0)=BD$6),$AV215,dNULL)</f>
        <v>-99</v>
      </c>
      <c r="BE215">
        <f ca="1">IF(AND($AT215&lt;3,OFFSET(DATA!$C$14,$AS215,0)=BE$6),$AV215,dNULL)</f>
        <v>-99</v>
      </c>
      <c r="BF215">
        <f ca="1">IF(AND($AT215&lt;3,OFFSET(DATA!$C$14,$AS215,0)=BF$6),$AV215,dNULL)</f>
        <v>-99</v>
      </c>
      <c r="BG215">
        <f ca="1">IF(AND($AT215&lt;3,OFFSET(DATA!$C$14,$AS215,0)=BG$6),$AV215,dNULL)</f>
        <v>-99</v>
      </c>
      <c r="BH215">
        <f ca="1">IF(AND($AT215&lt;3,OFFSET(DATA!$C$14,$AS215,0)=BH$6),$AV215,dNULL)</f>
        <v>-99</v>
      </c>
    </row>
    <row r="216" spans="13:60" x14ac:dyDescent="0.25">
      <c r="Y216" s="26"/>
      <c r="Z216" s="26"/>
      <c r="AB216" s="26" t="str">
        <f t="shared" ca="1" si="80"/>
        <v/>
      </c>
      <c r="AC216">
        <f t="shared" ca="1" si="93"/>
        <v>90</v>
      </c>
      <c r="AD216" t="str">
        <f ca="1">IF(AND(AT216&lt;1,MAX(AW216:BH216)&gt;dNULL),DATA!$D224,"")</f>
        <v/>
      </c>
      <c r="AE216" s="7" t="str">
        <f ca="1">IF(LEN(DATA!D224)&gt;0,SUMPRODUCT(OFFSET(DATA!$R$6,AE$5,0,1,10),DATA!$R224:$AA224),"")</f>
        <v/>
      </c>
      <c r="AF216" s="7" t="str">
        <f ca="1">IF(LEN(DATA!E224)&gt;0,SUMPRODUCT(OFFSET(DATA!$R$6,AF$5,0,1,10),DATA!$R224:$AA224),"")</f>
        <v/>
      </c>
      <c r="AG216" s="7" t="str">
        <f ca="1">IF(LEN(DATA!F224)&gt;0,SUMPRODUCT(OFFSET(DATA!$R$6,AG$5,0,1,10),DATA!$R224:$AA224),"")</f>
        <v/>
      </c>
      <c r="AH216" s="7" t="str">
        <f ca="1">IF(LEN(DATA!G224)&gt;0,SUMPRODUCT(OFFSET(DATA!$R$6,AH$5,0,1,10),DATA!$R224:$AA224),"")</f>
        <v/>
      </c>
      <c r="AI216" s="7" t="str">
        <f ca="1">IF(LEN(DATA!H224)&gt;0,SUMPRODUCT(OFFSET(DATA!$R$6,AI$5,0,1,10),DATA!$R224:$AA224),"")</f>
        <v/>
      </c>
      <c r="AJ216" s="7" t="str">
        <f ca="1">IF(LEN(DATA!I224)&gt;0,SUMPRODUCT(OFFSET(DATA!$R$6,AJ$5,0,1,10),DATA!$R224:$AA224),"")</f>
        <v/>
      </c>
      <c r="AK216" s="7"/>
      <c r="AL216" s="7" t="e">
        <f t="shared" ca="1" si="81"/>
        <v>#DIV/0!</v>
      </c>
      <c r="AM216" s="7" t="e">
        <f t="shared" ca="1" si="82"/>
        <v>#DIV/0!</v>
      </c>
      <c r="AN216" s="7" t="e">
        <f t="shared" ca="1" si="83"/>
        <v>#DIV/0!</v>
      </c>
      <c r="AO216" s="7" t="e">
        <f t="shared" ca="1" si="84"/>
        <v>#DIV/0!</v>
      </c>
      <c r="AP216" s="7" t="e">
        <f t="shared" ca="1" si="85"/>
        <v>#DIV/0!</v>
      </c>
      <c r="AQ216" s="7" t="e">
        <f t="shared" ca="1" si="86"/>
        <v>#DIV/0!</v>
      </c>
      <c r="AS216">
        <f t="shared" si="87"/>
        <v>30</v>
      </c>
      <c r="AT216">
        <f t="shared" si="88"/>
        <v>2</v>
      </c>
      <c r="AU216">
        <f t="shared" ca="1" si="89"/>
        <v>1.1654107304312147</v>
      </c>
      <c r="AV216">
        <f t="shared" ca="1" si="90"/>
        <v>1.0492843836921821</v>
      </c>
      <c r="AW216">
        <f ca="1">IF(AND($AT216&lt;3,OFFSET(DATA!$C$14,$AS216,0)=AW$6),$AV216,dNULL)</f>
        <v>-99</v>
      </c>
      <c r="AX216">
        <f ca="1">IF(AND($AT216&lt;3,OFFSET(DATA!$C$14,$AS216,0)=AX$6),$AV216,dNULL)</f>
        <v>-99</v>
      </c>
      <c r="AY216">
        <f ca="1">IF(AND($AT216&lt;3,OFFSET(DATA!$C$14,$AS216,0)=AY$6),$AV216,dNULL)</f>
        <v>1.0492843836921821</v>
      </c>
      <c r="AZ216">
        <f ca="1">IF(AND($AT216&lt;3,OFFSET(DATA!$C$14,$AS216,0)=AZ$6),$AV216,dNULL)</f>
        <v>-99</v>
      </c>
      <c r="BA216">
        <f ca="1">IF(AND($AT216&lt;3,OFFSET(DATA!$C$14,$AS216,0)=BA$6),$AV216,dNULL)</f>
        <v>-99</v>
      </c>
      <c r="BB216">
        <f ca="1">IF(AND($AT216&lt;3,OFFSET(DATA!$C$14,$AS216,0)=BB$6),$AV216,dNULL)</f>
        <v>-99</v>
      </c>
      <c r="BC216">
        <f ca="1">IF(AND($AT216&lt;3,OFFSET(DATA!$C$14,$AS216,0)=BC$6),$AV216,dNULL)</f>
        <v>-99</v>
      </c>
      <c r="BD216">
        <f ca="1">IF(AND($AT216&lt;3,OFFSET(DATA!$C$14,$AS216,0)=BD$6),$AV216,dNULL)</f>
        <v>-99</v>
      </c>
      <c r="BE216">
        <f ca="1">IF(AND($AT216&lt;3,OFFSET(DATA!$C$14,$AS216,0)=BE$6),$AV216,dNULL)</f>
        <v>-99</v>
      </c>
      <c r="BF216">
        <f ca="1">IF(AND($AT216&lt;3,OFFSET(DATA!$C$14,$AS216,0)=BF$6),$AV216,dNULL)</f>
        <v>-99</v>
      </c>
      <c r="BG216">
        <f ca="1">IF(AND($AT216&lt;3,OFFSET(DATA!$C$14,$AS216,0)=BG$6),$AV216,dNULL)</f>
        <v>-99</v>
      </c>
      <c r="BH216">
        <f ca="1">IF(AND($AT216&lt;3,OFFSET(DATA!$C$14,$AS216,0)=BH$6),$AV216,dNULL)</f>
        <v>-99</v>
      </c>
    </row>
    <row r="217" spans="13:60" x14ac:dyDescent="0.25">
      <c r="M217" t="s">
        <v>74</v>
      </c>
      <c r="N217">
        <f>N98-dAnionOFF/2</f>
        <v>1.2500000000000002</v>
      </c>
      <c r="O217">
        <f>O98+dAnionOFF*3^0.5*0.5</f>
        <v>0.4330127018922193</v>
      </c>
      <c r="Y217" s="26"/>
      <c r="Z217" s="26"/>
      <c r="AB217" s="26" t="str">
        <f t="shared" ca="1" si="80"/>
        <v/>
      </c>
      <c r="AC217">
        <f t="shared" ca="1" si="93"/>
        <v>90</v>
      </c>
      <c r="AD217" t="str">
        <f ca="1">IF(AND(AT217&lt;1,MAX(AW217:BH217)&gt;dNULL),DATA!$D225,"")</f>
        <v/>
      </c>
      <c r="AE217" s="7" t="str">
        <f ca="1">IF(LEN(DATA!D225)&gt;0,SUMPRODUCT(OFFSET(DATA!$R$6,AE$5,0,1,10),DATA!$R225:$AA225),"")</f>
        <v/>
      </c>
      <c r="AF217" s="7" t="str">
        <f ca="1">IF(LEN(DATA!E225)&gt;0,SUMPRODUCT(OFFSET(DATA!$R$6,AF$5,0,1,10),DATA!$R225:$AA225),"")</f>
        <v/>
      </c>
      <c r="AG217" s="7" t="str">
        <f ca="1">IF(LEN(DATA!F225)&gt;0,SUMPRODUCT(OFFSET(DATA!$R$6,AG$5,0,1,10),DATA!$R225:$AA225),"")</f>
        <v/>
      </c>
      <c r="AH217" s="7" t="str">
        <f ca="1">IF(LEN(DATA!G225)&gt;0,SUMPRODUCT(OFFSET(DATA!$R$6,AH$5,0,1,10),DATA!$R225:$AA225),"")</f>
        <v/>
      </c>
      <c r="AI217" s="7" t="str">
        <f ca="1">IF(LEN(DATA!H225)&gt;0,SUMPRODUCT(OFFSET(DATA!$R$6,AI$5,0,1,10),DATA!$R225:$AA225),"")</f>
        <v/>
      </c>
      <c r="AJ217" s="7" t="str">
        <f ca="1">IF(LEN(DATA!I225)&gt;0,SUMPRODUCT(OFFSET(DATA!$R$6,AJ$5,0,1,10),DATA!$R225:$AA225),"")</f>
        <v/>
      </c>
      <c r="AK217" s="7"/>
      <c r="AL217" s="7" t="e">
        <f t="shared" ca="1" si="81"/>
        <v>#DIV/0!</v>
      </c>
      <c r="AM217" s="7" t="e">
        <f t="shared" ca="1" si="82"/>
        <v>#DIV/0!</v>
      </c>
      <c r="AN217" s="7" t="e">
        <f t="shared" ca="1" si="83"/>
        <v>#DIV/0!</v>
      </c>
      <c r="AO217" s="7" t="e">
        <f t="shared" ca="1" si="84"/>
        <v>#DIV/0!</v>
      </c>
      <c r="AP217" s="7" t="e">
        <f t="shared" ca="1" si="85"/>
        <v>#DIV/0!</v>
      </c>
      <c r="AQ217" s="7" t="e">
        <f t="shared" ca="1" si="86"/>
        <v>#DIV/0!</v>
      </c>
      <c r="AS217">
        <f t="shared" si="87"/>
        <v>31</v>
      </c>
      <c r="AT217">
        <f t="shared" si="88"/>
        <v>2</v>
      </c>
      <c r="AU217">
        <f t="shared" ca="1" si="89"/>
        <v>1.3091627468179454</v>
      </c>
      <c r="AV217">
        <f t="shared" ca="1" si="90"/>
        <v>0.77313327864354808</v>
      </c>
      <c r="AW217">
        <f ca="1">IF(AND($AT217&lt;3,OFFSET(DATA!$C$14,$AS217,0)=AW$6),$AV217,dNULL)</f>
        <v>-99</v>
      </c>
      <c r="AX217">
        <f ca="1">IF(AND($AT217&lt;3,OFFSET(DATA!$C$14,$AS217,0)=AX$6),$AV217,dNULL)</f>
        <v>-99</v>
      </c>
      <c r="AY217">
        <f ca="1">IF(AND($AT217&lt;3,OFFSET(DATA!$C$14,$AS217,0)=AY$6),$AV217,dNULL)</f>
        <v>0.77313327864354808</v>
      </c>
      <c r="AZ217">
        <f ca="1">IF(AND($AT217&lt;3,OFFSET(DATA!$C$14,$AS217,0)=AZ$6),$AV217,dNULL)</f>
        <v>-99</v>
      </c>
      <c r="BA217">
        <f ca="1">IF(AND($AT217&lt;3,OFFSET(DATA!$C$14,$AS217,0)=BA$6),$AV217,dNULL)</f>
        <v>-99</v>
      </c>
      <c r="BB217">
        <f ca="1">IF(AND($AT217&lt;3,OFFSET(DATA!$C$14,$AS217,0)=BB$6),$AV217,dNULL)</f>
        <v>-99</v>
      </c>
      <c r="BC217">
        <f ca="1">IF(AND($AT217&lt;3,OFFSET(DATA!$C$14,$AS217,0)=BC$6),$AV217,dNULL)</f>
        <v>-99</v>
      </c>
      <c r="BD217">
        <f ca="1">IF(AND($AT217&lt;3,OFFSET(DATA!$C$14,$AS217,0)=BD$6),$AV217,dNULL)</f>
        <v>-99</v>
      </c>
      <c r="BE217">
        <f ca="1">IF(AND($AT217&lt;3,OFFSET(DATA!$C$14,$AS217,0)=BE$6),$AV217,dNULL)</f>
        <v>-99</v>
      </c>
      <c r="BF217">
        <f ca="1">IF(AND($AT217&lt;3,OFFSET(DATA!$C$14,$AS217,0)=BF$6),$AV217,dNULL)</f>
        <v>-99</v>
      </c>
      <c r="BG217">
        <f ca="1">IF(AND($AT217&lt;3,OFFSET(DATA!$C$14,$AS217,0)=BG$6),$AV217,dNULL)</f>
        <v>-99</v>
      </c>
      <c r="BH217">
        <f ca="1">IF(AND($AT217&lt;3,OFFSET(DATA!$C$14,$AS217,0)=BH$6),$AV217,dNULL)</f>
        <v>-99</v>
      </c>
    </row>
    <row r="218" spans="13:60" x14ac:dyDescent="0.25">
      <c r="N218">
        <f>N217-0.5</f>
        <v>0.75000000000000022</v>
      </c>
      <c r="O218">
        <f>O217+3^0.5/2</f>
        <v>1.299038105676658</v>
      </c>
      <c r="Y218" s="26"/>
      <c r="Z218" s="26"/>
      <c r="AB218" s="26" t="str">
        <f t="shared" ca="1" si="80"/>
        <v/>
      </c>
      <c r="AC218">
        <f t="shared" ca="1" si="93"/>
        <v>90</v>
      </c>
      <c r="AD218" t="str">
        <f ca="1">IF(AND(AT218&lt;1,MAX(AW218:BH218)&gt;dNULL),DATA!$D226,"")</f>
        <v/>
      </c>
      <c r="AE218" s="7" t="str">
        <f ca="1">IF(LEN(DATA!D226)&gt;0,SUMPRODUCT(OFFSET(DATA!$R$6,AE$5,0,1,10),DATA!$R226:$AA226),"")</f>
        <v/>
      </c>
      <c r="AF218" s="7" t="str">
        <f ca="1">IF(LEN(DATA!E226)&gt;0,SUMPRODUCT(OFFSET(DATA!$R$6,AF$5,0,1,10),DATA!$R226:$AA226),"")</f>
        <v/>
      </c>
      <c r="AG218" s="7" t="str">
        <f ca="1">IF(LEN(DATA!F226)&gt;0,SUMPRODUCT(OFFSET(DATA!$R$6,AG$5,0,1,10),DATA!$R226:$AA226),"")</f>
        <v/>
      </c>
      <c r="AH218" s="7" t="str">
        <f ca="1">IF(LEN(DATA!G226)&gt;0,SUMPRODUCT(OFFSET(DATA!$R$6,AH$5,0,1,10),DATA!$R226:$AA226),"")</f>
        <v/>
      </c>
      <c r="AI218" s="7" t="str">
        <f ca="1">IF(LEN(DATA!H226)&gt;0,SUMPRODUCT(OFFSET(DATA!$R$6,AI$5,0,1,10),DATA!$R226:$AA226),"")</f>
        <v/>
      </c>
      <c r="AJ218" s="7" t="str">
        <f ca="1">IF(LEN(DATA!I226)&gt;0,SUMPRODUCT(OFFSET(DATA!$R$6,AJ$5,0,1,10),DATA!$R226:$AA226),"")</f>
        <v/>
      </c>
      <c r="AK218" s="7"/>
      <c r="AL218" s="7" t="e">
        <f t="shared" ca="1" si="81"/>
        <v>#DIV/0!</v>
      </c>
      <c r="AM218" s="7" t="e">
        <f t="shared" ca="1" si="82"/>
        <v>#DIV/0!</v>
      </c>
      <c r="AN218" s="7" t="e">
        <f t="shared" ca="1" si="83"/>
        <v>#DIV/0!</v>
      </c>
      <c r="AO218" s="7" t="e">
        <f t="shared" ca="1" si="84"/>
        <v>#DIV/0!</v>
      </c>
      <c r="AP218" s="7" t="e">
        <f t="shared" ca="1" si="85"/>
        <v>#DIV/0!</v>
      </c>
      <c r="AQ218" s="7" t="e">
        <f t="shared" ca="1" si="86"/>
        <v>#DIV/0!</v>
      </c>
      <c r="AS218">
        <f t="shared" si="87"/>
        <v>32</v>
      </c>
      <c r="AT218">
        <f t="shared" si="88"/>
        <v>2</v>
      </c>
      <c r="AU218">
        <f t="shared" ca="1" si="89"/>
        <v>1.3065529596338408</v>
      </c>
      <c r="AV218">
        <f t="shared" ca="1" si="90"/>
        <v>0.83397354227777543</v>
      </c>
      <c r="AW218">
        <f ca="1">IF(AND($AT218&lt;3,OFFSET(DATA!$C$14,$AS218,0)=AW$6),$AV218,dNULL)</f>
        <v>-99</v>
      </c>
      <c r="AX218">
        <f ca="1">IF(AND($AT218&lt;3,OFFSET(DATA!$C$14,$AS218,0)=AX$6),$AV218,dNULL)</f>
        <v>-99</v>
      </c>
      <c r="AY218">
        <f ca="1">IF(AND($AT218&lt;3,OFFSET(DATA!$C$14,$AS218,0)=AY$6),$AV218,dNULL)</f>
        <v>0.83397354227777543</v>
      </c>
      <c r="AZ218">
        <f ca="1">IF(AND($AT218&lt;3,OFFSET(DATA!$C$14,$AS218,0)=AZ$6),$AV218,dNULL)</f>
        <v>-99</v>
      </c>
      <c r="BA218">
        <f ca="1">IF(AND($AT218&lt;3,OFFSET(DATA!$C$14,$AS218,0)=BA$6),$AV218,dNULL)</f>
        <v>-99</v>
      </c>
      <c r="BB218">
        <f ca="1">IF(AND($AT218&lt;3,OFFSET(DATA!$C$14,$AS218,0)=BB$6),$AV218,dNULL)</f>
        <v>-99</v>
      </c>
      <c r="BC218">
        <f ca="1">IF(AND($AT218&lt;3,OFFSET(DATA!$C$14,$AS218,0)=BC$6),$AV218,dNULL)</f>
        <v>-99</v>
      </c>
      <c r="BD218">
        <f ca="1">IF(AND($AT218&lt;3,OFFSET(DATA!$C$14,$AS218,0)=BD$6),$AV218,dNULL)</f>
        <v>-99</v>
      </c>
      <c r="BE218">
        <f ca="1">IF(AND($AT218&lt;3,OFFSET(DATA!$C$14,$AS218,0)=BE$6),$AV218,dNULL)</f>
        <v>-99</v>
      </c>
      <c r="BF218">
        <f ca="1">IF(AND($AT218&lt;3,OFFSET(DATA!$C$14,$AS218,0)=BF$6),$AV218,dNULL)</f>
        <v>-99</v>
      </c>
      <c r="BG218">
        <f ca="1">IF(AND($AT218&lt;3,OFFSET(DATA!$C$14,$AS218,0)=BG$6),$AV218,dNULL)</f>
        <v>-99</v>
      </c>
      <c r="BH218">
        <f ca="1">IF(AND($AT218&lt;3,OFFSET(DATA!$C$14,$AS218,0)=BH$6),$AV218,dNULL)</f>
        <v>-99</v>
      </c>
    </row>
    <row r="219" spans="13:60" x14ac:dyDescent="0.25">
      <c r="Y219" s="26"/>
      <c r="Z219" s="26"/>
      <c r="AB219" s="26" t="str">
        <f t="shared" ca="1" si="80"/>
        <v/>
      </c>
      <c r="AC219">
        <f t="shared" ca="1" si="93"/>
        <v>90</v>
      </c>
      <c r="AD219" t="str">
        <f ca="1">IF(AND(AT219&lt;1,MAX(AW219:BH219)&gt;dNULL),DATA!$D227,"")</f>
        <v/>
      </c>
      <c r="AE219" s="7" t="str">
        <f ca="1">IF(LEN(DATA!D227)&gt;0,SUMPRODUCT(OFFSET(DATA!$R$6,AE$5,0,1,10),DATA!$R227:$AA227),"")</f>
        <v/>
      </c>
      <c r="AF219" s="7" t="str">
        <f ca="1">IF(LEN(DATA!E227)&gt;0,SUMPRODUCT(OFFSET(DATA!$R$6,AF$5,0,1,10),DATA!$R227:$AA227),"")</f>
        <v/>
      </c>
      <c r="AG219" s="7" t="str">
        <f ca="1">IF(LEN(DATA!F227)&gt;0,SUMPRODUCT(OFFSET(DATA!$R$6,AG$5,0,1,10),DATA!$R227:$AA227),"")</f>
        <v/>
      </c>
      <c r="AH219" s="7" t="str">
        <f ca="1">IF(LEN(DATA!G227)&gt;0,SUMPRODUCT(OFFSET(DATA!$R$6,AH$5,0,1,10),DATA!$R227:$AA227),"")</f>
        <v/>
      </c>
      <c r="AI219" s="7" t="str">
        <f ca="1">IF(LEN(DATA!H227)&gt;0,SUMPRODUCT(OFFSET(DATA!$R$6,AI$5,0,1,10),DATA!$R227:$AA227),"")</f>
        <v/>
      </c>
      <c r="AJ219" s="7" t="str">
        <f ca="1">IF(LEN(DATA!I227)&gt;0,SUMPRODUCT(OFFSET(DATA!$R$6,AJ$5,0,1,10),DATA!$R227:$AA227),"")</f>
        <v/>
      </c>
      <c r="AK219" s="7"/>
      <c r="AL219" s="7" t="e">
        <f t="shared" ca="1" si="81"/>
        <v>#DIV/0!</v>
      </c>
      <c r="AM219" s="7" t="e">
        <f t="shared" ca="1" si="82"/>
        <v>#DIV/0!</v>
      </c>
      <c r="AN219" s="7" t="e">
        <f t="shared" ca="1" si="83"/>
        <v>#DIV/0!</v>
      </c>
      <c r="AO219" s="7" t="e">
        <f t="shared" ca="1" si="84"/>
        <v>#DIV/0!</v>
      </c>
      <c r="AP219" s="7" t="e">
        <f t="shared" ca="1" si="85"/>
        <v>#DIV/0!</v>
      </c>
      <c r="AQ219" s="7" t="e">
        <f t="shared" ca="1" si="86"/>
        <v>#DIV/0!</v>
      </c>
      <c r="AS219">
        <f t="shared" si="87"/>
        <v>33</v>
      </c>
      <c r="AT219">
        <f t="shared" si="88"/>
        <v>2</v>
      </c>
      <c r="AU219">
        <f t="shared" ca="1" si="89"/>
        <v>1.2231887160347936</v>
      </c>
      <c r="AV219">
        <f t="shared" ca="1" si="90"/>
        <v>1.092332463091882</v>
      </c>
      <c r="AW219">
        <f ca="1">IF(AND($AT219&lt;3,OFFSET(DATA!$C$14,$AS219,0)=AW$6),$AV219,dNULL)</f>
        <v>-99</v>
      </c>
      <c r="AX219">
        <f ca="1">IF(AND($AT219&lt;3,OFFSET(DATA!$C$14,$AS219,0)=AX$6),$AV219,dNULL)</f>
        <v>-99</v>
      </c>
      <c r="AY219">
        <f ca="1">IF(AND($AT219&lt;3,OFFSET(DATA!$C$14,$AS219,0)=AY$6),$AV219,dNULL)</f>
        <v>1.092332463091882</v>
      </c>
      <c r="AZ219">
        <f ca="1">IF(AND($AT219&lt;3,OFFSET(DATA!$C$14,$AS219,0)=AZ$6),$AV219,dNULL)</f>
        <v>-99</v>
      </c>
      <c r="BA219">
        <f ca="1">IF(AND($AT219&lt;3,OFFSET(DATA!$C$14,$AS219,0)=BA$6),$AV219,dNULL)</f>
        <v>-99</v>
      </c>
      <c r="BB219">
        <f ca="1">IF(AND($AT219&lt;3,OFFSET(DATA!$C$14,$AS219,0)=BB$6),$AV219,dNULL)</f>
        <v>-99</v>
      </c>
      <c r="BC219">
        <f ca="1">IF(AND($AT219&lt;3,OFFSET(DATA!$C$14,$AS219,0)=BC$6),$AV219,dNULL)</f>
        <v>-99</v>
      </c>
      <c r="BD219">
        <f ca="1">IF(AND($AT219&lt;3,OFFSET(DATA!$C$14,$AS219,0)=BD$6),$AV219,dNULL)</f>
        <v>-99</v>
      </c>
      <c r="BE219">
        <f ca="1">IF(AND($AT219&lt;3,OFFSET(DATA!$C$14,$AS219,0)=BE$6),$AV219,dNULL)</f>
        <v>-99</v>
      </c>
      <c r="BF219">
        <f ca="1">IF(AND($AT219&lt;3,OFFSET(DATA!$C$14,$AS219,0)=BF$6),$AV219,dNULL)</f>
        <v>-99</v>
      </c>
      <c r="BG219">
        <f ca="1">IF(AND($AT219&lt;3,OFFSET(DATA!$C$14,$AS219,0)=BG$6),$AV219,dNULL)</f>
        <v>-99</v>
      </c>
      <c r="BH219">
        <f ca="1">IF(AND($AT219&lt;3,OFFSET(DATA!$C$14,$AS219,0)=BH$6),$AV219,dNULL)</f>
        <v>-99</v>
      </c>
    </row>
    <row r="220" spans="13:60" x14ac:dyDescent="0.25">
      <c r="N220">
        <f>N101-dAnionOFF/2</f>
        <v>1.35</v>
      </c>
      <c r="O220">
        <f>O101+dAnionOFF*3^0.5*0.5</f>
        <v>0.60621778264910708</v>
      </c>
      <c r="Y220" s="26"/>
      <c r="Z220" s="26"/>
      <c r="AB220" s="26" t="str">
        <f t="shared" ca="1" si="80"/>
        <v/>
      </c>
      <c r="AC220">
        <f t="shared" ca="1" si="93"/>
        <v>90</v>
      </c>
      <c r="AD220" t="str">
        <f ca="1">IF(AND(AT220&lt;1,MAX(AW220:BH220)&gt;dNULL),DATA!$D228,"")</f>
        <v/>
      </c>
      <c r="AE220" s="7" t="str">
        <f ca="1">IF(LEN(DATA!D228)&gt;0,SUMPRODUCT(OFFSET(DATA!$R$6,AE$5,0,1,10),DATA!$R228:$AA228),"")</f>
        <v/>
      </c>
      <c r="AF220" s="7" t="str">
        <f ca="1">IF(LEN(DATA!E228)&gt;0,SUMPRODUCT(OFFSET(DATA!$R$6,AF$5,0,1,10),DATA!$R228:$AA228),"")</f>
        <v/>
      </c>
      <c r="AG220" s="7" t="str">
        <f ca="1">IF(LEN(DATA!F228)&gt;0,SUMPRODUCT(OFFSET(DATA!$R$6,AG$5,0,1,10),DATA!$R228:$AA228),"")</f>
        <v/>
      </c>
      <c r="AH220" s="7" t="str">
        <f ca="1">IF(LEN(DATA!G228)&gt;0,SUMPRODUCT(OFFSET(DATA!$R$6,AH$5,0,1,10),DATA!$R228:$AA228),"")</f>
        <v/>
      </c>
      <c r="AI220" s="7" t="str">
        <f ca="1">IF(LEN(DATA!H228)&gt;0,SUMPRODUCT(OFFSET(DATA!$R$6,AI$5,0,1,10),DATA!$R228:$AA228),"")</f>
        <v/>
      </c>
      <c r="AJ220" s="7" t="str">
        <f ca="1">IF(LEN(DATA!I228)&gt;0,SUMPRODUCT(OFFSET(DATA!$R$6,AJ$5,0,1,10),DATA!$R228:$AA228),"")</f>
        <v/>
      </c>
      <c r="AK220" s="7"/>
      <c r="AL220" s="7" t="e">
        <f t="shared" ca="1" si="81"/>
        <v>#DIV/0!</v>
      </c>
      <c r="AM220" s="7" t="e">
        <f t="shared" ca="1" si="82"/>
        <v>#DIV/0!</v>
      </c>
      <c r="AN220" s="7" t="e">
        <f t="shared" ca="1" si="83"/>
        <v>#DIV/0!</v>
      </c>
      <c r="AO220" s="7" t="e">
        <f t="shared" ca="1" si="84"/>
        <v>#DIV/0!</v>
      </c>
      <c r="AP220" s="7" t="e">
        <f t="shared" ca="1" si="85"/>
        <v>#DIV/0!</v>
      </c>
      <c r="AQ220" s="7" t="e">
        <f t="shared" ca="1" si="86"/>
        <v>#DIV/0!</v>
      </c>
      <c r="AS220">
        <f t="shared" si="87"/>
        <v>34</v>
      </c>
      <c r="AT220">
        <f t="shared" si="88"/>
        <v>2</v>
      </c>
      <c r="AU220">
        <f t="shared" ca="1" si="89"/>
        <v>1.2633524782298757</v>
      </c>
      <c r="AV220">
        <f t="shared" ca="1" si="90"/>
        <v>1.0688033093418352</v>
      </c>
      <c r="AW220">
        <f ca="1">IF(AND($AT220&lt;3,OFFSET(DATA!$C$14,$AS220,0)=AW$6),$AV220,dNULL)</f>
        <v>-99</v>
      </c>
      <c r="AX220">
        <f ca="1">IF(AND($AT220&lt;3,OFFSET(DATA!$C$14,$AS220,0)=AX$6),$AV220,dNULL)</f>
        <v>-99</v>
      </c>
      <c r="AY220">
        <f ca="1">IF(AND($AT220&lt;3,OFFSET(DATA!$C$14,$AS220,0)=AY$6),$AV220,dNULL)</f>
        <v>1.0688033093418352</v>
      </c>
      <c r="AZ220">
        <f ca="1">IF(AND($AT220&lt;3,OFFSET(DATA!$C$14,$AS220,0)=AZ$6),$AV220,dNULL)</f>
        <v>-99</v>
      </c>
      <c r="BA220">
        <f ca="1">IF(AND($AT220&lt;3,OFFSET(DATA!$C$14,$AS220,0)=BA$6),$AV220,dNULL)</f>
        <v>-99</v>
      </c>
      <c r="BB220">
        <f ca="1">IF(AND($AT220&lt;3,OFFSET(DATA!$C$14,$AS220,0)=BB$6),$AV220,dNULL)</f>
        <v>-99</v>
      </c>
      <c r="BC220">
        <f ca="1">IF(AND($AT220&lt;3,OFFSET(DATA!$C$14,$AS220,0)=BC$6),$AV220,dNULL)</f>
        <v>-99</v>
      </c>
      <c r="BD220">
        <f ca="1">IF(AND($AT220&lt;3,OFFSET(DATA!$C$14,$AS220,0)=BD$6),$AV220,dNULL)</f>
        <v>-99</v>
      </c>
      <c r="BE220">
        <f ca="1">IF(AND($AT220&lt;3,OFFSET(DATA!$C$14,$AS220,0)=BE$6),$AV220,dNULL)</f>
        <v>-99</v>
      </c>
      <c r="BF220">
        <f ca="1">IF(AND($AT220&lt;3,OFFSET(DATA!$C$14,$AS220,0)=BF$6),$AV220,dNULL)</f>
        <v>-99</v>
      </c>
      <c r="BG220">
        <f ca="1">IF(AND($AT220&lt;3,OFFSET(DATA!$C$14,$AS220,0)=BG$6),$AV220,dNULL)</f>
        <v>-99</v>
      </c>
      <c r="BH220">
        <f ca="1">IF(AND($AT220&lt;3,OFFSET(DATA!$C$14,$AS220,0)=BH$6),$AV220,dNULL)</f>
        <v>-99</v>
      </c>
    </row>
    <row r="221" spans="13:60" x14ac:dyDescent="0.25">
      <c r="N221">
        <f>N220-0.5</f>
        <v>0.85000000000000009</v>
      </c>
      <c r="O221">
        <f>O220+3^0.5/2</f>
        <v>1.4722431864335457</v>
      </c>
      <c r="Y221" s="26"/>
      <c r="Z221" s="26"/>
      <c r="AB221" s="26" t="str">
        <f t="shared" ca="1" si="80"/>
        <v/>
      </c>
      <c r="AC221">
        <f t="shared" ca="1" si="93"/>
        <v>90</v>
      </c>
      <c r="AD221" t="str">
        <f ca="1">IF(AND(AT221&lt;1,MAX(AW221:BH221)&gt;dNULL),DATA!$D229,"")</f>
        <v/>
      </c>
      <c r="AE221" s="7" t="str">
        <f ca="1">IF(LEN(DATA!D229)&gt;0,SUMPRODUCT(OFFSET(DATA!$R$6,AE$5,0,1,10),DATA!$R229:$AA229),"")</f>
        <v/>
      </c>
      <c r="AF221" s="7" t="str">
        <f ca="1">IF(LEN(DATA!E229)&gt;0,SUMPRODUCT(OFFSET(DATA!$R$6,AF$5,0,1,10),DATA!$R229:$AA229),"")</f>
        <v/>
      </c>
      <c r="AG221" s="7" t="str">
        <f ca="1">IF(LEN(DATA!F229)&gt;0,SUMPRODUCT(OFFSET(DATA!$R$6,AG$5,0,1,10),DATA!$R229:$AA229),"")</f>
        <v/>
      </c>
      <c r="AH221" s="7" t="str">
        <f ca="1">IF(LEN(DATA!G229)&gt;0,SUMPRODUCT(OFFSET(DATA!$R$6,AH$5,0,1,10),DATA!$R229:$AA229),"")</f>
        <v/>
      </c>
      <c r="AI221" s="7" t="str">
        <f ca="1">IF(LEN(DATA!H229)&gt;0,SUMPRODUCT(OFFSET(DATA!$R$6,AI$5,0,1,10),DATA!$R229:$AA229),"")</f>
        <v/>
      </c>
      <c r="AJ221" s="7" t="str">
        <f ca="1">IF(LEN(DATA!I229)&gt;0,SUMPRODUCT(OFFSET(DATA!$R$6,AJ$5,0,1,10),DATA!$R229:$AA229),"")</f>
        <v/>
      </c>
      <c r="AK221" s="7"/>
      <c r="AL221" s="7" t="e">
        <f t="shared" ca="1" si="81"/>
        <v>#DIV/0!</v>
      </c>
      <c r="AM221" s="7" t="e">
        <f t="shared" ca="1" si="82"/>
        <v>#DIV/0!</v>
      </c>
      <c r="AN221" s="7" t="e">
        <f t="shared" ca="1" si="83"/>
        <v>#DIV/0!</v>
      </c>
      <c r="AO221" s="7" t="e">
        <f t="shared" ca="1" si="84"/>
        <v>#DIV/0!</v>
      </c>
      <c r="AP221" s="7" t="e">
        <f t="shared" ca="1" si="85"/>
        <v>#DIV/0!</v>
      </c>
      <c r="AQ221" s="7" t="e">
        <f t="shared" ca="1" si="86"/>
        <v>#DIV/0!</v>
      </c>
      <c r="AS221">
        <f t="shared" si="87"/>
        <v>35</v>
      </c>
      <c r="AT221">
        <f t="shared" si="88"/>
        <v>2</v>
      </c>
      <c r="AU221">
        <f t="shared" ca="1" si="89"/>
        <v>1.1113653717386791</v>
      </c>
      <c r="AV221">
        <f t="shared" ca="1" si="90"/>
        <v>0.85596250697263287</v>
      </c>
      <c r="AW221">
        <f ca="1">IF(AND($AT221&lt;3,OFFSET(DATA!$C$14,$AS221,0)=AW$6),$AV221,dNULL)</f>
        <v>-99</v>
      </c>
      <c r="AX221">
        <f ca="1">IF(AND($AT221&lt;3,OFFSET(DATA!$C$14,$AS221,0)=AX$6),$AV221,dNULL)</f>
        <v>-99</v>
      </c>
      <c r="AY221">
        <f ca="1">IF(AND($AT221&lt;3,OFFSET(DATA!$C$14,$AS221,0)=AY$6),$AV221,dNULL)</f>
        <v>0.85596250697263287</v>
      </c>
      <c r="AZ221">
        <f ca="1">IF(AND($AT221&lt;3,OFFSET(DATA!$C$14,$AS221,0)=AZ$6),$AV221,dNULL)</f>
        <v>-99</v>
      </c>
      <c r="BA221">
        <f ca="1">IF(AND($AT221&lt;3,OFFSET(DATA!$C$14,$AS221,0)=BA$6),$AV221,dNULL)</f>
        <v>-99</v>
      </c>
      <c r="BB221">
        <f ca="1">IF(AND($AT221&lt;3,OFFSET(DATA!$C$14,$AS221,0)=BB$6),$AV221,dNULL)</f>
        <v>-99</v>
      </c>
      <c r="BC221">
        <f ca="1">IF(AND($AT221&lt;3,OFFSET(DATA!$C$14,$AS221,0)=BC$6),$AV221,dNULL)</f>
        <v>-99</v>
      </c>
      <c r="BD221">
        <f ca="1">IF(AND($AT221&lt;3,OFFSET(DATA!$C$14,$AS221,0)=BD$6),$AV221,dNULL)</f>
        <v>-99</v>
      </c>
      <c r="BE221">
        <f ca="1">IF(AND($AT221&lt;3,OFFSET(DATA!$C$14,$AS221,0)=BE$6),$AV221,dNULL)</f>
        <v>-99</v>
      </c>
      <c r="BF221">
        <f ca="1">IF(AND($AT221&lt;3,OFFSET(DATA!$C$14,$AS221,0)=BF$6),$AV221,dNULL)</f>
        <v>-99</v>
      </c>
      <c r="BG221">
        <f ca="1">IF(AND($AT221&lt;3,OFFSET(DATA!$C$14,$AS221,0)=BG$6),$AV221,dNULL)</f>
        <v>-99</v>
      </c>
      <c r="BH221">
        <f ca="1">IF(AND($AT221&lt;3,OFFSET(DATA!$C$14,$AS221,0)=BH$6),$AV221,dNULL)</f>
        <v>-99</v>
      </c>
    </row>
    <row r="222" spans="13:60" x14ac:dyDescent="0.25">
      <c r="Y222" s="26"/>
      <c r="Z222" s="26"/>
      <c r="AB222" s="26" t="str">
        <f t="shared" ca="1" si="80"/>
        <v/>
      </c>
      <c r="AC222">
        <f t="shared" ca="1" si="93"/>
        <v>90</v>
      </c>
      <c r="AD222" t="str">
        <f ca="1">IF(AND(AT222&lt;1,MAX(AW222:BH222)&gt;dNULL),DATA!$D230,"")</f>
        <v/>
      </c>
      <c r="AE222" s="7" t="str">
        <f ca="1">IF(LEN(DATA!D230)&gt;0,SUMPRODUCT(OFFSET(DATA!$R$6,AE$5,0,1,10),DATA!$R230:$AA230),"")</f>
        <v/>
      </c>
      <c r="AF222" s="7" t="str">
        <f ca="1">IF(LEN(DATA!E230)&gt;0,SUMPRODUCT(OFFSET(DATA!$R$6,AF$5,0,1,10),DATA!$R230:$AA230),"")</f>
        <v/>
      </c>
      <c r="AG222" s="7" t="str">
        <f ca="1">IF(LEN(DATA!F230)&gt;0,SUMPRODUCT(OFFSET(DATA!$R$6,AG$5,0,1,10),DATA!$R230:$AA230),"")</f>
        <v/>
      </c>
      <c r="AH222" s="7" t="str">
        <f ca="1">IF(LEN(DATA!G230)&gt;0,SUMPRODUCT(OFFSET(DATA!$R$6,AH$5,0,1,10),DATA!$R230:$AA230),"")</f>
        <v/>
      </c>
      <c r="AI222" s="7" t="str">
        <f ca="1">IF(LEN(DATA!H230)&gt;0,SUMPRODUCT(OFFSET(DATA!$R$6,AI$5,0,1,10),DATA!$R230:$AA230),"")</f>
        <v/>
      </c>
      <c r="AJ222" s="7" t="str">
        <f ca="1">IF(LEN(DATA!I230)&gt;0,SUMPRODUCT(OFFSET(DATA!$R$6,AJ$5,0,1,10),DATA!$R230:$AA230),"")</f>
        <v/>
      </c>
      <c r="AK222" s="7"/>
      <c r="AL222" s="7" t="e">
        <f t="shared" ca="1" si="81"/>
        <v>#DIV/0!</v>
      </c>
      <c r="AM222" s="7" t="e">
        <f t="shared" ca="1" si="82"/>
        <v>#DIV/0!</v>
      </c>
      <c r="AN222" s="7" t="e">
        <f t="shared" ca="1" si="83"/>
        <v>#DIV/0!</v>
      </c>
      <c r="AO222" s="7" t="e">
        <f t="shared" ca="1" si="84"/>
        <v>#DIV/0!</v>
      </c>
      <c r="AP222" s="7" t="e">
        <f t="shared" ca="1" si="85"/>
        <v>#DIV/0!</v>
      </c>
      <c r="AQ222" s="7" t="e">
        <f t="shared" ca="1" si="86"/>
        <v>#DIV/0!</v>
      </c>
      <c r="AS222">
        <f t="shared" si="87"/>
        <v>36</v>
      </c>
      <c r="AT222">
        <f t="shared" si="88"/>
        <v>2</v>
      </c>
      <c r="AU222">
        <f t="shared" ca="1" si="89"/>
        <v>1.1281074468382564</v>
      </c>
      <c r="AV222">
        <f t="shared" ca="1" si="90"/>
        <v>0.89466137788318179</v>
      </c>
      <c r="AW222">
        <f ca="1">IF(AND($AT222&lt;3,OFFSET(DATA!$C$14,$AS222,0)=AW$6),$AV222,dNULL)</f>
        <v>-99</v>
      </c>
      <c r="AX222">
        <f ca="1">IF(AND($AT222&lt;3,OFFSET(DATA!$C$14,$AS222,0)=AX$6),$AV222,dNULL)</f>
        <v>-99</v>
      </c>
      <c r="AY222">
        <f ca="1">IF(AND($AT222&lt;3,OFFSET(DATA!$C$14,$AS222,0)=AY$6),$AV222,dNULL)</f>
        <v>0.89466137788318179</v>
      </c>
      <c r="AZ222">
        <f ca="1">IF(AND($AT222&lt;3,OFFSET(DATA!$C$14,$AS222,0)=AZ$6),$AV222,dNULL)</f>
        <v>-99</v>
      </c>
      <c r="BA222">
        <f ca="1">IF(AND($AT222&lt;3,OFFSET(DATA!$C$14,$AS222,0)=BA$6),$AV222,dNULL)</f>
        <v>-99</v>
      </c>
      <c r="BB222">
        <f ca="1">IF(AND($AT222&lt;3,OFFSET(DATA!$C$14,$AS222,0)=BB$6),$AV222,dNULL)</f>
        <v>-99</v>
      </c>
      <c r="BC222">
        <f ca="1">IF(AND($AT222&lt;3,OFFSET(DATA!$C$14,$AS222,0)=BC$6),$AV222,dNULL)</f>
        <v>-99</v>
      </c>
      <c r="BD222">
        <f ca="1">IF(AND($AT222&lt;3,OFFSET(DATA!$C$14,$AS222,0)=BD$6),$AV222,dNULL)</f>
        <v>-99</v>
      </c>
      <c r="BE222">
        <f ca="1">IF(AND($AT222&lt;3,OFFSET(DATA!$C$14,$AS222,0)=BE$6),$AV222,dNULL)</f>
        <v>-99</v>
      </c>
      <c r="BF222">
        <f ca="1">IF(AND($AT222&lt;3,OFFSET(DATA!$C$14,$AS222,0)=BF$6),$AV222,dNULL)</f>
        <v>-99</v>
      </c>
      <c r="BG222">
        <f ca="1">IF(AND($AT222&lt;3,OFFSET(DATA!$C$14,$AS222,0)=BG$6),$AV222,dNULL)</f>
        <v>-99</v>
      </c>
      <c r="BH222">
        <f ca="1">IF(AND($AT222&lt;3,OFFSET(DATA!$C$14,$AS222,0)=BH$6),$AV222,dNULL)</f>
        <v>-99</v>
      </c>
    </row>
    <row r="223" spans="13:60" x14ac:dyDescent="0.25">
      <c r="N223">
        <f>N104-dAnionOFF/2</f>
        <v>1.4500000000000002</v>
      </c>
      <c r="O223">
        <f>O104+dAnionOFF*3^0.5*0.5</f>
        <v>0.77942286340599476</v>
      </c>
      <c r="Y223" s="26"/>
      <c r="Z223" s="26"/>
      <c r="AB223" s="26" t="str">
        <f t="shared" ca="1" si="80"/>
        <v/>
      </c>
      <c r="AC223">
        <f t="shared" ca="1" si="93"/>
        <v>90</v>
      </c>
      <c r="AD223" t="str">
        <f ca="1">IF(AND(AT223&lt;1,MAX(AW223:BH223)&gt;dNULL),DATA!$D231,"")</f>
        <v/>
      </c>
      <c r="AE223" s="7" t="str">
        <f ca="1">IF(LEN(DATA!D231)&gt;0,SUMPRODUCT(OFFSET(DATA!$R$6,AE$5,0,1,10),DATA!$R231:$AA231),"")</f>
        <v/>
      </c>
      <c r="AF223" s="7" t="str">
        <f ca="1">IF(LEN(DATA!E231)&gt;0,SUMPRODUCT(OFFSET(DATA!$R$6,AF$5,0,1,10),DATA!$R231:$AA231),"")</f>
        <v/>
      </c>
      <c r="AG223" s="7" t="str">
        <f ca="1">IF(LEN(DATA!F231)&gt;0,SUMPRODUCT(OFFSET(DATA!$R$6,AG$5,0,1,10),DATA!$R231:$AA231),"")</f>
        <v/>
      </c>
      <c r="AH223" s="7" t="str">
        <f ca="1">IF(LEN(DATA!G231)&gt;0,SUMPRODUCT(OFFSET(DATA!$R$6,AH$5,0,1,10),DATA!$R231:$AA231),"")</f>
        <v/>
      </c>
      <c r="AI223" s="7" t="str">
        <f ca="1">IF(LEN(DATA!H231)&gt;0,SUMPRODUCT(OFFSET(DATA!$R$6,AI$5,0,1,10),DATA!$R231:$AA231),"")</f>
        <v/>
      </c>
      <c r="AJ223" s="7" t="str">
        <f ca="1">IF(LEN(DATA!I231)&gt;0,SUMPRODUCT(OFFSET(DATA!$R$6,AJ$5,0,1,10),DATA!$R231:$AA231),"")</f>
        <v/>
      </c>
      <c r="AK223" s="7"/>
      <c r="AL223" s="7" t="e">
        <f t="shared" ca="1" si="81"/>
        <v>#DIV/0!</v>
      </c>
      <c r="AM223" s="7" t="e">
        <f t="shared" ca="1" si="82"/>
        <v>#DIV/0!</v>
      </c>
      <c r="AN223" s="7" t="e">
        <f t="shared" ca="1" si="83"/>
        <v>#DIV/0!</v>
      </c>
      <c r="AO223" s="7" t="e">
        <f t="shared" ca="1" si="84"/>
        <v>#DIV/0!</v>
      </c>
      <c r="AP223" s="7" t="e">
        <f t="shared" ca="1" si="85"/>
        <v>#DIV/0!</v>
      </c>
      <c r="AQ223" s="7" t="e">
        <f t="shared" ca="1" si="86"/>
        <v>#DIV/0!</v>
      </c>
      <c r="AS223">
        <f t="shared" si="87"/>
        <v>37</v>
      </c>
      <c r="AT223">
        <f t="shared" si="88"/>
        <v>2</v>
      </c>
      <c r="AU223">
        <f t="shared" ca="1" si="89"/>
        <v>1.1774029485803446</v>
      </c>
      <c r="AV223">
        <f t="shared" ca="1" si="90"/>
        <v>0.86249092939572969</v>
      </c>
      <c r="AW223">
        <f ca="1">IF(AND($AT223&lt;3,OFFSET(DATA!$C$14,$AS223,0)=AW$6),$AV223,dNULL)</f>
        <v>-99</v>
      </c>
      <c r="AX223">
        <f ca="1">IF(AND($AT223&lt;3,OFFSET(DATA!$C$14,$AS223,0)=AX$6),$AV223,dNULL)</f>
        <v>-99</v>
      </c>
      <c r="AY223">
        <f ca="1">IF(AND($AT223&lt;3,OFFSET(DATA!$C$14,$AS223,0)=AY$6),$AV223,dNULL)</f>
        <v>0.86249092939572969</v>
      </c>
      <c r="AZ223">
        <f ca="1">IF(AND($AT223&lt;3,OFFSET(DATA!$C$14,$AS223,0)=AZ$6),$AV223,dNULL)</f>
        <v>-99</v>
      </c>
      <c r="BA223">
        <f ca="1">IF(AND($AT223&lt;3,OFFSET(DATA!$C$14,$AS223,0)=BA$6),$AV223,dNULL)</f>
        <v>-99</v>
      </c>
      <c r="BB223">
        <f ca="1">IF(AND($AT223&lt;3,OFFSET(DATA!$C$14,$AS223,0)=BB$6),$AV223,dNULL)</f>
        <v>-99</v>
      </c>
      <c r="BC223">
        <f ca="1">IF(AND($AT223&lt;3,OFFSET(DATA!$C$14,$AS223,0)=BC$6),$AV223,dNULL)</f>
        <v>-99</v>
      </c>
      <c r="BD223">
        <f ca="1">IF(AND($AT223&lt;3,OFFSET(DATA!$C$14,$AS223,0)=BD$6),$AV223,dNULL)</f>
        <v>-99</v>
      </c>
      <c r="BE223">
        <f ca="1">IF(AND($AT223&lt;3,OFFSET(DATA!$C$14,$AS223,0)=BE$6),$AV223,dNULL)</f>
        <v>-99</v>
      </c>
      <c r="BF223">
        <f ca="1">IF(AND($AT223&lt;3,OFFSET(DATA!$C$14,$AS223,0)=BF$6),$AV223,dNULL)</f>
        <v>-99</v>
      </c>
      <c r="BG223">
        <f ca="1">IF(AND($AT223&lt;3,OFFSET(DATA!$C$14,$AS223,0)=BG$6),$AV223,dNULL)</f>
        <v>-99</v>
      </c>
      <c r="BH223">
        <f ca="1">IF(AND($AT223&lt;3,OFFSET(DATA!$C$14,$AS223,0)=BH$6),$AV223,dNULL)</f>
        <v>-99</v>
      </c>
    </row>
    <row r="224" spans="13:60" x14ac:dyDescent="0.25">
      <c r="N224">
        <f>N223-0.5</f>
        <v>0.95000000000000018</v>
      </c>
      <c r="O224">
        <f>O223+3^0.5/2</f>
        <v>1.6454482671904334</v>
      </c>
      <c r="Y224" s="26"/>
      <c r="Z224" s="26"/>
      <c r="AB224" s="26" t="str">
        <f t="shared" ca="1" si="80"/>
        <v/>
      </c>
      <c r="AC224">
        <f t="shared" ca="1" si="93"/>
        <v>90</v>
      </c>
      <c r="AD224" t="str">
        <f ca="1">IF(AND(AT224&lt;1,MAX(AW224:BH224)&gt;dNULL),DATA!$D232,"")</f>
        <v/>
      </c>
      <c r="AE224" s="7" t="str">
        <f ca="1">IF(LEN(DATA!D232)&gt;0,SUMPRODUCT(OFFSET(DATA!$R$6,AE$5,0,1,10),DATA!$R232:$AA232),"")</f>
        <v/>
      </c>
      <c r="AF224" s="7" t="str">
        <f ca="1">IF(LEN(DATA!E232)&gt;0,SUMPRODUCT(OFFSET(DATA!$R$6,AF$5,0,1,10),DATA!$R232:$AA232),"")</f>
        <v/>
      </c>
      <c r="AG224" s="7" t="str">
        <f ca="1">IF(LEN(DATA!F232)&gt;0,SUMPRODUCT(OFFSET(DATA!$R$6,AG$5,0,1,10),DATA!$R232:$AA232),"")</f>
        <v/>
      </c>
      <c r="AH224" s="7" t="str">
        <f ca="1">IF(LEN(DATA!G232)&gt;0,SUMPRODUCT(OFFSET(DATA!$R$6,AH$5,0,1,10),DATA!$R232:$AA232),"")</f>
        <v/>
      </c>
      <c r="AI224" s="7" t="str">
        <f ca="1">IF(LEN(DATA!H232)&gt;0,SUMPRODUCT(OFFSET(DATA!$R$6,AI$5,0,1,10),DATA!$R232:$AA232),"")</f>
        <v/>
      </c>
      <c r="AJ224" s="7" t="str">
        <f ca="1">IF(LEN(DATA!I232)&gt;0,SUMPRODUCT(OFFSET(DATA!$R$6,AJ$5,0,1,10),DATA!$R232:$AA232),"")</f>
        <v/>
      </c>
      <c r="AK224" s="7"/>
      <c r="AL224" s="7" t="e">
        <f t="shared" ca="1" si="81"/>
        <v>#DIV/0!</v>
      </c>
      <c r="AM224" s="7" t="e">
        <f t="shared" ca="1" si="82"/>
        <v>#DIV/0!</v>
      </c>
      <c r="AN224" s="7" t="e">
        <f t="shared" ca="1" si="83"/>
        <v>#DIV/0!</v>
      </c>
      <c r="AO224" s="7" t="e">
        <f t="shared" ca="1" si="84"/>
        <v>#DIV/0!</v>
      </c>
      <c r="AP224" s="7" t="e">
        <f t="shared" ca="1" si="85"/>
        <v>#DIV/0!</v>
      </c>
      <c r="AQ224" s="7" t="e">
        <f t="shared" ca="1" si="86"/>
        <v>#DIV/0!</v>
      </c>
      <c r="AS224">
        <f t="shared" si="87"/>
        <v>38</v>
      </c>
      <c r="AT224">
        <f t="shared" si="88"/>
        <v>2</v>
      </c>
      <c r="AU224">
        <f t="shared" ca="1" si="89"/>
        <v>1.1390279681170807</v>
      </c>
      <c r="AV224">
        <f t="shared" ca="1" si="90"/>
        <v>0.77437246567726081</v>
      </c>
      <c r="AW224">
        <f ca="1">IF(AND($AT224&lt;3,OFFSET(DATA!$C$14,$AS224,0)=AW$6),$AV224,dNULL)</f>
        <v>-99</v>
      </c>
      <c r="AX224">
        <f ca="1">IF(AND($AT224&lt;3,OFFSET(DATA!$C$14,$AS224,0)=AX$6),$AV224,dNULL)</f>
        <v>-99</v>
      </c>
      <c r="AY224">
        <f ca="1">IF(AND($AT224&lt;3,OFFSET(DATA!$C$14,$AS224,0)=AY$6),$AV224,dNULL)</f>
        <v>0.77437246567726081</v>
      </c>
      <c r="AZ224">
        <f ca="1">IF(AND($AT224&lt;3,OFFSET(DATA!$C$14,$AS224,0)=AZ$6),$AV224,dNULL)</f>
        <v>-99</v>
      </c>
      <c r="BA224">
        <f ca="1">IF(AND($AT224&lt;3,OFFSET(DATA!$C$14,$AS224,0)=BA$6),$AV224,dNULL)</f>
        <v>-99</v>
      </c>
      <c r="BB224">
        <f ca="1">IF(AND($AT224&lt;3,OFFSET(DATA!$C$14,$AS224,0)=BB$6),$AV224,dNULL)</f>
        <v>-99</v>
      </c>
      <c r="BC224">
        <f ca="1">IF(AND($AT224&lt;3,OFFSET(DATA!$C$14,$AS224,0)=BC$6),$AV224,dNULL)</f>
        <v>-99</v>
      </c>
      <c r="BD224">
        <f ca="1">IF(AND($AT224&lt;3,OFFSET(DATA!$C$14,$AS224,0)=BD$6),$AV224,dNULL)</f>
        <v>-99</v>
      </c>
      <c r="BE224">
        <f ca="1">IF(AND($AT224&lt;3,OFFSET(DATA!$C$14,$AS224,0)=BE$6),$AV224,dNULL)</f>
        <v>-99</v>
      </c>
      <c r="BF224">
        <f ca="1">IF(AND($AT224&lt;3,OFFSET(DATA!$C$14,$AS224,0)=BF$6),$AV224,dNULL)</f>
        <v>-99</v>
      </c>
      <c r="BG224">
        <f ca="1">IF(AND($AT224&lt;3,OFFSET(DATA!$C$14,$AS224,0)=BG$6),$AV224,dNULL)</f>
        <v>-99</v>
      </c>
      <c r="BH224">
        <f ca="1">IF(AND($AT224&lt;3,OFFSET(DATA!$C$14,$AS224,0)=BH$6),$AV224,dNULL)</f>
        <v>-99</v>
      </c>
    </row>
    <row r="225" spans="14:60" x14ac:dyDescent="0.25">
      <c r="Y225" s="26"/>
      <c r="Z225" s="26"/>
      <c r="AB225" s="26" t="str">
        <f t="shared" ca="1" si="80"/>
        <v/>
      </c>
      <c r="AC225">
        <f t="shared" ca="1" si="93"/>
        <v>90</v>
      </c>
      <c r="AD225" t="str">
        <f ca="1">IF(AND(AT225&lt;1,MAX(AW225:BH225)&gt;dNULL),DATA!$D233,"")</f>
        <v/>
      </c>
      <c r="AE225" s="7" t="str">
        <f ca="1">IF(LEN(DATA!D233)&gt;0,SUMPRODUCT(OFFSET(DATA!$R$6,AE$5,0,1,10),DATA!$R233:$AA233),"")</f>
        <v/>
      </c>
      <c r="AF225" s="7" t="str">
        <f ca="1">IF(LEN(DATA!E233)&gt;0,SUMPRODUCT(OFFSET(DATA!$R$6,AF$5,0,1,10),DATA!$R233:$AA233),"")</f>
        <v/>
      </c>
      <c r="AG225" s="7" t="str">
        <f ca="1">IF(LEN(DATA!F233)&gt;0,SUMPRODUCT(OFFSET(DATA!$R$6,AG$5,0,1,10),DATA!$R233:$AA233),"")</f>
        <v/>
      </c>
      <c r="AH225" s="7" t="str">
        <f ca="1">IF(LEN(DATA!G233)&gt;0,SUMPRODUCT(OFFSET(DATA!$R$6,AH$5,0,1,10),DATA!$R233:$AA233),"")</f>
        <v/>
      </c>
      <c r="AI225" s="7" t="str">
        <f ca="1">IF(LEN(DATA!H233)&gt;0,SUMPRODUCT(OFFSET(DATA!$R$6,AI$5,0,1,10),DATA!$R233:$AA233),"")</f>
        <v/>
      </c>
      <c r="AJ225" s="7" t="str">
        <f ca="1">IF(LEN(DATA!I233)&gt;0,SUMPRODUCT(OFFSET(DATA!$R$6,AJ$5,0,1,10),DATA!$R233:$AA233),"")</f>
        <v/>
      </c>
      <c r="AK225" s="7"/>
      <c r="AL225" s="7" t="e">
        <f t="shared" ca="1" si="81"/>
        <v>#DIV/0!</v>
      </c>
      <c r="AM225" s="7" t="e">
        <f t="shared" ca="1" si="82"/>
        <v>#DIV/0!</v>
      </c>
      <c r="AN225" s="7" t="e">
        <f t="shared" ca="1" si="83"/>
        <v>#DIV/0!</v>
      </c>
      <c r="AO225" s="7" t="e">
        <f t="shared" ca="1" si="84"/>
        <v>#DIV/0!</v>
      </c>
      <c r="AP225" s="7" t="e">
        <f t="shared" ca="1" si="85"/>
        <v>#DIV/0!</v>
      </c>
      <c r="AQ225" s="7" t="e">
        <f t="shared" ca="1" si="86"/>
        <v>#DIV/0!</v>
      </c>
      <c r="AS225">
        <f t="shared" si="87"/>
        <v>39</v>
      </c>
      <c r="AT225">
        <f t="shared" si="88"/>
        <v>2</v>
      </c>
      <c r="AU225">
        <f t="shared" ca="1" si="89"/>
        <v>1.1926700299059099</v>
      </c>
      <c r="AV225">
        <f t="shared" ca="1" si="90"/>
        <v>0.92666919167554318</v>
      </c>
      <c r="AW225">
        <f ca="1">IF(AND($AT225&lt;3,OFFSET(DATA!$C$14,$AS225,0)=AW$6),$AV225,dNULL)</f>
        <v>-99</v>
      </c>
      <c r="AX225">
        <f ca="1">IF(AND($AT225&lt;3,OFFSET(DATA!$C$14,$AS225,0)=AX$6),$AV225,dNULL)</f>
        <v>-99</v>
      </c>
      <c r="AY225">
        <f ca="1">IF(AND($AT225&lt;3,OFFSET(DATA!$C$14,$AS225,0)=AY$6),$AV225,dNULL)</f>
        <v>0.92666919167554318</v>
      </c>
      <c r="AZ225">
        <f ca="1">IF(AND($AT225&lt;3,OFFSET(DATA!$C$14,$AS225,0)=AZ$6),$AV225,dNULL)</f>
        <v>-99</v>
      </c>
      <c r="BA225">
        <f ca="1">IF(AND($AT225&lt;3,OFFSET(DATA!$C$14,$AS225,0)=BA$6),$AV225,dNULL)</f>
        <v>-99</v>
      </c>
      <c r="BB225">
        <f ca="1">IF(AND($AT225&lt;3,OFFSET(DATA!$C$14,$AS225,0)=BB$6),$AV225,dNULL)</f>
        <v>-99</v>
      </c>
      <c r="BC225">
        <f ca="1">IF(AND($AT225&lt;3,OFFSET(DATA!$C$14,$AS225,0)=BC$6),$AV225,dNULL)</f>
        <v>-99</v>
      </c>
      <c r="BD225">
        <f ca="1">IF(AND($AT225&lt;3,OFFSET(DATA!$C$14,$AS225,0)=BD$6),$AV225,dNULL)</f>
        <v>-99</v>
      </c>
      <c r="BE225">
        <f ca="1">IF(AND($AT225&lt;3,OFFSET(DATA!$C$14,$AS225,0)=BE$6),$AV225,dNULL)</f>
        <v>-99</v>
      </c>
      <c r="BF225">
        <f ca="1">IF(AND($AT225&lt;3,OFFSET(DATA!$C$14,$AS225,0)=BF$6),$AV225,dNULL)</f>
        <v>-99</v>
      </c>
      <c r="BG225">
        <f ca="1">IF(AND($AT225&lt;3,OFFSET(DATA!$C$14,$AS225,0)=BG$6),$AV225,dNULL)</f>
        <v>-99</v>
      </c>
      <c r="BH225">
        <f ca="1">IF(AND($AT225&lt;3,OFFSET(DATA!$C$14,$AS225,0)=BH$6),$AV225,dNULL)</f>
        <v>-99</v>
      </c>
    </row>
    <row r="226" spans="14:60" x14ac:dyDescent="0.25">
      <c r="N226">
        <f>N107-dAnionOFF/2</f>
        <v>1.55</v>
      </c>
      <c r="O226">
        <f>O107+dAnionOFF*3^0.5*0.5</f>
        <v>0.95262794416288243</v>
      </c>
      <c r="Y226" s="26"/>
      <c r="Z226" s="26"/>
      <c r="AB226" s="26" t="str">
        <f t="shared" ca="1" si="80"/>
        <v/>
      </c>
      <c r="AC226">
        <f t="shared" ca="1" si="93"/>
        <v>90</v>
      </c>
      <c r="AD226" t="str">
        <f ca="1">IF(AND(AT226&lt;1,MAX(AW226:BH226)&gt;dNULL),DATA!$D234,"")</f>
        <v/>
      </c>
      <c r="AE226" s="7" t="str">
        <f ca="1">IF(LEN(DATA!D234)&gt;0,SUMPRODUCT(OFFSET(DATA!$R$6,AE$5,0,1,10),DATA!$R234:$AA234),"")</f>
        <v/>
      </c>
      <c r="AF226" s="7" t="str">
        <f ca="1">IF(LEN(DATA!E234)&gt;0,SUMPRODUCT(OFFSET(DATA!$R$6,AF$5,0,1,10),DATA!$R234:$AA234),"")</f>
        <v/>
      </c>
      <c r="AG226" s="7" t="str">
        <f ca="1">IF(LEN(DATA!F234)&gt;0,SUMPRODUCT(OFFSET(DATA!$R$6,AG$5,0,1,10),DATA!$R234:$AA234),"")</f>
        <v/>
      </c>
      <c r="AH226" s="7" t="str">
        <f ca="1">IF(LEN(DATA!G234)&gt;0,SUMPRODUCT(OFFSET(DATA!$R$6,AH$5,0,1,10),DATA!$R234:$AA234),"")</f>
        <v/>
      </c>
      <c r="AI226" s="7" t="str">
        <f ca="1">IF(LEN(DATA!H234)&gt;0,SUMPRODUCT(OFFSET(DATA!$R$6,AI$5,0,1,10),DATA!$R234:$AA234),"")</f>
        <v/>
      </c>
      <c r="AJ226" s="7" t="str">
        <f ca="1">IF(LEN(DATA!I234)&gt;0,SUMPRODUCT(OFFSET(DATA!$R$6,AJ$5,0,1,10),DATA!$R234:$AA234),"")</f>
        <v/>
      </c>
      <c r="AK226" s="7"/>
      <c r="AL226" s="7" t="e">
        <f t="shared" ca="1" si="81"/>
        <v>#DIV/0!</v>
      </c>
      <c r="AM226" s="7" t="e">
        <f t="shared" ca="1" si="82"/>
        <v>#DIV/0!</v>
      </c>
      <c r="AN226" s="7" t="e">
        <f t="shared" ca="1" si="83"/>
        <v>#DIV/0!</v>
      </c>
      <c r="AO226" s="7" t="e">
        <f t="shared" ca="1" si="84"/>
        <v>#DIV/0!</v>
      </c>
      <c r="AP226" s="7" t="e">
        <f t="shared" ca="1" si="85"/>
        <v>#DIV/0!</v>
      </c>
      <c r="AQ226" s="7" t="e">
        <f t="shared" ca="1" si="86"/>
        <v>#DIV/0!</v>
      </c>
      <c r="AS226">
        <f t="shared" si="87"/>
        <v>40</v>
      </c>
      <c r="AT226">
        <f t="shared" si="88"/>
        <v>2</v>
      </c>
      <c r="AU226">
        <f t="shared" ca="1" si="89"/>
        <v>1.2877652501167682</v>
      </c>
      <c r="AV226">
        <f t="shared" ca="1" si="90"/>
        <v>1.0111531099148274</v>
      </c>
      <c r="AW226">
        <f ca="1">IF(AND($AT226&lt;3,OFFSET(DATA!$C$14,$AS226,0)=AW$6),$AV226,dNULL)</f>
        <v>-99</v>
      </c>
      <c r="AX226">
        <f ca="1">IF(AND($AT226&lt;3,OFFSET(DATA!$C$14,$AS226,0)=AX$6),$AV226,dNULL)</f>
        <v>-99</v>
      </c>
      <c r="AY226">
        <f ca="1">IF(AND($AT226&lt;3,OFFSET(DATA!$C$14,$AS226,0)=AY$6),$AV226,dNULL)</f>
        <v>-99</v>
      </c>
      <c r="AZ226">
        <f ca="1">IF(AND($AT226&lt;3,OFFSET(DATA!$C$14,$AS226,0)=AZ$6),$AV226,dNULL)</f>
        <v>-99</v>
      </c>
      <c r="BA226">
        <f ca="1">IF(AND($AT226&lt;3,OFFSET(DATA!$C$14,$AS226,0)=BA$6),$AV226,dNULL)</f>
        <v>-99</v>
      </c>
      <c r="BB226">
        <f ca="1">IF(AND($AT226&lt;3,OFFSET(DATA!$C$14,$AS226,0)=BB$6),$AV226,dNULL)</f>
        <v>1.0111531099148274</v>
      </c>
      <c r="BC226">
        <f ca="1">IF(AND($AT226&lt;3,OFFSET(DATA!$C$14,$AS226,0)=BC$6),$AV226,dNULL)</f>
        <v>-99</v>
      </c>
      <c r="BD226">
        <f ca="1">IF(AND($AT226&lt;3,OFFSET(DATA!$C$14,$AS226,0)=BD$6),$AV226,dNULL)</f>
        <v>-99</v>
      </c>
      <c r="BE226">
        <f ca="1">IF(AND($AT226&lt;3,OFFSET(DATA!$C$14,$AS226,0)=BE$6),$AV226,dNULL)</f>
        <v>-99</v>
      </c>
      <c r="BF226">
        <f ca="1">IF(AND($AT226&lt;3,OFFSET(DATA!$C$14,$AS226,0)=BF$6),$AV226,dNULL)</f>
        <v>-99</v>
      </c>
      <c r="BG226">
        <f ca="1">IF(AND($AT226&lt;3,OFFSET(DATA!$C$14,$AS226,0)=BG$6),$AV226,dNULL)</f>
        <v>-99</v>
      </c>
      <c r="BH226">
        <f ca="1">IF(AND($AT226&lt;3,OFFSET(DATA!$C$14,$AS226,0)=BH$6),$AV226,dNULL)</f>
        <v>-99</v>
      </c>
    </row>
    <row r="227" spans="14:60" x14ac:dyDescent="0.25">
      <c r="N227">
        <f>N226-0.5</f>
        <v>1.05</v>
      </c>
      <c r="O227">
        <f>O226+3^0.5/2</f>
        <v>1.818653347947321</v>
      </c>
      <c r="Y227" s="26"/>
      <c r="Z227" s="26"/>
      <c r="AB227" s="26" t="str">
        <f t="shared" ca="1" si="80"/>
        <v/>
      </c>
      <c r="AC227">
        <f t="shared" ca="1" si="93"/>
        <v>90</v>
      </c>
      <c r="AD227" t="str">
        <f ca="1">IF(AND(AT227&lt;1,MAX(AW227:BH227)&gt;dNULL),DATA!$D235,"")</f>
        <v/>
      </c>
      <c r="AE227" s="7" t="str">
        <f ca="1">IF(LEN(DATA!D235)&gt;0,SUMPRODUCT(OFFSET(DATA!$R$6,AE$5,0,1,10),DATA!$R235:$AA235),"")</f>
        <v/>
      </c>
      <c r="AF227" s="7" t="str">
        <f ca="1">IF(LEN(DATA!E235)&gt;0,SUMPRODUCT(OFFSET(DATA!$R$6,AF$5,0,1,10),DATA!$R235:$AA235),"")</f>
        <v/>
      </c>
      <c r="AG227" s="7" t="str">
        <f ca="1">IF(LEN(DATA!F235)&gt;0,SUMPRODUCT(OFFSET(DATA!$R$6,AG$5,0,1,10),DATA!$R235:$AA235),"")</f>
        <v/>
      </c>
      <c r="AH227" s="7" t="str">
        <f ca="1">IF(LEN(DATA!G235)&gt;0,SUMPRODUCT(OFFSET(DATA!$R$6,AH$5,0,1,10),DATA!$R235:$AA235),"")</f>
        <v/>
      </c>
      <c r="AI227" s="7" t="str">
        <f ca="1">IF(LEN(DATA!H235)&gt;0,SUMPRODUCT(OFFSET(DATA!$R$6,AI$5,0,1,10),DATA!$R235:$AA235),"")</f>
        <v/>
      </c>
      <c r="AJ227" s="7" t="str">
        <f ca="1">IF(LEN(DATA!I235)&gt;0,SUMPRODUCT(OFFSET(DATA!$R$6,AJ$5,0,1,10),DATA!$R235:$AA235),"")</f>
        <v/>
      </c>
      <c r="AK227" s="7"/>
      <c r="AL227" s="7" t="e">
        <f t="shared" ca="1" si="81"/>
        <v>#DIV/0!</v>
      </c>
      <c r="AM227" s="7" t="e">
        <f t="shared" ca="1" si="82"/>
        <v>#DIV/0!</v>
      </c>
      <c r="AN227" s="7" t="e">
        <f t="shared" ca="1" si="83"/>
        <v>#DIV/0!</v>
      </c>
      <c r="AO227" s="7" t="e">
        <f t="shared" ca="1" si="84"/>
        <v>#DIV/0!</v>
      </c>
      <c r="AP227" s="7" t="e">
        <f t="shared" ca="1" si="85"/>
        <v>#DIV/0!</v>
      </c>
      <c r="AQ227" s="7" t="e">
        <f t="shared" ca="1" si="86"/>
        <v>#DIV/0!</v>
      </c>
      <c r="AS227">
        <f t="shared" si="87"/>
        <v>41</v>
      </c>
      <c r="AT227">
        <f t="shared" si="88"/>
        <v>2</v>
      </c>
      <c r="AU227">
        <f t="shared" ca="1" si="89"/>
        <v>1.261590148789679</v>
      </c>
      <c r="AV227">
        <f t="shared" ca="1" si="90"/>
        <v>1.0593544449372605</v>
      </c>
      <c r="AW227">
        <f ca="1">IF(AND($AT227&lt;3,OFFSET(DATA!$C$14,$AS227,0)=AW$6),$AV227,dNULL)</f>
        <v>-99</v>
      </c>
      <c r="AX227">
        <f ca="1">IF(AND($AT227&lt;3,OFFSET(DATA!$C$14,$AS227,0)=AX$6),$AV227,dNULL)</f>
        <v>-99</v>
      </c>
      <c r="AY227">
        <f ca="1">IF(AND($AT227&lt;3,OFFSET(DATA!$C$14,$AS227,0)=AY$6),$AV227,dNULL)</f>
        <v>-99</v>
      </c>
      <c r="AZ227">
        <f ca="1">IF(AND($AT227&lt;3,OFFSET(DATA!$C$14,$AS227,0)=AZ$6),$AV227,dNULL)</f>
        <v>-99</v>
      </c>
      <c r="BA227">
        <f ca="1">IF(AND($AT227&lt;3,OFFSET(DATA!$C$14,$AS227,0)=BA$6),$AV227,dNULL)</f>
        <v>-99</v>
      </c>
      <c r="BB227">
        <f ca="1">IF(AND($AT227&lt;3,OFFSET(DATA!$C$14,$AS227,0)=BB$6),$AV227,dNULL)</f>
        <v>1.0593544449372605</v>
      </c>
      <c r="BC227">
        <f ca="1">IF(AND($AT227&lt;3,OFFSET(DATA!$C$14,$AS227,0)=BC$6),$AV227,dNULL)</f>
        <v>-99</v>
      </c>
      <c r="BD227">
        <f ca="1">IF(AND($AT227&lt;3,OFFSET(DATA!$C$14,$AS227,0)=BD$6),$AV227,dNULL)</f>
        <v>-99</v>
      </c>
      <c r="BE227">
        <f ca="1">IF(AND($AT227&lt;3,OFFSET(DATA!$C$14,$AS227,0)=BE$6),$AV227,dNULL)</f>
        <v>-99</v>
      </c>
      <c r="BF227">
        <f ca="1">IF(AND($AT227&lt;3,OFFSET(DATA!$C$14,$AS227,0)=BF$6),$AV227,dNULL)</f>
        <v>-99</v>
      </c>
      <c r="BG227">
        <f ca="1">IF(AND($AT227&lt;3,OFFSET(DATA!$C$14,$AS227,0)=BG$6),$AV227,dNULL)</f>
        <v>-99</v>
      </c>
      <c r="BH227">
        <f ca="1">IF(AND($AT227&lt;3,OFFSET(DATA!$C$14,$AS227,0)=BH$6),$AV227,dNULL)</f>
        <v>-99</v>
      </c>
    </row>
    <row r="228" spans="14:60" x14ac:dyDescent="0.25">
      <c r="Y228" s="26"/>
      <c r="Z228" s="26"/>
      <c r="AB228" s="26" t="str">
        <f t="shared" ca="1" si="80"/>
        <v/>
      </c>
      <c r="AC228">
        <f t="shared" ca="1" si="93"/>
        <v>90</v>
      </c>
      <c r="AD228" t="str">
        <f ca="1">IF(AND(AT228&lt;1,MAX(AW228:BH228)&gt;dNULL),DATA!$D236,"")</f>
        <v/>
      </c>
      <c r="AE228" s="7" t="str">
        <f ca="1">IF(LEN(DATA!D236)&gt;0,SUMPRODUCT(OFFSET(DATA!$R$6,AE$5,0,1,10),DATA!$R236:$AA236),"")</f>
        <v/>
      </c>
      <c r="AF228" s="7" t="str">
        <f ca="1">IF(LEN(DATA!E236)&gt;0,SUMPRODUCT(OFFSET(DATA!$R$6,AF$5,0,1,10),DATA!$R236:$AA236),"")</f>
        <v/>
      </c>
      <c r="AG228" s="7" t="str">
        <f ca="1">IF(LEN(DATA!F236)&gt;0,SUMPRODUCT(OFFSET(DATA!$R$6,AG$5,0,1,10),DATA!$R236:$AA236),"")</f>
        <v/>
      </c>
      <c r="AH228" s="7" t="str">
        <f ca="1">IF(LEN(DATA!G236)&gt;0,SUMPRODUCT(OFFSET(DATA!$R$6,AH$5,0,1,10),DATA!$R236:$AA236),"")</f>
        <v/>
      </c>
      <c r="AI228" s="7" t="str">
        <f ca="1">IF(LEN(DATA!H236)&gt;0,SUMPRODUCT(OFFSET(DATA!$R$6,AI$5,0,1,10),DATA!$R236:$AA236),"")</f>
        <v/>
      </c>
      <c r="AJ228" s="7" t="str">
        <f ca="1">IF(LEN(DATA!I236)&gt;0,SUMPRODUCT(OFFSET(DATA!$R$6,AJ$5,0,1,10),DATA!$R236:$AA236),"")</f>
        <v/>
      </c>
      <c r="AK228" s="7"/>
      <c r="AL228" s="7" t="e">
        <f t="shared" ca="1" si="81"/>
        <v>#DIV/0!</v>
      </c>
      <c r="AM228" s="7" t="e">
        <f t="shared" ca="1" si="82"/>
        <v>#DIV/0!</v>
      </c>
      <c r="AN228" s="7" t="e">
        <f t="shared" ca="1" si="83"/>
        <v>#DIV/0!</v>
      </c>
      <c r="AO228" s="7" t="e">
        <f t="shared" ca="1" si="84"/>
        <v>#DIV/0!</v>
      </c>
      <c r="AP228" s="7" t="e">
        <f t="shared" ca="1" si="85"/>
        <v>#DIV/0!</v>
      </c>
      <c r="AQ228" s="7" t="e">
        <f t="shared" ca="1" si="86"/>
        <v>#DIV/0!</v>
      </c>
      <c r="AS228">
        <f t="shared" si="87"/>
        <v>42</v>
      </c>
      <c r="AT228">
        <f t="shared" si="88"/>
        <v>2</v>
      </c>
      <c r="AU228">
        <f t="shared" ca="1" si="89"/>
        <v>1.2565372126605359</v>
      </c>
      <c r="AV228">
        <f t="shared" ca="1" si="90"/>
        <v>1.0464592807862507</v>
      </c>
      <c r="AW228">
        <f ca="1">IF(AND($AT228&lt;3,OFFSET(DATA!$C$14,$AS228,0)=AW$6),$AV228,dNULL)</f>
        <v>-99</v>
      </c>
      <c r="AX228">
        <f ca="1">IF(AND($AT228&lt;3,OFFSET(DATA!$C$14,$AS228,0)=AX$6),$AV228,dNULL)</f>
        <v>-99</v>
      </c>
      <c r="AY228">
        <f ca="1">IF(AND($AT228&lt;3,OFFSET(DATA!$C$14,$AS228,0)=AY$6),$AV228,dNULL)</f>
        <v>-99</v>
      </c>
      <c r="AZ228">
        <f ca="1">IF(AND($AT228&lt;3,OFFSET(DATA!$C$14,$AS228,0)=AZ$6),$AV228,dNULL)</f>
        <v>-99</v>
      </c>
      <c r="BA228">
        <f ca="1">IF(AND($AT228&lt;3,OFFSET(DATA!$C$14,$AS228,0)=BA$6),$AV228,dNULL)</f>
        <v>-99</v>
      </c>
      <c r="BB228">
        <f ca="1">IF(AND($AT228&lt;3,OFFSET(DATA!$C$14,$AS228,0)=BB$6),$AV228,dNULL)</f>
        <v>1.0464592807862507</v>
      </c>
      <c r="BC228">
        <f ca="1">IF(AND($AT228&lt;3,OFFSET(DATA!$C$14,$AS228,0)=BC$6),$AV228,dNULL)</f>
        <v>-99</v>
      </c>
      <c r="BD228">
        <f ca="1">IF(AND($AT228&lt;3,OFFSET(DATA!$C$14,$AS228,0)=BD$6),$AV228,dNULL)</f>
        <v>-99</v>
      </c>
      <c r="BE228">
        <f ca="1">IF(AND($AT228&lt;3,OFFSET(DATA!$C$14,$AS228,0)=BE$6),$AV228,dNULL)</f>
        <v>-99</v>
      </c>
      <c r="BF228">
        <f ca="1">IF(AND($AT228&lt;3,OFFSET(DATA!$C$14,$AS228,0)=BF$6),$AV228,dNULL)</f>
        <v>-99</v>
      </c>
      <c r="BG228">
        <f ca="1">IF(AND($AT228&lt;3,OFFSET(DATA!$C$14,$AS228,0)=BG$6),$AV228,dNULL)</f>
        <v>-99</v>
      </c>
      <c r="BH228">
        <f ca="1">IF(AND($AT228&lt;3,OFFSET(DATA!$C$14,$AS228,0)=BH$6),$AV228,dNULL)</f>
        <v>-99</v>
      </c>
    </row>
    <row r="229" spans="14:60" x14ac:dyDescent="0.25">
      <c r="N229">
        <f>N110-dAnionOFF/2</f>
        <v>-48.35</v>
      </c>
      <c r="O229">
        <f>O110+dAnionOFF*3^0.5*0.5</f>
        <v>-85.476707353524077</v>
      </c>
      <c r="Y229" s="26"/>
      <c r="Z229" s="26"/>
      <c r="AB229" s="26" t="str">
        <f t="shared" ca="1" si="80"/>
        <v/>
      </c>
      <c r="AC229">
        <f t="shared" ca="1" si="93"/>
        <v>90</v>
      </c>
      <c r="AD229" t="str">
        <f ca="1">IF(AND(AT229&lt;1,MAX(AW229:BH229)&gt;dNULL),DATA!$D237,"")</f>
        <v/>
      </c>
      <c r="AE229" s="7" t="str">
        <f ca="1">IF(LEN(DATA!D237)&gt;0,SUMPRODUCT(OFFSET(DATA!$R$6,AE$5,0,1,10),DATA!$R237:$AA237),"")</f>
        <v/>
      </c>
      <c r="AF229" s="7" t="str">
        <f ca="1">IF(LEN(DATA!E237)&gt;0,SUMPRODUCT(OFFSET(DATA!$R$6,AF$5,0,1,10),DATA!$R237:$AA237),"")</f>
        <v/>
      </c>
      <c r="AG229" s="7" t="str">
        <f ca="1">IF(LEN(DATA!F237)&gt;0,SUMPRODUCT(OFFSET(DATA!$R$6,AG$5,0,1,10),DATA!$R237:$AA237),"")</f>
        <v/>
      </c>
      <c r="AH229" s="7" t="str">
        <f ca="1">IF(LEN(DATA!G237)&gt;0,SUMPRODUCT(OFFSET(DATA!$R$6,AH$5,0,1,10),DATA!$R237:$AA237),"")</f>
        <v/>
      </c>
      <c r="AI229" s="7" t="str">
        <f ca="1">IF(LEN(DATA!H237)&gt;0,SUMPRODUCT(OFFSET(DATA!$R$6,AI$5,0,1,10),DATA!$R237:$AA237),"")</f>
        <v/>
      </c>
      <c r="AJ229" s="7" t="str">
        <f ca="1">IF(LEN(DATA!I237)&gt;0,SUMPRODUCT(OFFSET(DATA!$R$6,AJ$5,0,1,10),DATA!$R237:$AA237),"")</f>
        <v/>
      </c>
      <c r="AK229" s="7"/>
      <c r="AL229" s="7" t="e">
        <f t="shared" ca="1" si="81"/>
        <v>#DIV/0!</v>
      </c>
      <c r="AM229" s="7" t="e">
        <f t="shared" ca="1" si="82"/>
        <v>#DIV/0!</v>
      </c>
      <c r="AN229" s="7" t="e">
        <f t="shared" ca="1" si="83"/>
        <v>#DIV/0!</v>
      </c>
      <c r="AO229" s="7" t="e">
        <f t="shared" ca="1" si="84"/>
        <v>#DIV/0!</v>
      </c>
      <c r="AP229" s="7" t="e">
        <f t="shared" ca="1" si="85"/>
        <v>#DIV/0!</v>
      </c>
      <c r="AQ229" s="7" t="e">
        <f t="shared" ca="1" si="86"/>
        <v>#DIV/0!</v>
      </c>
      <c r="AS229">
        <f t="shared" si="87"/>
        <v>43</v>
      </c>
      <c r="AT229">
        <f t="shared" si="88"/>
        <v>2</v>
      </c>
      <c r="AU229">
        <f t="shared" ca="1" si="89"/>
        <v>1.29791322382362</v>
      </c>
      <c r="AV229">
        <f t="shared" ca="1" si="90"/>
        <v>1.1272746036875601</v>
      </c>
      <c r="AW229">
        <f ca="1">IF(AND($AT229&lt;3,OFFSET(DATA!$C$14,$AS229,0)=AW$6),$AV229,dNULL)</f>
        <v>-99</v>
      </c>
      <c r="AX229">
        <f ca="1">IF(AND($AT229&lt;3,OFFSET(DATA!$C$14,$AS229,0)=AX$6),$AV229,dNULL)</f>
        <v>-99</v>
      </c>
      <c r="AY229">
        <f ca="1">IF(AND($AT229&lt;3,OFFSET(DATA!$C$14,$AS229,0)=AY$6),$AV229,dNULL)</f>
        <v>-99</v>
      </c>
      <c r="AZ229">
        <f ca="1">IF(AND($AT229&lt;3,OFFSET(DATA!$C$14,$AS229,0)=AZ$6),$AV229,dNULL)</f>
        <v>-99</v>
      </c>
      <c r="BA229">
        <f ca="1">IF(AND($AT229&lt;3,OFFSET(DATA!$C$14,$AS229,0)=BA$6),$AV229,dNULL)</f>
        <v>-99</v>
      </c>
      <c r="BB229">
        <f ca="1">IF(AND($AT229&lt;3,OFFSET(DATA!$C$14,$AS229,0)=BB$6),$AV229,dNULL)</f>
        <v>1.1272746036875601</v>
      </c>
      <c r="BC229">
        <f ca="1">IF(AND($AT229&lt;3,OFFSET(DATA!$C$14,$AS229,0)=BC$6),$AV229,dNULL)</f>
        <v>-99</v>
      </c>
      <c r="BD229">
        <f ca="1">IF(AND($AT229&lt;3,OFFSET(DATA!$C$14,$AS229,0)=BD$6),$AV229,dNULL)</f>
        <v>-99</v>
      </c>
      <c r="BE229">
        <f ca="1">IF(AND($AT229&lt;3,OFFSET(DATA!$C$14,$AS229,0)=BE$6),$AV229,dNULL)</f>
        <v>-99</v>
      </c>
      <c r="BF229">
        <f ca="1">IF(AND($AT229&lt;3,OFFSET(DATA!$C$14,$AS229,0)=BF$6),$AV229,dNULL)</f>
        <v>-99</v>
      </c>
      <c r="BG229">
        <f ca="1">IF(AND($AT229&lt;3,OFFSET(DATA!$C$14,$AS229,0)=BG$6),$AV229,dNULL)</f>
        <v>-99</v>
      </c>
      <c r="BH229">
        <f ca="1">IF(AND($AT229&lt;3,OFFSET(DATA!$C$14,$AS229,0)=BH$6),$AV229,dNULL)</f>
        <v>-99</v>
      </c>
    </row>
    <row r="230" spans="14:60" x14ac:dyDescent="0.25">
      <c r="N230">
        <f>N229-0.5</f>
        <v>-48.85</v>
      </c>
      <c r="O230">
        <f>O229+3^0.5/2</f>
        <v>-84.610681949739643</v>
      </c>
      <c r="Y230" s="26"/>
      <c r="Z230" s="26"/>
      <c r="AB230" s="26" t="str">
        <f t="shared" ca="1" si="80"/>
        <v/>
      </c>
      <c r="AC230">
        <f t="shared" ca="1" si="93"/>
        <v>90</v>
      </c>
      <c r="AD230" t="str">
        <f ca="1">IF(AND(AT230&lt;1,MAX(AW230:BH230)&gt;dNULL),DATA!$D238,"")</f>
        <v/>
      </c>
      <c r="AE230" s="7" t="str">
        <f ca="1">IF(LEN(DATA!D238)&gt;0,SUMPRODUCT(OFFSET(DATA!$R$6,AE$5,0,1,10),DATA!$R238:$AA238),"")</f>
        <v/>
      </c>
      <c r="AF230" s="7" t="str">
        <f ca="1">IF(LEN(DATA!E238)&gt;0,SUMPRODUCT(OFFSET(DATA!$R$6,AF$5,0,1,10),DATA!$R238:$AA238),"")</f>
        <v/>
      </c>
      <c r="AG230" s="7" t="str">
        <f ca="1">IF(LEN(DATA!F238)&gt;0,SUMPRODUCT(OFFSET(DATA!$R$6,AG$5,0,1,10),DATA!$R238:$AA238),"")</f>
        <v/>
      </c>
      <c r="AH230" s="7" t="str">
        <f ca="1">IF(LEN(DATA!G238)&gt;0,SUMPRODUCT(OFFSET(DATA!$R$6,AH$5,0,1,10),DATA!$R238:$AA238),"")</f>
        <v/>
      </c>
      <c r="AI230" s="7" t="str">
        <f ca="1">IF(LEN(DATA!H238)&gt;0,SUMPRODUCT(OFFSET(DATA!$R$6,AI$5,0,1,10),DATA!$R238:$AA238),"")</f>
        <v/>
      </c>
      <c r="AJ230" s="7" t="str">
        <f ca="1">IF(LEN(DATA!I238)&gt;0,SUMPRODUCT(OFFSET(DATA!$R$6,AJ$5,0,1,10),DATA!$R238:$AA238),"")</f>
        <v/>
      </c>
      <c r="AK230" s="7"/>
      <c r="AL230" s="7" t="e">
        <f t="shared" ca="1" si="81"/>
        <v>#DIV/0!</v>
      </c>
      <c r="AM230" s="7" t="e">
        <f t="shared" ca="1" si="82"/>
        <v>#DIV/0!</v>
      </c>
      <c r="AN230" s="7" t="e">
        <f t="shared" ca="1" si="83"/>
        <v>#DIV/0!</v>
      </c>
      <c r="AO230" s="7" t="e">
        <f t="shared" ca="1" si="84"/>
        <v>#DIV/0!</v>
      </c>
      <c r="AP230" s="7" t="e">
        <f t="shared" ca="1" si="85"/>
        <v>#DIV/0!</v>
      </c>
      <c r="AQ230" s="7" t="e">
        <f t="shared" ca="1" si="86"/>
        <v>#DIV/0!</v>
      </c>
      <c r="AS230">
        <f t="shared" si="87"/>
        <v>44</v>
      </c>
      <c r="AT230">
        <f t="shared" si="88"/>
        <v>2</v>
      </c>
      <c r="AU230">
        <f t="shared" ca="1" si="89"/>
        <v>1.2481277472212824</v>
      </c>
      <c r="AV230">
        <f t="shared" ca="1" si="90"/>
        <v>1.0145843677974833</v>
      </c>
      <c r="AW230">
        <f ca="1">IF(AND($AT230&lt;3,OFFSET(DATA!$C$14,$AS230,0)=AW$6),$AV230,dNULL)</f>
        <v>-99</v>
      </c>
      <c r="AX230">
        <f ca="1">IF(AND($AT230&lt;3,OFFSET(DATA!$C$14,$AS230,0)=AX$6),$AV230,dNULL)</f>
        <v>-99</v>
      </c>
      <c r="AY230">
        <f ca="1">IF(AND($AT230&lt;3,OFFSET(DATA!$C$14,$AS230,0)=AY$6),$AV230,dNULL)</f>
        <v>-99</v>
      </c>
      <c r="AZ230">
        <f ca="1">IF(AND($AT230&lt;3,OFFSET(DATA!$C$14,$AS230,0)=AZ$6),$AV230,dNULL)</f>
        <v>-99</v>
      </c>
      <c r="BA230">
        <f ca="1">IF(AND($AT230&lt;3,OFFSET(DATA!$C$14,$AS230,0)=BA$6),$AV230,dNULL)</f>
        <v>-99</v>
      </c>
      <c r="BB230">
        <f ca="1">IF(AND($AT230&lt;3,OFFSET(DATA!$C$14,$AS230,0)=BB$6),$AV230,dNULL)</f>
        <v>1.0145843677974833</v>
      </c>
      <c r="BC230">
        <f ca="1">IF(AND($AT230&lt;3,OFFSET(DATA!$C$14,$AS230,0)=BC$6),$AV230,dNULL)</f>
        <v>-99</v>
      </c>
      <c r="BD230">
        <f ca="1">IF(AND($AT230&lt;3,OFFSET(DATA!$C$14,$AS230,0)=BD$6),$AV230,dNULL)</f>
        <v>-99</v>
      </c>
      <c r="BE230">
        <f ca="1">IF(AND($AT230&lt;3,OFFSET(DATA!$C$14,$AS230,0)=BE$6),$AV230,dNULL)</f>
        <v>-99</v>
      </c>
      <c r="BF230">
        <f ca="1">IF(AND($AT230&lt;3,OFFSET(DATA!$C$14,$AS230,0)=BF$6),$AV230,dNULL)</f>
        <v>-99</v>
      </c>
      <c r="BG230">
        <f ca="1">IF(AND($AT230&lt;3,OFFSET(DATA!$C$14,$AS230,0)=BG$6),$AV230,dNULL)</f>
        <v>-99</v>
      </c>
      <c r="BH230">
        <f ca="1">IF(AND($AT230&lt;3,OFFSET(DATA!$C$14,$AS230,0)=BH$6),$AV230,dNULL)</f>
        <v>-99</v>
      </c>
    </row>
    <row r="231" spans="14:60" x14ac:dyDescent="0.25">
      <c r="Y231" s="26"/>
      <c r="Z231" s="26"/>
      <c r="AB231" s="26" t="str">
        <f t="shared" ca="1" si="80"/>
        <v/>
      </c>
      <c r="AC231">
        <f t="shared" ca="1" si="93"/>
        <v>90</v>
      </c>
      <c r="AD231" t="str">
        <f ca="1">IF(AND(AT231&lt;1,MAX(AW231:BH231)&gt;dNULL),DATA!$D239,"")</f>
        <v/>
      </c>
      <c r="AE231" s="7" t="str">
        <f ca="1">IF(LEN(DATA!D239)&gt;0,SUMPRODUCT(OFFSET(DATA!$R$6,AE$5,0,1,10),DATA!$R239:$AA239),"")</f>
        <v/>
      </c>
      <c r="AF231" s="7" t="str">
        <f ca="1">IF(LEN(DATA!E239)&gt;0,SUMPRODUCT(OFFSET(DATA!$R$6,AF$5,0,1,10),DATA!$R239:$AA239),"")</f>
        <v/>
      </c>
      <c r="AG231" s="7" t="str">
        <f ca="1">IF(LEN(DATA!F239)&gt;0,SUMPRODUCT(OFFSET(DATA!$R$6,AG$5,0,1,10),DATA!$R239:$AA239),"")</f>
        <v/>
      </c>
      <c r="AH231" s="7" t="str">
        <f ca="1">IF(LEN(DATA!G239)&gt;0,SUMPRODUCT(OFFSET(DATA!$R$6,AH$5,0,1,10),DATA!$R239:$AA239),"")</f>
        <v/>
      </c>
      <c r="AI231" s="7" t="str">
        <f ca="1">IF(LEN(DATA!H239)&gt;0,SUMPRODUCT(OFFSET(DATA!$R$6,AI$5,0,1,10),DATA!$R239:$AA239),"")</f>
        <v/>
      </c>
      <c r="AJ231" s="7" t="str">
        <f ca="1">IF(LEN(DATA!I239)&gt;0,SUMPRODUCT(OFFSET(DATA!$R$6,AJ$5,0,1,10),DATA!$R239:$AA239),"")</f>
        <v/>
      </c>
      <c r="AK231" s="7"/>
      <c r="AL231" s="7" t="e">
        <f t="shared" ca="1" si="81"/>
        <v>#DIV/0!</v>
      </c>
      <c r="AM231" s="7" t="e">
        <f t="shared" ca="1" si="82"/>
        <v>#DIV/0!</v>
      </c>
      <c r="AN231" s="7" t="e">
        <f t="shared" ca="1" si="83"/>
        <v>#DIV/0!</v>
      </c>
      <c r="AO231" s="7" t="e">
        <f t="shared" ca="1" si="84"/>
        <v>#DIV/0!</v>
      </c>
      <c r="AP231" s="7" t="e">
        <f t="shared" ca="1" si="85"/>
        <v>#DIV/0!</v>
      </c>
      <c r="AQ231" s="7" t="e">
        <f t="shared" ca="1" si="86"/>
        <v>#DIV/0!</v>
      </c>
      <c r="AS231">
        <f t="shared" si="87"/>
        <v>45</v>
      </c>
      <c r="AT231">
        <f t="shared" si="88"/>
        <v>2</v>
      </c>
      <c r="AU231">
        <f t="shared" ca="1" si="89"/>
        <v>1.2533141918710937</v>
      </c>
      <c r="AV231">
        <f t="shared" ca="1" si="90"/>
        <v>0.93693328047008828</v>
      </c>
      <c r="AW231">
        <f ca="1">IF(AND($AT231&lt;3,OFFSET(DATA!$C$14,$AS231,0)=AW$6),$AV231,dNULL)</f>
        <v>-99</v>
      </c>
      <c r="AX231">
        <f ca="1">IF(AND($AT231&lt;3,OFFSET(DATA!$C$14,$AS231,0)=AX$6),$AV231,dNULL)</f>
        <v>-99</v>
      </c>
      <c r="AY231">
        <f ca="1">IF(AND($AT231&lt;3,OFFSET(DATA!$C$14,$AS231,0)=AY$6),$AV231,dNULL)</f>
        <v>0.93693328047008828</v>
      </c>
      <c r="AZ231">
        <f ca="1">IF(AND($AT231&lt;3,OFFSET(DATA!$C$14,$AS231,0)=AZ$6),$AV231,dNULL)</f>
        <v>-99</v>
      </c>
      <c r="BA231">
        <f ca="1">IF(AND($AT231&lt;3,OFFSET(DATA!$C$14,$AS231,0)=BA$6),$AV231,dNULL)</f>
        <v>-99</v>
      </c>
      <c r="BB231">
        <f ca="1">IF(AND($AT231&lt;3,OFFSET(DATA!$C$14,$AS231,0)=BB$6),$AV231,dNULL)</f>
        <v>-99</v>
      </c>
      <c r="BC231">
        <f ca="1">IF(AND($AT231&lt;3,OFFSET(DATA!$C$14,$AS231,0)=BC$6),$AV231,dNULL)</f>
        <v>-99</v>
      </c>
      <c r="BD231">
        <f ca="1">IF(AND($AT231&lt;3,OFFSET(DATA!$C$14,$AS231,0)=BD$6),$AV231,dNULL)</f>
        <v>-99</v>
      </c>
      <c r="BE231">
        <f ca="1">IF(AND($AT231&lt;3,OFFSET(DATA!$C$14,$AS231,0)=BE$6),$AV231,dNULL)</f>
        <v>-99</v>
      </c>
      <c r="BF231">
        <f ca="1">IF(AND($AT231&lt;3,OFFSET(DATA!$C$14,$AS231,0)=BF$6),$AV231,dNULL)</f>
        <v>-99</v>
      </c>
      <c r="BG231">
        <f ca="1">IF(AND($AT231&lt;3,OFFSET(DATA!$C$14,$AS231,0)=BG$6),$AV231,dNULL)</f>
        <v>-99</v>
      </c>
      <c r="BH231">
        <f ca="1">IF(AND($AT231&lt;3,OFFSET(DATA!$C$14,$AS231,0)=BH$6),$AV231,dNULL)</f>
        <v>-99</v>
      </c>
    </row>
    <row r="232" spans="14:60" x14ac:dyDescent="0.25">
      <c r="N232">
        <f>N113-dAnionOFF/2</f>
        <v>-48.25</v>
      </c>
      <c r="O232">
        <f>O113+dAnionOFF*3^0.5*0.5</f>
        <v>-85.30350227276719</v>
      </c>
      <c r="Y232" s="26"/>
      <c r="Z232" s="26"/>
      <c r="AB232" s="26" t="str">
        <f t="shared" ca="1" si="80"/>
        <v/>
      </c>
      <c r="AC232">
        <f t="shared" ca="1" si="93"/>
        <v>90</v>
      </c>
      <c r="AD232" t="str">
        <f ca="1">IF(AND(AT232&lt;1,MAX(AW232:BH232)&gt;dNULL),DATA!$D240,"")</f>
        <v/>
      </c>
      <c r="AE232" s="7" t="str">
        <f ca="1">IF(LEN(DATA!D240)&gt;0,SUMPRODUCT(OFFSET(DATA!$R$6,AE$5,0,1,10),DATA!$R240:$AA240),"")</f>
        <v/>
      </c>
      <c r="AF232" s="7" t="str">
        <f ca="1">IF(LEN(DATA!E240)&gt;0,SUMPRODUCT(OFFSET(DATA!$R$6,AF$5,0,1,10),DATA!$R240:$AA240),"")</f>
        <v/>
      </c>
      <c r="AG232" s="7" t="str">
        <f ca="1">IF(LEN(DATA!F240)&gt;0,SUMPRODUCT(OFFSET(DATA!$R$6,AG$5,0,1,10),DATA!$R240:$AA240),"")</f>
        <v/>
      </c>
      <c r="AH232" s="7" t="str">
        <f ca="1">IF(LEN(DATA!G240)&gt;0,SUMPRODUCT(OFFSET(DATA!$R$6,AH$5,0,1,10),DATA!$R240:$AA240),"")</f>
        <v/>
      </c>
      <c r="AI232" s="7" t="str">
        <f ca="1">IF(LEN(DATA!H240)&gt;0,SUMPRODUCT(OFFSET(DATA!$R$6,AI$5,0,1,10),DATA!$R240:$AA240),"")</f>
        <v/>
      </c>
      <c r="AJ232" s="7" t="str">
        <f ca="1">IF(LEN(DATA!I240)&gt;0,SUMPRODUCT(OFFSET(DATA!$R$6,AJ$5,0,1,10),DATA!$R240:$AA240),"")</f>
        <v/>
      </c>
      <c r="AK232" s="7"/>
      <c r="AL232" s="7" t="e">
        <f t="shared" ca="1" si="81"/>
        <v>#DIV/0!</v>
      </c>
      <c r="AM232" s="7" t="e">
        <f t="shared" ca="1" si="82"/>
        <v>#DIV/0!</v>
      </c>
      <c r="AN232" s="7" t="e">
        <f t="shared" ca="1" si="83"/>
        <v>#DIV/0!</v>
      </c>
      <c r="AO232" s="7" t="e">
        <f t="shared" ca="1" si="84"/>
        <v>#DIV/0!</v>
      </c>
      <c r="AP232" s="7" t="e">
        <f t="shared" ca="1" si="85"/>
        <v>#DIV/0!</v>
      </c>
      <c r="AQ232" s="7" t="e">
        <f t="shared" ca="1" si="86"/>
        <v>#DIV/0!</v>
      </c>
      <c r="AS232">
        <f t="shared" si="87"/>
        <v>46</v>
      </c>
      <c r="AT232">
        <f t="shared" si="88"/>
        <v>2</v>
      </c>
      <c r="AU232">
        <f t="shared" ca="1" si="89"/>
        <v>1.0946069345578255</v>
      </c>
      <c r="AV232">
        <f t="shared" ca="1" si="90"/>
        <v>0.88041127531621366</v>
      </c>
      <c r="AW232">
        <f ca="1">IF(AND($AT232&lt;3,OFFSET(DATA!$C$14,$AS232,0)=AW$6),$AV232,dNULL)</f>
        <v>-99</v>
      </c>
      <c r="AX232">
        <f ca="1">IF(AND($AT232&lt;3,OFFSET(DATA!$C$14,$AS232,0)=AX$6),$AV232,dNULL)</f>
        <v>-99</v>
      </c>
      <c r="AY232">
        <f ca="1">IF(AND($AT232&lt;3,OFFSET(DATA!$C$14,$AS232,0)=AY$6),$AV232,dNULL)</f>
        <v>-99</v>
      </c>
      <c r="AZ232">
        <f ca="1">IF(AND($AT232&lt;3,OFFSET(DATA!$C$14,$AS232,0)=AZ$6),$AV232,dNULL)</f>
        <v>-99</v>
      </c>
      <c r="BA232">
        <f ca="1">IF(AND($AT232&lt;3,OFFSET(DATA!$C$14,$AS232,0)=BA$6),$AV232,dNULL)</f>
        <v>-99</v>
      </c>
      <c r="BB232">
        <f ca="1">IF(AND($AT232&lt;3,OFFSET(DATA!$C$14,$AS232,0)=BB$6),$AV232,dNULL)</f>
        <v>0.88041127531621366</v>
      </c>
      <c r="BC232">
        <f ca="1">IF(AND($AT232&lt;3,OFFSET(DATA!$C$14,$AS232,0)=BC$6),$AV232,dNULL)</f>
        <v>-99</v>
      </c>
      <c r="BD232">
        <f ca="1">IF(AND($AT232&lt;3,OFFSET(DATA!$C$14,$AS232,0)=BD$6),$AV232,dNULL)</f>
        <v>-99</v>
      </c>
      <c r="BE232">
        <f ca="1">IF(AND($AT232&lt;3,OFFSET(DATA!$C$14,$AS232,0)=BE$6),$AV232,dNULL)</f>
        <v>-99</v>
      </c>
      <c r="BF232">
        <f ca="1">IF(AND($AT232&lt;3,OFFSET(DATA!$C$14,$AS232,0)=BF$6),$AV232,dNULL)</f>
        <v>-99</v>
      </c>
      <c r="BG232">
        <f ca="1">IF(AND($AT232&lt;3,OFFSET(DATA!$C$14,$AS232,0)=BG$6),$AV232,dNULL)</f>
        <v>-99</v>
      </c>
      <c r="BH232">
        <f ca="1">IF(AND($AT232&lt;3,OFFSET(DATA!$C$14,$AS232,0)=BH$6),$AV232,dNULL)</f>
        <v>-99</v>
      </c>
    </row>
    <row r="233" spans="14:60" x14ac:dyDescent="0.25">
      <c r="N233">
        <f>N232-0.5</f>
        <v>-48.75</v>
      </c>
      <c r="O233">
        <f>O232+3^0.5/2</f>
        <v>-84.437476868982756</v>
      </c>
      <c r="Y233" s="26"/>
      <c r="Z233" s="26"/>
      <c r="AB233" s="26" t="str">
        <f t="shared" ca="1" si="80"/>
        <v/>
      </c>
      <c r="AC233">
        <f t="shared" ca="1" si="93"/>
        <v>90</v>
      </c>
      <c r="AD233" t="str">
        <f ca="1">IF(AND(AT233&lt;1,MAX(AW233:BH233)&gt;dNULL),DATA!$D241,"")</f>
        <v/>
      </c>
      <c r="AE233" s="7" t="str">
        <f ca="1">IF(LEN(DATA!D241)&gt;0,SUMPRODUCT(OFFSET(DATA!$R$6,AE$5,0,1,10),DATA!$R241:$AA241),"")</f>
        <v/>
      </c>
      <c r="AF233" s="7" t="str">
        <f ca="1">IF(LEN(DATA!E241)&gt;0,SUMPRODUCT(OFFSET(DATA!$R$6,AF$5,0,1,10),DATA!$R241:$AA241),"")</f>
        <v/>
      </c>
      <c r="AG233" s="7" t="str">
        <f ca="1">IF(LEN(DATA!F241)&gt;0,SUMPRODUCT(OFFSET(DATA!$R$6,AG$5,0,1,10),DATA!$R241:$AA241),"")</f>
        <v/>
      </c>
      <c r="AH233" s="7" t="str">
        <f ca="1">IF(LEN(DATA!G241)&gt;0,SUMPRODUCT(OFFSET(DATA!$R$6,AH$5,0,1,10),DATA!$R241:$AA241),"")</f>
        <v/>
      </c>
      <c r="AI233" s="7" t="str">
        <f ca="1">IF(LEN(DATA!H241)&gt;0,SUMPRODUCT(OFFSET(DATA!$R$6,AI$5,0,1,10),DATA!$R241:$AA241),"")</f>
        <v/>
      </c>
      <c r="AJ233" s="7" t="str">
        <f ca="1">IF(LEN(DATA!I241)&gt;0,SUMPRODUCT(OFFSET(DATA!$R$6,AJ$5,0,1,10),DATA!$R241:$AA241),"")</f>
        <v/>
      </c>
      <c r="AK233" s="7"/>
      <c r="AL233" s="7" t="e">
        <f t="shared" ca="1" si="81"/>
        <v>#DIV/0!</v>
      </c>
      <c r="AM233" s="7" t="e">
        <f t="shared" ca="1" si="82"/>
        <v>#DIV/0!</v>
      </c>
      <c r="AN233" s="7" t="e">
        <f t="shared" ca="1" si="83"/>
        <v>#DIV/0!</v>
      </c>
      <c r="AO233" s="7" t="e">
        <f t="shared" ca="1" si="84"/>
        <v>#DIV/0!</v>
      </c>
      <c r="AP233" s="7" t="e">
        <f t="shared" ca="1" si="85"/>
        <v>#DIV/0!</v>
      </c>
      <c r="AQ233" s="7" t="e">
        <f t="shared" ca="1" si="86"/>
        <v>#DIV/0!</v>
      </c>
      <c r="AS233">
        <f t="shared" si="87"/>
        <v>47</v>
      </c>
      <c r="AT233">
        <f t="shared" si="88"/>
        <v>2</v>
      </c>
      <c r="AU233">
        <f t="shared" ca="1" si="89"/>
        <v>1.3412042943788216</v>
      </c>
      <c r="AV233">
        <f t="shared" ca="1" si="90"/>
        <v>0.71251036821279956</v>
      </c>
      <c r="AW233">
        <f ca="1">IF(AND($AT233&lt;3,OFFSET(DATA!$C$14,$AS233,0)=AW$6),$AV233,dNULL)</f>
        <v>-99</v>
      </c>
      <c r="AX233">
        <f ca="1">IF(AND($AT233&lt;3,OFFSET(DATA!$C$14,$AS233,0)=AX$6),$AV233,dNULL)</f>
        <v>-99</v>
      </c>
      <c r="AY233">
        <f ca="1">IF(AND($AT233&lt;3,OFFSET(DATA!$C$14,$AS233,0)=AY$6),$AV233,dNULL)</f>
        <v>0.71251036821279956</v>
      </c>
      <c r="AZ233">
        <f ca="1">IF(AND($AT233&lt;3,OFFSET(DATA!$C$14,$AS233,0)=AZ$6),$AV233,dNULL)</f>
        <v>-99</v>
      </c>
      <c r="BA233">
        <f ca="1">IF(AND($AT233&lt;3,OFFSET(DATA!$C$14,$AS233,0)=BA$6),$AV233,dNULL)</f>
        <v>-99</v>
      </c>
      <c r="BB233">
        <f ca="1">IF(AND($AT233&lt;3,OFFSET(DATA!$C$14,$AS233,0)=BB$6),$AV233,dNULL)</f>
        <v>-99</v>
      </c>
      <c r="BC233">
        <f ca="1">IF(AND($AT233&lt;3,OFFSET(DATA!$C$14,$AS233,0)=BC$6),$AV233,dNULL)</f>
        <v>-99</v>
      </c>
      <c r="BD233">
        <f ca="1">IF(AND($AT233&lt;3,OFFSET(DATA!$C$14,$AS233,0)=BD$6),$AV233,dNULL)</f>
        <v>-99</v>
      </c>
      <c r="BE233">
        <f ca="1">IF(AND($AT233&lt;3,OFFSET(DATA!$C$14,$AS233,0)=BE$6),$AV233,dNULL)</f>
        <v>-99</v>
      </c>
      <c r="BF233">
        <f ca="1">IF(AND($AT233&lt;3,OFFSET(DATA!$C$14,$AS233,0)=BF$6),$AV233,dNULL)</f>
        <v>-99</v>
      </c>
      <c r="BG233">
        <f ca="1">IF(AND($AT233&lt;3,OFFSET(DATA!$C$14,$AS233,0)=BG$6),$AV233,dNULL)</f>
        <v>-99</v>
      </c>
      <c r="BH233">
        <f ca="1">IF(AND($AT233&lt;3,OFFSET(DATA!$C$14,$AS233,0)=BH$6),$AV233,dNULL)</f>
        <v>-99</v>
      </c>
    </row>
    <row r="234" spans="14:60" x14ac:dyDescent="0.25">
      <c r="Y234" s="26"/>
      <c r="Z234" s="26"/>
      <c r="AB234" s="26" t="str">
        <f t="shared" ca="1" si="80"/>
        <v/>
      </c>
      <c r="AC234">
        <f t="shared" ca="1" si="93"/>
        <v>90</v>
      </c>
      <c r="AD234" t="str">
        <f ca="1">IF(AND(AT234&lt;1,MAX(AW234:BH234)&gt;dNULL),DATA!$D242,"")</f>
        <v/>
      </c>
      <c r="AE234" s="7" t="str">
        <f ca="1">IF(LEN(DATA!D242)&gt;0,SUMPRODUCT(OFFSET(DATA!$R$6,AE$5,0,1,10),DATA!$R242:$AA242),"")</f>
        <v/>
      </c>
      <c r="AF234" s="7" t="str">
        <f ca="1">IF(LEN(DATA!E242)&gt;0,SUMPRODUCT(OFFSET(DATA!$R$6,AF$5,0,1,10),DATA!$R242:$AA242),"")</f>
        <v/>
      </c>
      <c r="AG234" s="7" t="str">
        <f ca="1">IF(LEN(DATA!F242)&gt;0,SUMPRODUCT(OFFSET(DATA!$R$6,AG$5,0,1,10),DATA!$R242:$AA242),"")</f>
        <v/>
      </c>
      <c r="AH234" s="7" t="str">
        <f ca="1">IF(LEN(DATA!G242)&gt;0,SUMPRODUCT(OFFSET(DATA!$R$6,AH$5,0,1,10),DATA!$R242:$AA242),"")</f>
        <v/>
      </c>
      <c r="AI234" s="7" t="str">
        <f ca="1">IF(LEN(DATA!H242)&gt;0,SUMPRODUCT(OFFSET(DATA!$R$6,AI$5,0,1,10),DATA!$R242:$AA242),"")</f>
        <v/>
      </c>
      <c r="AJ234" s="7" t="str">
        <f ca="1">IF(LEN(DATA!I242)&gt;0,SUMPRODUCT(OFFSET(DATA!$R$6,AJ$5,0,1,10),DATA!$R242:$AA242),"")</f>
        <v/>
      </c>
      <c r="AK234" s="7"/>
      <c r="AL234" s="7" t="e">
        <f t="shared" ca="1" si="81"/>
        <v>#DIV/0!</v>
      </c>
      <c r="AM234" s="7" t="e">
        <f t="shared" ca="1" si="82"/>
        <v>#DIV/0!</v>
      </c>
      <c r="AN234" s="7" t="e">
        <f t="shared" ca="1" si="83"/>
        <v>#DIV/0!</v>
      </c>
      <c r="AO234" s="7" t="e">
        <f t="shared" ca="1" si="84"/>
        <v>#DIV/0!</v>
      </c>
      <c r="AP234" s="7" t="e">
        <f t="shared" ca="1" si="85"/>
        <v>#DIV/0!</v>
      </c>
      <c r="AQ234" s="7" t="e">
        <f t="shared" ca="1" si="86"/>
        <v>#DIV/0!</v>
      </c>
      <c r="AS234">
        <f t="shared" si="87"/>
        <v>48</v>
      </c>
      <c r="AT234">
        <f t="shared" si="88"/>
        <v>2</v>
      </c>
      <c r="AU234">
        <f t="shared" ca="1" si="89"/>
        <v>1.1221749951611539</v>
      </c>
      <c r="AV234">
        <f t="shared" ca="1" si="90"/>
        <v>0.82533299732610144</v>
      </c>
      <c r="AW234">
        <f ca="1">IF(AND($AT234&lt;3,OFFSET(DATA!$C$14,$AS234,0)=AW$6),$AV234,dNULL)</f>
        <v>-99</v>
      </c>
      <c r="AX234">
        <f ca="1">IF(AND($AT234&lt;3,OFFSET(DATA!$C$14,$AS234,0)=AX$6),$AV234,dNULL)</f>
        <v>-99</v>
      </c>
      <c r="AY234">
        <f ca="1">IF(AND($AT234&lt;3,OFFSET(DATA!$C$14,$AS234,0)=AY$6),$AV234,dNULL)</f>
        <v>0.82533299732610144</v>
      </c>
      <c r="AZ234">
        <f ca="1">IF(AND($AT234&lt;3,OFFSET(DATA!$C$14,$AS234,0)=AZ$6),$AV234,dNULL)</f>
        <v>-99</v>
      </c>
      <c r="BA234">
        <f ca="1">IF(AND($AT234&lt;3,OFFSET(DATA!$C$14,$AS234,0)=BA$6),$AV234,dNULL)</f>
        <v>-99</v>
      </c>
      <c r="BB234">
        <f ca="1">IF(AND($AT234&lt;3,OFFSET(DATA!$C$14,$AS234,0)=BB$6),$AV234,dNULL)</f>
        <v>-99</v>
      </c>
      <c r="BC234">
        <f ca="1">IF(AND($AT234&lt;3,OFFSET(DATA!$C$14,$AS234,0)=BC$6),$AV234,dNULL)</f>
        <v>-99</v>
      </c>
      <c r="BD234">
        <f ca="1">IF(AND($AT234&lt;3,OFFSET(DATA!$C$14,$AS234,0)=BD$6),$AV234,dNULL)</f>
        <v>-99</v>
      </c>
      <c r="BE234">
        <f ca="1">IF(AND($AT234&lt;3,OFFSET(DATA!$C$14,$AS234,0)=BE$6),$AV234,dNULL)</f>
        <v>-99</v>
      </c>
      <c r="BF234">
        <f ca="1">IF(AND($AT234&lt;3,OFFSET(DATA!$C$14,$AS234,0)=BF$6),$AV234,dNULL)</f>
        <v>-99</v>
      </c>
      <c r="BG234">
        <f ca="1">IF(AND($AT234&lt;3,OFFSET(DATA!$C$14,$AS234,0)=BG$6),$AV234,dNULL)</f>
        <v>-99</v>
      </c>
      <c r="BH234">
        <f ca="1">IF(AND($AT234&lt;3,OFFSET(DATA!$C$14,$AS234,0)=BH$6),$AV234,dNULL)</f>
        <v>-99</v>
      </c>
    </row>
    <row r="235" spans="14:60" x14ac:dyDescent="0.25">
      <c r="N235">
        <f>N116-dAnionOFF/2</f>
        <v>-48.15</v>
      </c>
      <c r="O235">
        <f>O116+dAnionOFF*3^0.5*0.5</f>
        <v>-85.130297192010303</v>
      </c>
      <c r="Y235" s="26"/>
      <c r="Z235" s="26"/>
      <c r="AB235" s="26" t="str">
        <f t="shared" ca="1" si="80"/>
        <v/>
      </c>
      <c r="AC235">
        <f t="shared" ca="1" si="93"/>
        <v>90</v>
      </c>
      <c r="AD235" t="str">
        <f ca="1">IF(AND(AT235&lt;1,MAX(AW235:BH235)&gt;dNULL),DATA!$D243,"")</f>
        <v/>
      </c>
      <c r="AE235" s="7" t="str">
        <f ca="1">IF(LEN(DATA!D243)&gt;0,SUMPRODUCT(OFFSET(DATA!$R$6,AE$5,0,1,10),DATA!$R243:$AA243),"")</f>
        <v/>
      </c>
      <c r="AF235" s="7" t="str">
        <f ca="1">IF(LEN(DATA!E243)&gt;0,SUMPRODUCT(OFFSET(DATA!$R$6,AF$5,0,1,10),DATA!$R243:$AA243),"")</f>
        <v/>
      </c>
      <c r="AG235" s="7" t="str">
        <f ca="1">IF(LEN(DATA!F243)&gt;0,SUMPRODUCT(OFFSET(DATA!$R$6,AG$5,0,1,10),DATA!$R243:$AA243),"")</f>
        <v/>
      </c>
      <c r="AH235" s="7" t="str">
        <f ca="1">IF(LEN(DATA!G243)&gt;0,SUMPRODUCT(OFFSET(DATA!$R$6,AH$5,0,1,10),DATA!$R243:$AA243),"")</f>
        <v/>
      </c>
      <c r="AI235" s="7" t="str">
        <f ca="1">IF(LEN(DATA!H243)&gt;0,SUMPRODUCT(OFFSET(DATA!$R$6,AI$5,0,1,10),DATA!$R243:$AA243),"")</f>
        <v/>
      </c>
      <c r="AJ235" s="7" t="str">
        <f ca="1">IF(LEN(DATA!I243)&gt;0,SUMPRODUCT(OFFSET(DATA!$R$6,AJ$5,0,1,10),DATA!$R243:$AA243),"")</f>
        <v/>
      </c>
      <c r="AK235" s="7"/>
      <c r="AL235" s="7" t="e">
        <f t="shared" ca="1" si="81"/>
        <v>#DIV/0!</v>
      </c>
      <c r="AM235" s="7" t="e">
        <f t="shared" ca="1" si="82"/>
        <v>#DIV/0!</v>
      </c>
      <c r="AN235" s="7" t="e">
        <f t="shared" ca="1" si="83"/>
        <v>#DIV/0!</v>
      </c>
      <c r="AO235" s="7" t="e">
        <f t="shared" ca="1" si="84"/>
        <v>#DIV/0!</v>
      </c>
      <c r="AP235" s="7" t="e">
        <f t="shared" ca="1" si="85"/>
        <v>#DIV/0!</v>
      </c>
      <c r="AQ235" s="7" t="e">
        <f t="shared" ca="1" si="86"/>
        <v>#DIV/0!</v>
      </c>
      <c r="AS235">
        <f t="shared" si="87"/>
        <v>49</v>
      </c>
      <c r="AT235">
        <f t="shared" si="88"/>
        <v>2</v>
      </c>
      <c r="AU235">
        <f t="shared" ca="1" si="89"/>
        <v>1.1777447931603433</v>
      </c>
      <c r="AV235">
        <f t="shared" ca="1" si="90"/>
        <v>1.0608273483570978</v>
      </c>
      <c r="AW235">
        <f ca="1">IF(AND($AT235&lt;3,OFFSET(DATA!$C$14,$AS235,0)=AW$6),$AV235,dNULL)</f>
        <v>-99</v>
      </c>
      <c r="AX235">
        <f ca="1">IF(AND($AT235&lt;3,OFFSET(DATA!$C$14,$AS235,0)=AX$6),$AV235,dNULL)</f>
        <v>-99</v>
      </c>
      <c r="AY235">
        <f ca="1">IF(AND($AT235&lt;3,OFFSET(DATA!$C$14,$AS235,0)=AY$6),$AV235,dNULL)</f>
        <v>-99</v>
      </c>
      <c r="AZ235">
        <f ca="1">IF(AND($AT235&lt;3,OFFSET(DATA!$C$14,$AS235,0)=AZ$6),$AV235,dNULL)</f>
        <v>-99</v>
      </c>
      <c r="BA235">
        <f ca="1">IF(AND($AT235&lt;3,OFFSET(DATA!$C$14,$AS235,0)=BA$6),$AV235,dNULL)</f>
        <v>-99</v>
      </c>
      <c r="BB235">
        <f ca="1">IF(AND($AT235&lt;3,OFFSET(DATA!$C$14,$AS235,0)=BB$6),$AV235,dNULL)</f>
        <v>1.0608273483570978</v>
      </c>
      <c r="BC235">
        <f ca="1">IF(AND($AT235&lt;3,OFFSET(DATA!$C$14,$AS235,0)=BC$6),$AV235,dNULL)</f>
        <v>-99</v>
      </c>
      <c r="BD235">
        <f ca="1">IF(AND($AT235&lt;3,OFFSET(DATA!$C$14,$AS235,0)=BD$6),$AV235,dNULL)</f>
        <v>-99</v>
      </c>
      <c r="BE235">
        <f ca="1">IF(AND($AT235&lt;3,OFFSET(DATA!$C$14,$AS235,0)=BE$6),$AV235,dNULL)</f>
        <v>-99</v>
      </c>
      <c r="BF235">
        <f ca="1">IF(AND($AT235&lt;3,OFFSET(DATA!$C$14,$AS235,0)=BF$6),$AV235,dNULL)</f>
        <v>-99</v>
      </c>
      <c r="BG235">
        <f ca="1">IF(AND($AT235&lt;3,OFFSET(DATA!$C$14,$AS235,0)=BG$6),$AV235,dNULL)</f>
        <v>-99</v>
      </c>
      <c r="BH235">
        <f ca="1">IF(AND($AT235&lt;3,OFFSET(DATA!$C$14,$AS235,0)=BH$6),$AV235,dNULL)</f>
        <v>-99</v>
      </c>
    </row>
    <row r="236" spans="14:60" x14ac:dyDescent="0.25">
      <c r="N236">
        <f>N235-0.5</f>
        <v>-48.65</v>
      </c>
      <c r="O236">
        <f>O235+3^0.5/2</f>
        <v>-84.264271788225869</v>
      </c>
      <c r="Y236" s="26"/>
      <c r="Z236" s="26"/>
      <c r="AB236" s="26" t="str">
        <f t="shared" ca="1" si="80"/>
        <v/>
      </c>
      <c r="AC236">
        <f t="shared" ca="1" si="93"/>
        <v>90</v>
      </c>
      <c r="AD236" t="str">
        <f ca="1">IF(AND(AT236&lt;1,MAX(AW236:BH236)&gt;dNULL),DATA!$D244,"")</f>
        <v/>
      </c>
      <c r="AE236" s="7" t="str">
        <f ca="1">IF(LEN(DATA!D244)&gt;0,SUMPRODUCT(OFFSET(DATA!$R$6,AE$5,0,1,10),DATA!$R244:$AA244),"")</f>
        <v/>
      </c>
      <c r="AF236" s="7" t="str">
        <f ca="1">IF(LEN(DATA!E244)&gt;0,SUMPRODUCT(OFFSET(DATA!$R$6,AF$5,0,1,10),DATA!$R244:$AA244),"")</f>
        <v/>
      </c>
      <c r="AG236" s="7" t="str">
        <f ca="1">IF(LEN(DATA!F244)&gt;0,SUMPRODUCT(OFFSET(DATA!$R$6,AG$5,0,1,10),DATA!$R244:$AA244),"")</f>
        <v/>
      </c>
      <c r="AH236" s="7" t="str">
        <f ca="1">IF(LEN(DATA!G244)&gt;0,SUMPRODUCT(OFFSET(DATA!$R$6,AH$5,0,1,10),DATA!$R244:$AA244),"")</f>
        <v/>
      </c>
      <c r="AI236" s="7" t="str">
        <f ca="1">IF(LEN(DATA!H244)&gt;0,SUMPRODUCT(OFFSET(DATA!$R$6,AI$5,0,1,10),DATA!$R244:$AA244),"")</f>
        <v/>
      </c>
      <c r="AJ236" s="7" t="str">
        <f ca="1">IF(LEN(DATA!I244)&gt;0,SUMPRODUCT(OFFSET(DATA!$R$6,AJ$5,0,1,10),DATA!$R244:$AA244),"")</f>
        <v/>
      </c>
      <c r="AK236" s="7"/>
      <c r="AL236" s="7" t="e">
        <f t="shared" ca="1" si="81"/>
        <v>#DIV/0!</v>
      </c>
      <c r="AM236" s="7" t="e">
        <f t="shared" ca="1" si="82"/>
        <v>#DIV/0!</v>
      </c>
      <c r="AN236" s="7" t="e">
        <f t="shared" ca="1" si="83"/>
        <v>#DIV/0!</v>
      </c>
      <c r="AO236" s="7" t="e">
        <f t="shared" ca="1" si="84"/>
        <v>#DIV/0!</v>
      </c>
      <c r="AP236" s="7" t="e">
        <f t="shared" ca="1" si="85"/>
        <v>#DIV/0!</v>
      </c>
      <c r="AQ236" s="7" t="e">
        <f t="shared" ca="1" si="86"/>
        <v>#DIV/0!</v>
      </c>
      <c r="AS236">
        <f t="shared" si="87"/>
        <v>50</v>
      </c>
      <c r="AT236">
        <f t="shared" si="88"/>
        <v>2</v>
      </c>
      <c r="AU236">
        <f t="shared" ca="1" si="89"/>
        <v>1.2511987619769216</v>
      </c>
      <c r="AV236">
        <f t="shared" ca="1" si="90"/>
        <v>1.0338913213584933</v>
      </c>
      <c r="AW236">
        <f ca="1">IF(AND($AT236&lt;3,OFFSET(DATA!$C$14,$AS236,0)=AW$6),$AV236,dNULL)</f>
        <v>-99</v>
      </c>
      <c r="AX236">
        <f ca="1">IF(AND($AT236&lt;3,OFFSET(DATA!$C$14,$AS236,0)=AX$6),$AV236,dNULL)</f>
        <v>-99</v>
      </c>
      <c r="AY236">
        <f ca="1">IF(AND($AT236&lt;3,OFFSET(DATA!$C$14,$AS236,0)=AY$6),$AV236,dNULL)</f>
        <v>-99</v>
      </c>
      <c r="AZ236">
        <f ca="1">IF(AND($AT236&lt;3,OFFSET(DATA!$C$14,$AS236,0)=AZ$6),$AV236,dNULL)</f>
        <v>-99</v>
      </c>
      <c r="BA236">
        <f ca="1">IF(AND($AT236&lt;3,OFFSET(DATA!$C$14,$AS236,0)=BA$6),$AV236,dNULL)</f>
        <v>-99</v>
      </c>
      <c r="BB236">
        <f ca="1">IF(AND($AT236&lt;3,OFFSET(DATA!$C$14,$AS236,0)=BB$6),$AV236,dNULL)</f>
        <v>1.0338913213584933</v>
      </c>
      <c r="BC236">
        <f ca="1">IF(AND($AT236&lt;3,OFFSET(DATA!$C$14,$AS236,0)=BC$6),$AV236,dNULL)</f>
        <v>-99</v>
      </c>
      <c r="BD236">
        <f ca="1">IF(AND($AT236&lt;3,OFFSET(DATA!$C$14,$AS236,0)=BD$6),$AV236,dNULL)</f>
        <v>-99</v>
      </c>
      <c r="BE236">
        <f ca="1">IF(AND($AT236&lt;3,OFFSET(DATA!$C$14,$AS236,0)=BE$6),$AV236,dNULL)</f>
        <v>-99</v>
      </c>
      <c r="BF236">
        <f ca="1">IF(AND($AT236&lt;3,OFFSET(DATA!$C$14,$AS236,0)=BF$6),$AV236,dNULL)</f>
        <v>-99</v>
      </c>
      <c r="BG236">
        <f ca="1">IF(AND($AT236&lt;3,OFFSET(DATA!$C$14,$AS236,0)=BG$6),$AV236,dNULL)</f>
        <v>-99</v>
      </c>
      <c r="BH236">
        <f ca="1">IF(AND($AT236&lt;3,OFFSET(DATA!$C$14,$AS236,0)=BH$6),$AV236,dNULL)</f>
        <v>-99</v>
      </c>
    </row>
    <row r="237" spans="14:60" x14ac:dyDescent="0.25">
      <c r="Y237" s="26"/>
      <c r="Z237" s="26"/>
      <c r="AB237" s="26" t="str">
        <f t="shared" ca="1" si="80"/>
        <v/>
      </c>
      <c r="AC237">
        <f t="shared" ca="1" si="93"/>
        <v>90</v>
      </c>
      <c r="AD237" t="str">
        <f ca="1">IF(AND(AT237&lt;1,MAX(AW237:BH237)&gt;dNULL),DATA!$D245,"")</f>
        <v/>
      </c>
      <c r="AE237" s="7" t="str">
        <f ca="1">IF(LEN(DATA!D245)&gt;0,SUMPRODUCT(OFFSET(DATA!$R$6,AE$5,0,1,10),DATA!$R245:$AA245),"")</f>
        <v/>
      </c>
      <c r="AF237" s="7" t="str">
        <f ca="1">IF(LEN(DATA!E245)&gt;0,SUMPRODUCT(OFFSET(DATA!$R$6,AF$5,0,1,10),DATA!$R245:$AA245),"")</f>
        <v/>
      </c>
      <c r="AG237" s="7" t="str">
        <f ca="1">IF(LEN(DATA!F245)&gt;0,SUMPRODUCT(OFFSET(DATA!$R$6,AG$5,0,1,10),DATA!$R245:$AA245),"")</f>
        <v/>
      </c>
      <c r="AH237" s="7" t="str">
        <f ca="1">IF(LEN(DATA!G245)&gt;0,SUMPRODUCT(OFFSET(DATA!$R$6,AH$5,0,1,10),DATA!$R245:$AA245),"")</f>
        <v/>
      </c>
      <c r="AI237" s="7" t="str">
        <f ca="1">IF(LEN(DATA!H245)&gt;0,SUMPRODUCT(OFFSET(DATA!$R$6,AI$5,0,1,10),DATA!$R245:$AA245),"")</f>
        <v/>
      </c>
      <c r="AJ237" s="7" t="str">
        <f ca="1">IF(LEN(DATA!I245)&gt;0,SUMPRODUCT(OFFSET(DATA!$R$6,AJ$5,0,1,10),DATA!$R245:$AA245),"")</f>
        <v/>
      </c>
      <c r="AK237" s="7"/>
      <c r="AL237" s="7" t="e">
        <f t="shared" ca="1" si="81"/>
        <v>#DIV/0!</v>
      </c>
      <c r="AM237" s="7" t="e">
        <f t="shared" ca="1" si="82"/>
        <v>#DIV/0!</v>
      </c>
      <c r="AN237" s="7" t="e">
        <f t="shared" ca="1" si="83"/>
        <v>#DIV/0!</v>
      </c>
      <c r="AO237" s="7" t="e">
        <f t="shared" ca="1" si="84"/>
        <v>#DIV/0!</v>
      </c>
      <c r="AP237" s="7" t="e">
        <f t="shared" ca="1" si="85"/>
        <v>#DIV/0!</v>
      </c>
      <c r="AQ237" s="7" t="e">
        <f t="shared" ca="1" si="86"/>
        <v>#DIV/0!</v>
      </c>
      <c r="AS237">
        <f t="shared" si="87"/>
        <v>51</v>
      </c>
      <c r="AT237">
        <f t="shared" si="88"/>
        <v>2</v>
      </c>
      <c r="AU237">
        <f t="shared" ca="1" si="89"/>
        <v>1.1109746501061324</v>
      </c>
      <c r="AV237">
        <f t="shared" ca="1" si="90"/>
        <v>0.97862412007951827</v>
      </c>
      <c r="AW237">
        <f ca="1">IF(AND($AT237&lt;3,OFFSET(DATA!$C$14,$AS237,0)=AW$6),$AV237,dNULL)</f>
        <v>0.97862412007951827</v>
      </c>
      <c r="AX237">
        <f ca="1">IF(AND($AT237&lt;3,OFFSET(DATA!$C$14,$AS237,0)=AX$6),$AV237,dNULL)</f>
        <v>-99</v>
      </c>
      <c r="AY237">
        <f ca="1">IF(AND($AT237&lt;3,OFFSET(DATA!$C$14,$AS237,0)=AY$6),$AV237,dNULL)</f>
        <v>-99</v>
      </c>
      <c r="AZ237">
        <f ca="1">IF(AND($AT237&lt;3,OFFSET(DATA!$C$14,$AS237,0)=AZ$6),$AV237,dNULL)</f>
        <v>-99</v>
      </c>
      <c r="BA237">
        <f ca="1">IF(AND($AT237&lt;3,OFFSET(DATA!$C$14,$AS237,0)=BA$6),$AV237,dNULL)</f>
        <v>-99</v>
      </c>
      <c r="BB237">
        <f ca="1">IF(AND($AT237&lt;3,OFFSET(DATA!$C$14,$AS237,0)=BB$6),$AV237,dNULL)</f>
        <v>-99</v>
      </c>
      <c r="BC237">
        <f ca="1">IF(AND($AT237&lt;3,OFFSET(DATA!$C$14,$AS237,0)=BC$6),$AV237,dNULL)</f>
        <v>-99</v>
      </c>
      <c r="BD237">
        <f ca="1">IF(AND($AT237&lt;3,OFFSET(DATA!$C$14,$AS237,0)=BD$6),$AV237,dNULL)</f>
        <v>-99</v>
      </c>
      <c r="BE237">
        <f ca="1">IF(AND($AT237&lt;3,OFFSET(DATA!$C$14,$AS237,0)=BE$6),$AV237,dNULL)</f>
        <v>-99</v>
      </c>
      <c r="BF237">
        <f ca="1">IF(AND($AT237&lt;3,OFFSET(DATA!$C$14,$AS237,0)=BF$6),$AV237,dNULL)</f>
        <v>-99</v>
      </c>
      <c r="BG237">
        <f ca="1">IF(AND($AT237&lt;3,OFFSET(DATA!$C$14,$AS237,0)=BG$6),$AV237,dNULL)</f>
        <v>-99</v>
      </c>
      <c r="BH237">
        <f ca="1">IF(AND($AT237&lt;3,OFFSET(DATA!$C$14,$AS237,0)=BH$6),$AV237,dNULL)</f>
        <v>-99</v>
      </c>
    </row>
    <row r="238" spans="14:60" x14ac:dyDescent="0.25">
      <c r="N238">
        <f>N119-dAnionOFF/2</f>
        <v>-48.05</v>
      </c>
      <c r="O238">
        <f>O119+dAnionOFF*3^0.5*0.5</f>
        <v>-84.957092111253417</v>
      </c>
      <c r="Y238" s="26"/>
      <c r="Z238" s="26"/>
      <c r="AB238" s="26" t="str">
        <f t="shared" ca="1" si="80"/>
        <v/>
      </c>
      <c r="AC238">
        <f t="shared" ca="1" si="93"/>
        <v>90</v>
      </c>
      <c r="AD238" t="str">
        <f ca="1">IF(AND(AT238&lt;1,MAX(AW238:BH238)&gt;dNULL),DATA!$D246,"")</f>
        <v/>
      </c>
      <c r="AE238" s="7" t="str">
        <f ca="1">IF(LEN(DATA!D246)&gt;0,SUMPRODUCT(OFFSET(DATA!$R$6,AE$5,0,1,10),DATA!$R246:$AA246),"")</f>
        <v/>
      </c>
      <c r="AF238" s="7" t="str">
        <f ca="1">IF(LEN(DATA!E246)&gt;0,SUMPRODUCT(OFFSET(DATA!$R$6,AF$5,0,1,10),DATA!$R246:$AA246),"")</f>
        <v/>
      </c>
      <c r="AG238" s="7" t="str">
        <f ca="1">IF(LEN(DATA!F246)&gt;0,SUMPRODUCT(OFFSET(DATA!$R$6,AG$5,0,1,10),DATA!$R246:$AA246),"")</f>
        <v/>
      </c>
      <c r="AH238" s="7" t="str">
        <f ca="1">IF(LEN(DATA!G246)&gt;0,SUMPRODUCT(OFFSET(DATA!$R$6,AH$5,0,1,10),DATA!$R246:$AA246),"")</f>
        <v/>
      </c>
      <c r="AI238" s="7" t="str">
        <f ca="1">IF(LEN(DATA!H246)&gt;0,SUMPRODUCT(OFFSET(DATA!$R$6,AI$5,0,1,10),DATA!$R246:$AA246),"")</f>
        <v/>
      </c>
      <c r="AJ238" s="7" t="str">
        <f ca="1">IF(LEN(DATA!I246)&gt;0,SUMPRODUCT(OFFSET(DATA!$R$6,AJ$5,0,1,10),DATA!$R246:$AA246),"")</f>
        <v/>
      </c>
      <c r="AK238" s="7"/>
      <c r="AL238" s="7" t="e">
        <f t="shared" ca="1" si="81"/>
        <v>#DIV/0!</v>
      </c>
      <c r="AM238" s="7" t="e">
        <f t="shared" ca="1" si="82"/>
        <v>#DIV/0!</v>
      </c>
      <c r="AN238" s="7" t="e">
        <f t="shared" ca="1" si="83"/>
        <v>#DIV/0!</v>
      </c>
      <c r="AO238" s="7" t="e">
        <f t="shared" ca="1" si="84"/>
        <v>#DIV/0!</v>
      </c>
      <c r="AP238" s="7" t="e">
        <f t="shared" ca="1" si="85"/>
        <v>#DIV/0!</v>
      </c>
      <c r="AQ238" s="7" t="e">
        <f t="shared" ca="1" si="86"/>
        <v>#DIV/0!</v>
      </c>
      <c r="AS238">
        <f t="shared" si="87"/>
        <v>52</v>
      </c>
      <c r="AT238">
        <f t="shared" si="88"/>
        <v>2</v>
      </c>
      <c r="AU238">
        <f t="shared" ca="1" si="89"/>
        <v>1.3148180981578417</v>
      </c>
      <c r="AV238">
        <f t="shared" ca="1" si="90"/>
        <v>0.84476315247719569</v>
      </c>
      <c r="AW238">
        <f ca="1">IF(AND($AT238&lt;3,OFFSET(DATA!$C$14,$AS238,0)=AW$6),$AV238,dNULL)</f>
        <v>-99</v>
      </c>
      <c r="AX238">
        <f ca="1">IF(AND($AT238&lt;3,OFFSET(DATA!$C$14,$AS238,0)=AX$6),$AV238,dNULL)</f>
        <v>-99</v>
      </c>
      <c r="AY238">
        <f ca="1">IF(AND($AT238&lt;3,OFFSET(DATA!$C$14,$AS238,0)=AY$6),$AV238,dNULL)</f>
        <v>-99</v>
      </c>
      <c r="AZ238">
        <f ca="1">IF(AND($AT238&lt;3,OFFSET(DATA!$C$14,$AS238,0)=AZ$6),$AV238,dNULL)</f>
        <v>-99</v>
      </c>
      <c r="BA238">
        <f ca="1">IF(AND($AT238&lt;3,OFFSET(DATA!$C$14,$AS238,0)=BA$6),$AV238,dNULL)</f>
        <v>-99</v>
      </c>
      <c r="BB238">
        <f ca="1">IF(AND($AT238&lt;3,OFFSET(DATA!$C$14,$AS238,0)=BB$6),$AV238,dNULL)</f>
        <v>0.84476315247719569</v>
      </c>
      <c r="BC238">
        <f ca="1">IF(AND($AT238&lt;3,OFFSET(DATA!$C$14,$AS238,0)=BC$6),$AV238,dNULL)</f>
        <v>-99</v>
      </c>
      <c r="BD238">
        <f ca="1">IF(AND($AT238&lt;3,OFFSET(DATA!$C$14,$AS238,0)=BD$6),$AV238,dNULL)</f>
        <v>-99</v>
      </c>
      <c r="BE238">
        <f ca="1">IF(AND($AT238&lt;3,OFFSET(DATA!$C$14,$AS238,0)=BE$6),$AV238,dNULL)</f>
        <v>-99</v>
      </c>
      <c r="BF238">
        <f ca="1">IF(AND($AT238&lt;3,OFFSET(DATA!$C$14,$AS238,0)=BF$6),$AV238,dNULL)</f>
        <v>-99</v>
      </c>
      <c r="BG238">
        <f ca="1">IF(AND($AT238&lt;3,OFFSET(DATA!$C$14,$AS238,0)=BG$6),$AV238,dNULL)</f>
        <v>-99</v>
      </c>
      <c r="BH238">
        <f ca="1">IF(AND($AT238&lt;3,OFFSET(DATA!$C$14,$AS238,0)=BH$6),$AV238,dNULL)</f>
        <v>-99</v>
      </c>
    </row>
    <row r="239" spans="14:60" x14ac:dyDescent="0.25">
      <c r="N239">
        <f>N238-0.5</f>
        <v>-48.55</v>
      </c>
      <c r="O239">
        <f>O238+3^0.5/2</f>
        <v>-84.091066707468983</v>
      </c>
      <c r="Y239" s="26"/>
      <c r="Z239" s="26"/>
      <c r="AB239" s="26" t="str">
        <f t="shared" ca="1" si="80"/>
        <v/>
      </c>
      <c r="AC239">
        <f t="shared" ca="1" si="93"/>
        <v>90</v>
      </c>
      <c r="AD239" t="str">
        <f ca="1">IF(AND(AT239&lt;1,MAX(AW239:BH239)&gt;dNULL),DATA!$D247,"")</f>
        <v/>
      </c>
      <c r="AE239" s="7" t="str">
        <f ca="1">IF(LEN(DATA!D247)&gt;0,SUMPRODUCT(OFFSET(DATA!$R$6,AE$5,0,1,10),DATA!$R247:$AA247),"")</f>
        <v/>
      </c>
      <c r="AF239" s="7" t="str">
        <f ca="1">IF(LEN(DATA!E247)&gt;0,SUMPRODUCT(OFFSET(DATA!$R$6,AF$5,0,1,10),DATA!$R247:$AA247),"")</f>
        <v/>
      </c>
      <c r="AG239" s="7" t="str">
        <f ca="1">IF(LEN(DATA!F247)&gt;0,SUMPRODUCT(OFFSET(DATA!$R$6,AG$5,0,1,10),DATA!$R247:$AA247),"")</f>
        <v/>
      </c>
      <c r="AH239" s="7" t="str">
        <f ca="1">IF(LEN(DATA!G247)&gt;0,SUMPRODUCT(OFFSET(DATA!$R$6,AH$5,0,1,10),DATA!$R247:$AA247),"")</f>
        <v/>
      </c>
      <c r="AI239" s="7" t="str">
        <f ca="1">IF(LEN(DATA!H247)&gt;0,SUMPRODUCT(OFFSET(DATA!$R$6,AI$5,0,1,10),DATA!$R247:$AA247),"")</f>
        <v/>
      </c>
      <c r="AJ239" s="7" t="str">
        <f ca="1">IF(LEN(DATA!I247)&gt;0,SUMPRODUCT(OFFSET(DATA!$R$6,AJ$5,0,1,10),DATA!$R247:$AA247),"")</f>
        <v/>
      </c>
      <c r="AK239" s="7"/>
      <c r="AL239" s="7" t="e">
        <f t="shared" ca="1" si="81"/>
        <v>#DIV/0!</v>
      </c>
      <c r="AM239" s="7" t="e">
        <f t="shared" ca="1" si="82"/>
        <v>#DIV/0!</v>
      </c>
      <c r="AN239" s="7" t="e">
        <f t="shared" ca="1" si="83"/>
        <v>#DIV/0!</v>
      </c>
      <c r="AO239" s="7" t="e">
        <f t="shared" ca="1" si="84"/>
        <v>#DIV/0!</v>
      </c>
      <c r="AP239" s="7" t="e">
        <f t="shared" ca="1" si="85"/>
        <v>#DIV/0!</v>
      </c>
      <c r="AQ239" s="7" t="e">
        <f t="shared" ca="1" si="86"/>
        <v>#DIV/0!</v>
      </c>
      <c r="AS239">
        <f t="shared" si="87"/>
        <v>53</v>
      </c>
      <c r="AT239">
        <f t="shared" si="88"/>
        <v>2</v>
      </c>
      <c r="AU239">
        <f t="shared" ca="1" si="89"/>
        <v>0.68106907279326356</v>
      </c>
      <c r="AV239">
        <f t="shared" ca="1" si="90"/>
        <v>1.1510747452458581</v>
      </c>
      <c r="AW239">
        <f ca="1">IF(AND($AT239&lt;3,OFFSET(DATA!$C$14,$AS239,0)=AW$6),$AV239,dNULL)</f>
        <v>-99</v>
      </c>
      <c r="AX239">
        <f ca="1">IF(AND($AT239&lt;3,OFFSET(DATA!$C$14,$AS239,0)=AX$6),$AV239,dNULL)</f>
        <v>1.1510747452458581</v>
      </c>
      <c r="AY239">
        <f ca="1">IF(AND($AT239&lt;3,OFFSET(DATA!$C$14,$AS239,0)=AY$6),$AV239,dNULL)</f>
        <v>-99</v>
      </c>
      <c r="AZ239">
        <f ca="1">IF(AND($AT239&lt;3,OFFSET(DATA!$C$14,$AS239,0)=AZ$6),$AV239,dNULL)</f>
        <v>-99</v>
      </c>
      <c r="BA239">
        <f ca="1">IF(AND($AT239&lt;3,OFFSET(DATA!$C$14,$AS239,0)=BA$6),$AV239,dNULL)</f>
        <v>-99</v>
      </c>
      <c r="BB239">
        <f ca="1">IF(AND($AT239&lt;3,OFFSET(DATA!$C$14,$AS239,0)=BB$6),$AV239,dNULL)</f>
        <v>-99</v>
      </c>
      <c r="BC239">
        <f ca="1">IF(AND($AT239&lt;3,OFFSET(DATA!$C$14,$AS239,0)=BC$6),$AV239,dNULL)</f>
        <v>-99</v>
      </c>
      <c r="BD239">
        <f ca="1">IF(AND($AT239&lt;3,OFFSET(DATA!$C$14,$AS239,0)=BD$6),$AV239,dNULL)</f>
        <v>-99</v>
      </c>
      <c r="BE239">
        <f ca="1">IF(AND($AT239&lt;3,OFFSET(DATA!$C$14,$AS239,0)=BE$6),$AV239,dNULL)</f>
        <v>-99</v>
      </c>
      <c r="BF239">
        <f ca="1">IF(AND($AT239&lt;3,OFFSET(DATA!$C$14,$AS239,0)=BF$6),$AV239,dNULL)</f>
        <v>-99</v>
      </c>
      <c r="BG239">
        <f ca="1">IF(AND($AT239&lt;3,OFFSET(DATA!$C$14,$AS239,0)=BG$6),$AV239,dNULL)</f>
        <v>-99</v>
      </c>
      <c r="BH239">
        <f ca="1">IF(AND($AT239&lt;3,OFFSET(DATA!$C$14,$AS239,0)=BH$6),$AV239,dNULL)</f>
        <v>-99</v>
      </c>
    </row>
    <row r="240" spans="14:60" x14ac:dyDescent="0.25">
      <c r="Y240" s="26"/>
      <c r="Z240" s="26"/>
      <c r="AB240" s="26" t="str">
        <f t="shared" ca="1" si="80"/>
        <v/>
      </c>
      <c r="AC240">
        <f t="shared" ca="1" si="93"/>
        <v>90</v>
      </c>
      <c r="AD240" t="str">
        <f ca="1">IF(AND(AT240&lt;1,MAX(AW240:BH240)&gt;dNULL),DATA!$D248,"")</f>
        <v/>
      </c>
      <c r="AE240" s="7" t="str">
        <f ca="1">IF(LEN(DATA!D248)&gt;0,SUMPRODUCT(OFFSET(DATA!$R$6,AE$5,0,1,10),DATA!$R248:$AA248),"")</f>
        <v/>
      </c>
      <c r="AF240" s="7" t="str">
        <f ca="1">IF(LEN(DATA!E248)&gt;0,SUMPRODUCT(OFFSET(DATA!$R$6,AF$5,0,1,10),DATA!$R248:$AA248),"")</f>
        <v/>
      </c>
      <c r="AG240" s="7" t="str">
        <f ca="1">IF(LEN(DATA!F248)&gt;0,SUMPRODUCT(OFFSET(DATA!$R$6,AG$5,0,1,10),DATA!$R248:$AA248),"")</f>
        <v/>
      </c>
      <c r="AH240" s="7" t="str">
        <f ca="1">IF(LEN(DATA!G248)&gt;0,SUMPRODUCT(OFFSET(DATA!$R$6,AH$5,0,1,10),DATA!$R248:$AA248),"")</f>
        <v/>
      </c>
      <c r="AI240" s="7" t="str">
        <f ca="1">IF(LEN(DATA!H248)&gt;0,SUMPRODUCT(OFFSET(DATA!$R$6,AI$5,0,1,10),DATA!$R248:$AA248),"")</f>
        <v/>
      </c>
      <c r="AJ240" s="7" t="str">
        <f ca="1">IF(LEN(DATA!I248)&gt;0,SUMPRODUCT(OFFSET(DATA!$R$6,AJ$5,0,1,10),DATA!$R248:$AA248),"")</f>
        <v/>
      </c>
      <c r="AK240" s="7"/>
      <c r="AL240" s="7" t="e">
        <f t="shared" ca="1" si="81"/>
        <v>#DIV/0!</v>
      </c>
      <c r="AM240" s="7" t="e">
        <f t="shared" ca="1" si="82"/>
        <v>#DIV/0!</v>
      </c>
      <c r="AN240" s="7" t="e">
        <f t="shared" ca="1" si="83"/>
        <v>#DIV/0!</v>
      </c>
      <c r="AO240" s="7" t="e">
        <f t="shared" ca="1" si="84"/>
        <v>#DIV/0!</v>
      </c>
      <c r="AP240" s="7" t="e">
        <f t="shared" ca="1" si="85"/>
        <v>#DIV/0!</v>
      </c>
      <c r="AQ240" s="7" t="e">
        <f t="shared" ca="1" si="86"/>
        <v>#DIV/0!</v>
      </c>
      <c r="AS240">
        <f t="shared" si="87"/>
        <v>54</v>
      </c>
      <c r="AT240">
        <f t="shared" si="88"/>
        <v>2</v>
      </c>
      <c r="AU240">
        <f t="shared" ca="1" si="89"/>
        <v>1.0484128519826659</v>
      </c>
      <c r="AV240">
        <f t="shared" ca="1" si="90"/>
        <v>1.0181266330549343</v>
      </c>
      <c r="AW240">
        <f ca="1">IF(AND($AT240&lt;3,OFFSET(DATA!$C$14,$AS240,0)=AW$6),$AV240,dNULL)</f>
        <v>1.0181266330549343</v>
      </c>
      <c r="AX240">
        <f ca="1">IF(AND($AT240&lt;3,OFFSET(DATA!$C$14,$AS240,0)=AX$6),$AV240,dNULL)</f>
        <v>-99</v>
      </c>
      <c r="AY240">
        <f ca="1">IF(AND($AT240&lt;3,OFFSET(DATA!$C$14,$AS240,0)=AY$6),$AV240,dNULL)</f>
        <v>-99</v>
      </c>
      <c r="AZ240">
        <f ca="1">IF(AND($AT240&lt;3,OFFSET(DATA!$C$14,$AS240,0)=AZ$6),$AV240,dNULL)</f>
        <v>-99</v>
      </c>
      <c r="BA240">
        <f ca="1">IF(AND($AT240&lt;3,OFFSET(DATA!$C$14,$AS240,0)=BA$6),$AV240,dNULL)</f>
        <v>-99</v>
      </c>
      <c r="BB240">
        <f ca="1">IF(AND($AT240&lt;3,OFFSET(DATA!$C$14,$AS240,0)=BB$6),$AV240,dNULL)</f>
        <v>-99</v>
      </c>
      <c r="BC240">
        <f ca="1">IF(AND($AT240&lt;3,OFFSET(DATA!$C$14,$AS240,0)=BC$6),$AV240,dNULL)</f>
        <v>-99</v>
      </c>
      <c r="BD240">
        <f ca="1">IF(AND($AT240&lt;3,OFFSET(DATA!$C$14,$AS240,0)=BD$6),$AV240,dNULL)</f>
        <v>-99</v>
      </c>
      <c r="BE240">
        <f ca="1">IF(AND($AT240&lt;3,OFFSET(DATA!$C$14,$AS240,0)=BE$6),$AV240,dNULL)</f>
        <v>-99</v>
      </c>
      <c r="BF240">
        <f ca="1">IF(AND($AT240&lt;3,OFFSET(DATA!$C$14,$AS240,0)=BF$6),$AV240,dNULL)</f>
        <v>-99</v>
      </c>
      <c r="BG240">
        <f ca="1">IF(AND($AT240&lt;3,OFFSET(DATA!$C$14,$AS240,0)=BG$6),$AV240,dNULL)</f>
        <v>-99</v>
      </c>
      <c r="BH240">
        <f ca="1">IF(AND($AT240&lt;3,OFFSET(DATA!$C$14,$AS240,0)=BH$6),$AV240,dNULL)</f>
        <v>-99</v>
      </c>
    </row>
    <row r="241" spans="14:60" x14ac:dyDescent="0.25">
      <c r="N241">
        <f>N122-dAnionOFF/2</f>
        <v>-47.949999999999996</v>
      </c>
      <c r="O241">
        <f>O122+dAnionOFF*3^0.5*0.5</f>
        <v>-84.78388703049653</v>
      </c>
      <c r="Y241" s="26"/>
      <c r="Z241" s="26"/>
      <c r="AB241" s="26" t="str">
        <f t="shared" ca="1" si="80"/>
        <v/>
      </c>
      <c r="AC241">
        <f t="shared" ca="1" si="93"/>
        <v>90</v>
      </c>
      <c r="AD241" t="str">
        <f ca="1">IF(AND(AT241&lt;1,MAX(AW241:BH241)&gt;dNULL),DATA!$D249,"")</f>
        <v/>
      </c>
      <c r="AE241" s="7" t="str">
        <f ca="1">IF(LEN(DATA!D249)&gt;0,SUMPRODUCT(OFFSET(DATA!$R$6,AE$5,0,1,10),DATA!$R249:$AA249),"")</f>
        <v/>
      </c>
      <c r="AF241" s="7" t="str">
        <f ca="1">IF(LEN(DATA!E249)&gt;0,SUMPRODUCT(OFFSET(DATA!$R$6,AF$5,0,1,10),DATA!$R249:$AA249),"")</f>
        <v/>
      </c>
      <c r="AG241" s="7" t="str">
        <f ca="1">IF(LEN(DATA!F249)&gt;0,SUMPRODUCT(OFFSET(DATA!$R$6,AG$5,0,1,10),DATA!$R249:$AA249),"")</f>
        <v/>
      </c>
      <c r="AH241" s="7" t="str">
        <f ca="1">IF(LEN(DATA!G249)&gt;0,SUMPRODUCT(OFFSET(DATA!$R$6,AH$5,0,1,10),DATA!$R249:$AA249),"")</f>
        <v/>
      </c>
      <c r="AI241" s="7" t="str">
        <f ca="1">IF(LEN(DATA!H249)&gt;0,SUMPRODUCT(OFFSET(DATA!$R$6,AI$5,0,1,10),DATA!$R249:$AA249),"")</f>
        <v/>
      </c>
      <c r="AJ241" s="7" t="str">
        <f ca="1">IF(LEN(DATA!I249)&gt;0,SUMPRODUCT(OFFSET(DATA!$R$6,AJ$5,0,1,10),DATA!$R249:$AA249),"")</f>
        <v/>
      </c>
      <c r="AK241" s="7"/>
      <c r="AL241" s="7" t="e">
        <f t="shared" ca="1" si="81"/>
        <v>#DIV/0!</v>
      </c>
      <c r="AM241" s="7" t="e">
        <f t="shared" ca="1" si="82"/>
        <v>#DIV/0!</v>
      </c>
      <c r="AN241" s="7" t="e">
        <f t="shared" ca="1" si="83"/>
        <v>#DIV/0!</v>
      </c>
      <c r="AO241" s="7" t="e">
        <f t="shared" ca="1" si="84"/>
        <v>#DIV/0!</v>
      </c>
      <c r="AP241" s="7" t="e">
        <f t="shared" ca="1" si="85"/>
        <v>#DIV/0!</v>
      </c>
      <c r="AQ241" s="7" t="e">
        <f t="shared" ca="1" si="86"/>
        <v>#DIV/0!</v>
      </c>
      <c r="AS241">
        <f t="shared" si="87"/>
        <v>55</v>
      </c>
      <c r="AT241">
        <f t="shared" si="88"/>
        <v>2</v>
      </c>
      <c r="AU241">
        <f t="shared" ca="1" si="89"/>
        <v>1.3101019793819193</v>
      </c>
      <c r="AV241">
        <f t="shared" ca="1" si="90"/>
        <v>0.55764739172349087</v>
      </c>
      <c r="AW241">
        <f ca="1">IF(AND($AT241&lt;3,OFFSET(DATA!$C$14,$AS241,0)=AW$6),$AV241,dNULL)</f>
        <v>-99</v>
      </c>
      <c r="AX241">
        <f ca="1">IF(AND($AT241&lt;3,OFFSET(DATA!$C$14,$AS241,0)=AX$6),$AV241,dNULL)</f>
        <v>-99</v>
      </c>
      <c r="AY241">
        <f ca="1">IF(AND($AT241&lt;3,OFFSET(DATA!$C$14,$AS241,0)=AY$6),$AV241,dNULL)</f>
        <v>-99</v>
      </c>
      <c r="AZ241">
        <f ca="1">IF(AND($AT241&lt;3,OFFSET(DATA!$C$14,$AS241,0)=AZ$6),$AV241,dNULL)</f>
        <v>-99</v>
      </c>
      <c r="BA241">
        <f ca="1">IF(AND($AT241&lt;3,OFFSET(DATA!$C$14,$AS241,0)=BA$6),$AV241,dNULL)</f>
        <v>-99</v>
      </c>
      <c r="BB241">
        <f ca="1">IF(AND($AT241&lt;3,OFFSET(DATA!$C$14,$AS241,0)=BB$6),$AV241,dNULL)</f>
        <v>0.55764739172349087</v>
      </c>
      <c r="BC241">
        <f ca="1">IF(AND($AT241&lt;3,OFFSET(DATA!$C$14,$AS241,0)=BC$6),$AV241,dNULL)</f>
        <v>-99</v>
      </c>
      <c r="BD241">
        <f ca="1">IF(AND($AT241&lt;3,OFFSET(DATA!$C$14,$AS241,0)=BD$6),$AV241,dNULL)</f>
        <v>-99</v>
      </c>
      <c r="BE241">
        <f ca="1">IF(AND($AT241&lt;3,OFFSET(DATA!$C$14,$AS241,0)=BE$6),$AV241,dNULL)</f>
        <v>-99</v>
      </c>
      <c r="BF241">
        <f ca="1">IF(AND($AT241&lt;3,OFFSET(DATA!$C$14,$AS241,0)=BF$6),$AV241,dNULL)</f>
        <v>-99</v>
      </c>
      <c r="BG241">
        <f ca="1">IF(AND($AT241&lt;3,OFFSET(DATA!$C$14,$AS241,0)=BG$6),$AV241,dNULL)</f>
        <v>-99</v>
      </c>
      <c r="BH241">
        <f ca="1">IF(AND($AT241&lt;3,OFFSET(DATA!$C$14,$AS241,0)=BH$6),$AV241,dNULL)</f>
        <v>-99</v>
      </c>
    </row>
    <row r="242" spans="14:60" x14ac:dyDescent="0.25">
      <c r="N242">
        <f>N241-0.5</f>
        <v>-48.449999999999996</v>
      </c>
      <c r="O242">
        <f>O241+3^0.5/2</f>
        <v>-83.917861626712096</v>
      </c>
      <c r="Y242" s="26"/>
      <c r="Z242" s="26"/>
      <c r="AB242" s="26" t="str">
        <f t="shared" ca="1" si="80"/>
        <v/>
      </c>
      <c r="AC242">
        <f t="shared" ca="1" si="93"/>
        <v>90</v>
      </c>
      <c r="AD242" t="str">
        <f ca="1">IF(AND(AT242&lt;1,MAX(AW242:BH242)&gt;dNULL),DATA!$D250,"")</f>
        <v/>
      </c>
      <c r="AE242" s="7" t="str">
        <f ca="1">IF(LEN(DATA!D250)&gt;0,SUMPRODUCT(OFFSET(DATA!$R$6,AE$5,0,1,10),DATA!$R250:$AA250),"")</f>
        <v/>
      </c>
      <c r="AF242" s="7" t="str">
        <f ca="1">IF(LEN(DATA!E250)&gt;0,SUMPRODUCT(OFFSET(DATA!$R$6,AF$5,0,1,10),DATA!$R250:$AA250),"")</f>
        <v/>
      </c>
      <c r="AG242" s="7" t="str">
        <f ca="1">IF(LEN(DATA!F250)&gt;0,SUMPRODUCT(OFFSET(DATA!$R$6,AG$5,0,1,10),DATA!$R250:$AA250),"")</f>
        <v/>
      </c>
      <c r="AH242" s="7" t="str">
        <f ca="1">IF(LEN(DATA!G250)&gt;0,SUMPRODUCT(OFFSET(DATA!$R$6,AH$5,0,1,10),DATA!$R250:$AA250),"")</f>
        <v/>
      </c>
      <c r="AI242" s="7" t="str">
        <f ca="1">IF(LEN(DATA!H250)&gt;0,SUMPRODUCT(OFFSET(DATA!$R$6,AI$5,0,1,10),DATA!$R250:$AA250),"")</f>
        <v/>
      </c>
      <c r="AJ242" s="7" t="str">
        <f ca="1">IF(LEN(DATA!I250)&gt;0,SUMPRODUCT(OFFSET(DATA!$R$6,AJ$5,0,1,10),DATA!$R250:$AA250),"")</f>
        <v/>
      </c>
      <c r="AK242" s="7"/>
      <c r="AL242" s="7" t="e">
        <f t="shared" ca="1" si="81"/>
        <v>#DIV/0!</v>
      </c>
      <c r="AM242" s="7" t="e">
        <f t="shared" ca="1" si="82"/>
        <v>#DIV/0!</v>
      </c>
      <c r="AN242" s="7" t="e">
        <f t="shared" ca="1" si="83"/>
        <v>#DIV/0!</v>
      </c>
      <c r="AO242" s="7" t="e">
        <f t="shared" ca="1" si="84"/>
        <v>#DIV/0!</v>
      </c>
      <c r="AP242" s="7" t="e">
        <f t="shared" ca="1" si="85"/>
        <v>#DIV/0!</v>
      </c>
      <c r="AQ242" s="7" t="e">
        <f t="shared" ca="1" si="86"/>
        <v>#DIV/0!</v>
      </c>
      <c r="AS242">
        <f t="shared" si="87"/>
        <v>56</v>
      </c>
      <c r="AT242">
        <f t="shared" si="88"/>
        <v>2</v>
      </c>
      <c r="AU242">
        <f t="shared" ca="1" si="89"/>
        <v>1.0312493625565056</v>
      </c>
      <c r="AV242">
        <f t="shared" ca="1" si="90"/>
        <v>1.0451173377510099</v>
      </c>
      <c r="AW242">
        <f ca="1">IF(AND($AT242&lt;3,OFFSET(DATA!$C$14,$AS242,0)=AW$6),$AV242,dNULL)</f>
        <v>1.0451173377510099</v>
      </c>
      <c r="AX242">
        <f ca="1">IF(AND($AT242&lt;3,OFFSET(DATA!$C$14,$AS242,0)=AX$6),$AV242,dNULL)</f>
        <v>-99</v>
      </c>
      <c r="AY242">
        <f ca="1">IF(AND($AT242&lt;3,OFFSET(DATA!$C$14,$AS242,0)=AY$6),$AV242,dNULL)</f>
        <v>-99</v>
      </c>
      <c r="AZ242">
        <f ca="1">IF(AND($AT242&lt;3,OFFSET(DATA!$C$14,$AS242,0)=AZ$6),$AV242,dNULL)</f>
        <v>-99</v>
      </c>
      <c r="BA242">
        <f ca="1">IF(AND($AT242&lt;3,OFFSET(DATA!$C$14,$AS242,0)=BA$6),$AV242,dNULL)</f>
        <v>-99</v>
      </c>
      <c r="BB242">
        <f ca="1">IF(AND($AT242&lt;3,OFFSET(DATA!$C$14,$AS242,0)=BB$6),$AV242,dNULL)</f>
        <v>-99</v>
      </c>
      <c r="BC242">
        <f ca="1">IF(AND($AT242&lt;3,OFFSET(DATA!$C$14,$AS242,0)=BC$6),$AV242,dNULL)</f>
        <v>-99</v>
      </c>
      <c r="BD242">
        <f ca="1">IF(AND($AT242&lt;3,OFFSET(DATA!$C$14,$AS242,0)=BD$6),$AV242,dNULL)</f>
        <v>-99</v>
      </c>
      <c r="BE242">
        <f ca="1">IF(AND($AT242&lt;3,OFFSET(DATA!$C$14,$AS242,0)=BE$6),$AV242,dNULL)</f>
        <v>-99</v>
      </c>
      <c r="BF242">
        <f ca="1">IF(AND($AT242&lt;3,OFFSET(DATA!$C$14,$AS242,0)=BF$6),$AV242,dNULL)</f>
        <v>-99</v>
      </c>
      <c r="BG242">
        <f ca="1">IF(AND($AT242&lt;3,OFFSET(DATA!$C$14,$AS242,0)=BG$6),$AV242,dNULL)</f>
        <v>-99</v>
      </c>
      <c r="BH242">
        <f ca="1">IF(AND($AT242&lt;3,OFFSET(DATA!$C$14,$AS242,0)=BH$6),$AV242,dNULL)</f>
        <v>-99</v>
      </c>
    </row>
    <row r="243" spans="14:60" x14ac:dyDescent="0.25">
      <c r="Y243" s="26"/>
      <c r="Z243" s="26"/>
      <c r="AB243" s="26" t="str">
        <f t="shared" ca="1" si="80"/>
        <v/>
      </c>
      <c r="AC243">
        <f t="shared" ca="1" si="93"/>
        <v>90</v>
      </c>
      <c r="AD243" t="str">
        <f ca="1">IF(AND(AT243&lt;1,MAX(AW243:BH243)&gt;dNULL),DATA!$D251,"")</f>
        <v/>
      </c>
      <c r="AE243" s="7" t="str">
        <f ca="1">IF(LEN(DATA!D251)&gt;0,SUMPRODUCT(OFFSET(DATA!$R$6,AE$5,0,1,10),DATA!$R251:$AA251),"")</f>
        <v/>
      </c>
      <c r="AF243" s="7" t="str">
        <f ca="1">IF(LEN(DATA!E251)&gt;0,SUMPRODUCT(OFFSET(DATA!$R$6,AF$5,0,1,10),DATA!$R251:$AA251),"")</f>
        <v/>
      </c>
      <c r="AG243" s="7" t="str">
        <f ca="1">IF(LEN(DATA!F251)&gt;0,SUMPRODUCT(OFFSET(DATA!$R$6,AG$5,0,1,10),DATA!$R251:$AA251),"")</f>
        <v/>
      </c>
      <c r="AH243" s="7" t="str">
        <f ca="1">IF(LEN(DATA!G251)&gt;0,SUMPRODUCT(OFFSET(DATA!$R$6,AH$5,0,1,10),DATA!$R251:$AA251),"")</f>
        <v/>
      </c>
      <c r="AI243" s="7" t="str">
        <f ca="1">IF(LEN(DATA!H251)&gt;0,SUMPRODUCT(OFFSET(DATA!$R$6,AI$5,0,1,10),DATA!$R251:$AA251),"")</f>
        <v/>
      </c>
      <c r="AJ243" s="7" t="str">
        <f ca="1">IF(LEN(DATA!I251)&gt;0,SUMPRODUCT(OFFSET(DATA!$R$6,AJ$5,0,1,10),DATA!$R251:$AA251),"")</f>
        <v/>
      </c>
      <c r="AK243" s="7"/>
      <c r="AL243" s="7" t="e">
        <f t="shared" ca="1" si="81"/>
        <v>#DIV/0!</v>
      </c>
      <c r="AM243" s="7" t="e">
        <f t="shared" ca="1" si="82"/>
        <v>#DIV/0!</v>
      </c>
      <c r="AN243" s="7" t="e">
        <f t="shared" ca="1" si="83"/>
        <v>#DIV/0!</v>
      </c>
      <c r="AO243" s="7" t="e">
        <f t="shared" ca="1" si="84"/>
        <v>#DIV/0!</v>
      </c>
      <c r="AP243" s="7" t="e">
        <f t="shared" ca="1" si="85"/>
        <v>#DIV/0!</v>
      </c>
      <c r="AQ243" s="7" t="e">
        <f t="shared" ca="1" si="86"/>
        <v>#DIV/0!</v>
      </c>
      <c r="AS243">
        <f t="shared" si="87"/>
        <v>57</v>
      </c>
      <c r="AT243">
        <f t="shared" si="88"/>
        <v>2</v>
      </c>
      <c r="AU243">
        <f t="shared" ca="1" si="89"/>
        <v>1.0321567401538876</v>
      </c>
      <c r="AV243">
        <f t="shared" ca="1" si="90"/>
        <v>1.0087153018623758</v>
      </c>
      <c r="AW243">
        <f ca="1">IF(AND($AT243&lt;3,OFFSET(DATA!$C$14,$AS243,0)=AW$6),$AV243,dNULL)</f>
        <v>1.0087153018623758</v>
      </c>
      <c r="AX243">
        <f ca="1">IF(AND($AT243&lt;3,OFFSET(DATA!$C$14,$AS243,0)=AX$6),$AV243,dNULL)</f>
        <v>-99</v>
      </c>
      <c r="AY243">
        <f ca="1">IF(AND($AT243&lt;3,OFFSET(DATA!$C$14,$AS243,0)=AY$6),$AV243,dNULL)</f>
        <v>-99</v>
      </c>
      <c r="AZ243">
        <f ca="1">IF(AND($AT243&lt;3,OFFSET(DATA!$C$14,$AS243,0)=AZ$6),$AV243,dNULL)</f>
        <v>-99</v>
      </c>
      <c r="BA243">
        <f ca="1">IF(AND($AT243&lt;3,OFFSET(DATA!$C$14,$AS243,0)=BA$6),$AV243,dNULL)</f>
        <v>-99</v>
      </c>
      <c r="BB243">
        <f ca="1">IF(AND($AT243&lt;3,OFFSET(DATA!$C$14,$AS243,0)=BB$6),$AV243,dNULL)</f>
        <v>-99</v>
      </c>
      <c r="BC243">
        <f ca="1">IF(AND($AT243&lt;3,OFFSET(DATA!$C$14,$AS243,0)=BC$6),$AV243,dNULL)</f>
        <v>-99</v>
      </c>
      <c r="BD243">
        <f ca="1">IF(AND($AT243&lt;3,OFFSET(DATA!$C$14,$AS243,0)=BD$6),$AV243,dNULL)</f>
        <v>-99</v>
      </c>
      <c r="BE243">
        <f ca="1">IF(AND($AT243&lt;3,OFFSET(DATA!$C$14,$AS243,0)=BE$6),$AV243,dNULL)</f>
        <v>-99</v>
      </c>
      <c r="BF243">
        <f ca="1">IF(AND($AT243&lt;3,OFFSET(DATA!$C$14,$AS243,0)=BF$6),$AV243,dNULL)</f>
        <v>-99</v>
      </c>
      <c r="BG243">
        <f ca="1">IF(AND($AT243&lt;3,OFFSET(DATA!$C$14,$AS243,0)=BG$6),$AV243,dNULL)</f>
        <v>-99</v>
      </c>
      <c r="BH243">
        <f ca="1">IF(AND($AT243&lt;3,OFFSET(DATA!$C$14,$AS243,0)=BH$6),$AV243,dNULL)</f>
        <v>-99</v>
      </c>
    </row>
    <row r="244" spans="14:60" x14ac:dyDescent="0.25">
      <c r="N244">
        <f>N125-dAnionOFF/2</f>
        <v>-47.849999999999994</v>
      </c>
      <c r="O244">
        <f>O125+dAnionOFF*3^0.5*0.5</f>
        <v>-84.610681949739629</v>
      </c>
      <c r="Y244" s="26"/>
      <c r="Z244" s="26"/>
      <c r="AB244" s="26" t="str">
        <f t="shared" ca="1" si="80"/>
        <v/>
      </c>
      <c r="AC244">
        <f t="shared" ca="1" si="93"/>
        <v>90</v>
      </c>
      <c r="AD244" t="str">
        <f ca="1">IF(AND(AT244&lt;1,MAX(AW244:BH244)&gt;dNULL),DATA!$D252,"")</f>
        <v/>
      </c>
      <c r="AE244" s="7" t="str">
        <f ca="1">IF(LEN(DATA!D252)&gt;0,SUMPRODUCT(OFFSET(DATA!$R$6,AE$5,0,1,10),DATA!$R252:$AA252),"")</f>
        <v/>
      </c>
      <c r="AF244" s="7" t="str">
        <f ca="1">IF(LEN(DATA!E252)&gt;0,SUMPRODUCT(OFFSET(DATA!$R$6,AF$5,0,1,10),DATA!$R252:$AA252),"")</f>
        <v/>
      </c>
      <c r="AG244" s="7" t="str">
        <f ca="1">IF(LEN(DATA!F252)&gt;0,SUMPRODUCT(OFFSET(DATA!$R$6,AG$5,0,1,10),DATA!$R252:$AA252),"")</f>
        <v/>
      </c>
      <c r="AH244" s="7" t="str">
        <f ca="1">IF(LEN(DATA!G252)&gt;0,SUMPRODUCT(OFFSET(DATA!$R$6,AH$5,0,1,10),DATA!$R252:$AA252),"")</f>
        <v/>
      </c>
      <c r="AI244" s="7" t="str">
        <f ca="1">IF(LEN(DATA!H252)&gt;0,SUMPRODUCT(OFFSET(DATA!$R$6,AI$5,0,1,10),DATA!$R252:$AA252),"")</f>
        <v/>
      </c>
      <c r="AJ244" s="7" t="str">
        <f ca="1">IF(LEN(DATA!I252)&gt;0,SUMPRODUCT(OFFSET(DATA!$R$6,AJ$5,0,1,10),DATA!$R252:$AA252),"")</f>
        <v/>
      </c>
      <c r="AK244" s="7"/>
      <c r="AL244" s="7" t="e">
        <f t="shared" ca="1" si="81"/>
        <v>#DIV/0!</v>
      </c>
      <c r="AM244" s="7" t="e">
        <f t="shared" ca="1" si="82"/>
        <v>#DIV/0!</v>
      </c>
      <c r="AN244" s="7" t="e">
        <f t="shared" ca="1" si="83"/>
        <v>#DIV/0!</v>
      </c>
      <c r="AO244" s="7" t="e">
        <f t="shared" ca="1" si="84"/>
        <v>#DIV/0!</v>
      </c>
      <c r="AP244" s="7" t="e">
        <f t="shared" ca="1" si="85"/>
        <v>#DIV/0!</v>
      </c>
      <c r="AQ244" s="7" t="e">
        <f t="shared" ca="1" si="86"/>
        <v>#DIV/0!</v>
      </c>
      <c r="AS244">
        <f t="shared" si="87"/>
        <v>58</v>
      </c>
      <c r="AT244">
        <f t="shared" si="88"/>
        <v>2</v>
      </c>
      <c r="AU244">
        <f t="shared" ca="1" si="89"/>
        <v>1.0307927353547435</v>
      </c>
      <c r="AV244">
        <f t="shared" ca="1" si="90"/>
        <v>1.0184187681358268</v>
      </c>
      <c r="AW244">
        <f ca="1">IF(AND($AT244&lt;3,OFFSET(DATA!$C$14,$AS244,0)=AW$6),$AV244,dNULL)</f>
        <v>1.0184187681358268</v>
      </c>
      <c r="AX244">
        <f ca="1">IF(AND($AT244&lt;3,OFFSET(DATA!$C$14,$AS244,0)=AX$6),$AV244,dNULL)</f>
        <v>-99</v>
      </c>
      <c r="AY244">
        <f ca="1">IF(AND($AT244&lt;3,OFFSET(DATA!$C$14,$AS244,0)=AY$6),$AV244,dNULL)</f>
        <v>-99</v>
      </c>
      <c r="AZ244">
        <f ca="1">IF(AND($AT244&lt;3,OFFSET(DATA!$C$14,$AS244,0)=AZ$6),$AV244,dNULL)</f>
        <v>-99</v>
      </c>
      <c r="BA244">
        <f ca="1">IF(AND($AT244&lt;3,OFFSET(DATA!$C$14,$AS244,0)=BA$6),$AV244,dNULL)</f>
        <v>-99</v>
      </c>
      <c r="BB244">
        <f ca="1">IF(AND($AT244&lt;3,OFFSET(DATA!$C$14,$AS244,0)=BB$6),$AV244,dNULL)</f>
        <v>-99</v>
      </c>
      <c r="BC244">
        <f ca="1">IF(AND($AT244&lt;3,OFFSET(DATA!$C$14,$AS244,0)=BC$6),$AV244,dNULL)</f>
        <v>-99</v>
      </c>
      <c r="BD244">
        <f ca="1">IF(AND($AT244&lt;3,OFFSET(DATA!$C$14,$AS244,0)=BD$6),$AV244,dNULL)</f>
        <v>-99</v>
      </c>
      <c r="BE244">
        <f ca="1">IF(AND($AT244&lt;3,OFFSET(DATA!$C$14,$AS244,0)=BE$6),$AV244,dNULL)</f>
        <v>-99</v>
      </c>
      <c r="BF244">
        <f ca="1">IF(AND($AT244&lt;3,OFFSET(DATA!$C$14,$AS244,0)=BF$6),$AV244,dNULL)</f>
        <v>-99</v>
      </c>
      <c r="BG244">
        <f ca="1">IF(AND($AT244&lt;3,OFFSET(DATA!$C$14,$AS244,0)=BG$6),$AV244,dNULL)</f>
        <v>-99</v>
      </c>
      <c r="BH244">
        <f ca="1">IF(AND($AT244&lt;3,OFFSET(DATA!$C$14,$AS244,0)=BH$6),$AV244,dNULL)</f>
        <v>-99</v>
      </c>
    </row>
    <row r="245" spans="14:60" x14ac:dyDescent="0.25">
      <c r="N245">
        <f>N244-0.5</f>
        <v>-48.349999999999994</v>
      </c>
      <c r="O245">
        <f>O244+3^0.5/2</f>
        <v>-83.744656545955195</v>
      </c>
      <c r="Y245" s="26"/>
      <c r="Z245" s="26"/>
      <c r="AB245" s="26" t="str">
        <f t="shared" ca="1" si="80"/>
        <v/>
      </c>
      <c r="AC245">
        <f t="shared" ca="1" si="93"/>
        <v>90</v>
      </c>
      <c r="AD245" t="str">
        <f ca="1">IF(AND(AT245&lt;1,MAX(AW245:BH245)&gt;dNULL),DATA!$D253,"")</f>
        <v/>
      </c>
      <c r="AE245" s="7" t="str">
        <f ca="1">IF(LEN(DATA!D253)&gt;0,SUMPRODUCT(OFFSET(DATA!$R$6,AE$5,0,1,10),DATA!$R253:$AA253),"")</f>
        <v/>
      </c>
      <c r="AF245" s="7" t="str">
        <f ca="1">IF(LEN(DATA!E253)&gt;0,SUMPRODUCT(OFFSET(DATA!$R$6,AF$5,0,1,10),DATA!$R253:$AA253),"")</f>
        <v/>
      </c>
      <c r="AG245" s="7" t="str">
        <f ca="1">IF(LEN(DATA!F253)&gt;0,SUMPRODUCT(OFFSET(DATA!$R$6,AG$5,0,1,10),DATA!$R253:$AA253),"")</f>
        <v/>
      </c>
      <c r="AH245" s="7" t="str">
        <f ca="1">IF(LEN(DATA!G253)&gt;0,SUMPRODUCT(OFFSET(DATA!$R$6,AH$5,0,1,10),DATA!$R253:$AA253),"")</f>
        <v/>
      </c>
      <c r="AI245" s="7" t="str">
        <f ca="1">IF(LEN(DATA!H253)&gt;0,SUMPRODUCT(OFFSET(DATA!$R$6,AI$5,0,1,10),DATA!$R253:$AA253),"")</f>
        <v/>
      </c>
      <c r="AJ245" s="7" t="str">
        <f ca="1">IF(LEN(DATA!I253)&gt;0,SUMPRODUCT(OFFSET(DATA!$R$6,AJ$5,0,1,10),DATA!$R253:$AA253),"")</f>
        <v/>
      </c>
      <c r="AK245" s="7"/>
      <c r="AL245" s="7" t="e">
        <f t="shared" ca="1" si="81"/>
        <v>#DIV/0!</v>
      </c>
      <c r="AM245" s="7" t="e">
        <f t="shared" ca="1" si="82"/>
        <v>#DIV/0!</v>
      </c>
      <c r="AN245" s="7" t="e">
        <f t="shared" ca="1" si="83"/>
        <v>#DIV/0!</v>
      </c>
      <c r="AO245" s="7" t="e">
        <f t="shared" ca="1" si="84"/>
        <v>#DIV/0!</v>
      </c>
      <c r="AP245" s="7" t="e">
        <f t="shared" ca="1" si="85"/>
        <v>#DIV/0!</v>
      </c>
      <c r="AQ245" s="7" t="e">
        <f t="shared" ca="1" si="86"/>
        <v>#DIV/0!</v>
      </c>
      <c r="AS245">
        <f t="shared" si="87"/>
        <v>59</v>
      </c>
      <c r="AT245">
        <f t="shared" si="88"/>
        <v>2</v>
      </c>
      <c r="AU245">
        <f t="shared" ca="1" si="89"/>
        <v>1.0580149013206954</v>
      </c>
      <c r="AV245">
        <f t="shared" ca="1" si="90"/>
        <v>1.0230734030180517</v>
      </c>
      <c r="AW245">
        <f ca="1">IF(AND($AT245&lt;3,OFFSET(DATA!$C$14,$AS245,0)=AW$6),$AV245,dNULL)</f>
        <v>1.0230734030180517</v>
      </c>
      <c r="AX245">
        <f ca="1">IF(AND($AT245&lt;3,OFFSET(DATA!$C$14,$AS245,0)=AX$6),$AV245,dNULL)</f>
        <v>-99</v>
      </c>
      <c r="AY245">
        <f ca="1">IF(AND($AT245&lt;3,OFFSET(DATA!$C$14,$AS245,0)=AY$6),$AV245,dNULL)</f>
        <v>-99</v>
      </c>
      <c r="AZ245">
        <f ca="1">IF(AND($AT245&lt;3,OFFSET(DATA!$C$14,$AS245,0)=AZ$6),$AV245,dNULL)</f>
        <v>-99</v>
      </c>
      <c r="BA245">
        <f ca="1">IF(AND($AT245&lt;3,OFFSET(DATA!$C$14,$AS245,0)=BA$6),$AV245,dNULL)</f>
        <v>-99</v>
      </c>
      <c r="BB245">
        <f ca="1">IF(AND($AT245&lt;3,OFFSET(DATA!$C$14,$AS245,0)=BB$6),$AV245,dNULL)</f>
        <v>-99</v>
      </c>
      <c r="BC245">
        <f ca="1">IF(AND($AT245&lt;3,OFFSET(DATA!$C$14,$AS245,0)=BC$6),$AV245,dNULL)</f>
        <v>-99</v>
      </c>
      <c r="BD245">
        <f ca="1">IF(AND($AT245&lt;3,OFFSET(DATA!$C$14,$AS245,0)=BD$6),$AV245,dNULL)</f>
        <v>-99</v>
      </c>
      <c r="BE245">
        <f ca="1">IF(AND($AT245&lt;3,OFFSET(DATA!$C$14,$AS245,0)=BE$6),$AV245,dNULL)</f>
        <v>-99</v>
      </c>
      <c r="BF245">
        <f ca="1">IF(AND($AT245&lt;3,OFFSET(DATA!$C$14,$AS245,0)=BF$6),$AV245,dNULL)</f>
        <v>-99</v>
      </c>
      <c r="BG245">
        <f ca="1">IF(AND($AT245&lt;3,OFFSET(DATA!$C$14,$AS245,0)=BG$6),$AV245,dNULL)</f>
        <v>-99</v>
      </c>
      <c r="BH245">
        <f ca="1">IF(AND($AT245&lt;3,OFFSET(DATA!$C$14,$AS245,0)=BH$6),$AV245,dNULL)</f>
        <v>-99</v>
      </c>
    </row>
    <row r="246" spans="14:60" x14ac:dyDescent="0.25">
      <c r="Y246" s="26"/>
      <c r="Z246" s="26"/>
      <c r="AB246" s="26" t="str">
        <f t="shared" ca="1" si="80"/>
        <v/>
      </c>
      <c r="AC246">
        <f t="shared" ca="1" si="93"/>
        <v>90</v>
      </c>
      <c r="AD246" t="str">
        <f ca="1">IF(AND(AT246&lt;1,MAX(AW246:BH246)&gt;dNULL),DATA!$D254,"")</f>
        <v/>
      </c>
      <c r="AE246" s="7" t="str">
        <f ca="1">IF(LEN(DATA!D254)&gt;0,SUMPRODUCT(OFFSET(DATA!$R$6,AE$5,0,1,10),DATA!$R254:$AA254),"")</f>
        <v/>
      </c>
      <c r="AF246" s="7" t="str">
        <f ca="1">IF(LEN(DATA!E254)&gt;0,SUMPRODUCT(OFFSET(DATA!$R$6,AF$5,0,1,10),DATA!$R254:$AA254),"")</f>
        <v/>
      </c>
      <c r="AG246" s="7" t="str">
        <f ca="1">IF(LEN(DATA!F254)&gt;0,SUMPRODUCT(OFFSET(DATA!$R$6,AG$5,0,1,10),DATA!$R254:$AA254),"")</f>
        <v/>
      </c>
      <c r="AH246" s="7" t="str">
        <f ca="1">IF(LEN(DATA!G254)&gt;0,SUMPRODUCT(OFFSET(DATA!$R$6,AH$5,0,1,10),DATA!$R254:$AA254),"")</f>
        <v/>
      </c>
      <c r="AI246" s="7" t="str">
        <f ca="1">IF(LEN(DATA!H254)&gt;0,SUMPRODUCT(OFFSET(DATA!$R$6,AI$5,0,1,10),DATA!$R254:$AA254),"")</f>
        <v/>
      </c>
      <c r="AJ246" s="7" t="str">
        <f ca="1">IF(LEN(DATA!I254)&gt;0,SUMPRODUCT(OFFSET(DATA!$R$6,AJ$5,0,1,10),DATA!$R254:$AA254),"")</f>
        <v/>
      </c>
      <c r="AK246" s="7"/>
      <c r="AL246" s="7" t="e">
        <f t="shared" ca="1" si="81"/>
        <v>#DIV/0!</v>
      </c>
      <c r="AM246" s="7" t="e">
        <f t="shared" ca="1" si="82"/>
        <v>#DIV/0!</v>
      </c>
      <c r="AN246" s="7" t="e">
        <f t="shared" ca="1" si="83"/>
        <v>#DIV/0!</v>
      </c>
      <c r="AO246" s="7" t="e">
        <f t="shared" ca="1" si="84"/>
        <v>#DIV/0!</v>
      </c>
      <c r="AP246" s="7" t="e">
        <f t="shared" ca="1" si="85"/>
        <v>#DIV/0!</v>
      </c>
      <c r="AQ246" s="7" t="e">
        <f t="shared" ca="1" si="86"/>
        <v>#DIV/0!</v>
      </c>
      <c r="AS246">
        <f t="shared" si="87"/>
        <v>60</v>
      </c>
      <c r="AT246">
        <f t="shared" si="88"/>
        <v>2</v>
      </c>
      <c r="AU246">
        <f t="shared" ca="1" si="89"/>
        <v>0.93899253122663984</v>
      </c>
      <c r="AV246">
        <f t="shared" ca="1" si="90"/>
        <v>1.3404931470829151</v>
      </c>
      <c r="AW246">
        <f ca="1">IF(AND($AT246&lt;3,OFFSET(DATA!$C$14,$AS246,0)=AW$6),$AV246,dNULL)</f>
        <v>-99</v>
      </c>
      <c r="AX246">
        <f ca="1">IF(AND($AT246&lt;3,OFFSET(DATA!$C$14,$AS246,0)=AX$6),$AV246,dNULL)</f>
        <v>1.3404931470829151</v>
      </c>
      <c r="AY246">
        <f ca="1">IF(AND($AT246&lt;3,OFFSET(DATA!$C$14,$AS246,0)=AY$6),$AV246,dNULL)</f>
        <v>-99</v>
      </c>
      <c r="AZ246">
        <f ca="1">IF(AND($AT246&lt;3,OFFSET(DATA!$C$14,$AS246,0)=AZ$6),$AV246,dNULL)</f>
        <v>-99</v>
      </c>
      <c r="BA246">
        <f ca="1">IF(AND($AT246&lt;3,OFFSET(DATA!$C$14,$AS246,0)=BA$6),$AV246,dNULL)</f>
        <v>-99</v>
      </c>
      <c r="BB246">
        <f ca="1">IF(AND($AT246&lt;3,OFFSET(DATA!$C$14,$AS246,0)=BB$6),$AV246,dNULL)</f>
        <v>-99</v>
      </c>
      <c r="BC246">
        <f ca="1">IF(AND($AT246&lt;3,OFFSET(DATA!$C$14,$AS246,0)=BC$6),$AV246,dNULL)</f>
        <v>-99</v>
      </c>
      <c r="BD246">
        <f ca="1">IF(AND($AT246&lt;3,OFFSET(DATA!$C$14,$AS246,0)=BD$6),$AV246,dNULL)</f>
        <v>-99</v>
      </c>
      <c r="BE246">
        <f ca="1">IF(AND($AT246&lt;3,OFFSET(DATA!$C$14,$AS246,0)=BE$6),$AV246,dNULL)</f>
        <v>-99</v>
      </c>
      <c r="BF246">
        <f ca="1">IF(AND($AT246&lt;3,OFFSET(DATA!$C$14,$AS246,0)=BF$6),$AV246,dNULL)</f>
        <v>-99</v>
      </c>
      <c r="BG246">
        <f ca="1">IF(AND($AT246&lt;3,OFFSET(DATA!$C$14,$AS246,0)=BG$6),$AV246,dNULL)</f>
        <v>-99</v>
      </c>
      <c r="BH246">
        <f ca="1">IF(AND($AT246&lt;3,OFFSET(DATA!$C$14,$AS246,0)=BH$6),$AV246,dNULL)</f>
        <v>-99</v>
      </c>
    </row>
    <row r="247" spans="14:60" x14ac:dyDescent="0.25">
      <c r="Y247" s="26"/>
      <c r="Z247" s="26"/>
      <c r="AB247" s="26" t="str">
        <f t="shared" ca="1" si="80"/>
        <v/>
      </c>
      <c r="AC247">
        <f t="shared" ca="1" si="93"/>
        <v>90</v>
      </c>
      <c r="AD247" t="str">
        <f ca="1">IF(AND(AT247&lt;1,MAX(AW247:BH247)&gt;dNULL),DATA!$D255,"")</f>
        <v/>
      </c>
      <c r="AE247" s="7" t="str">
        <f ca="1">IF(LEN(DATA!D255)&gt;0,SUMPRODUCT(OFFSET(DATA!$R$6,AE$5,0,1,10),DATA!$R255:$AA255),"")</f>
        <v/>
      </c>
      <c r="AF247" s="7" t="str">
        <f ca="1">IF(LEN(DATA!E255)&gt;0,SUMPRODUCT(OFFSET(DATA!$R$6,AF$5,0,1,10),DATA!$R255:$AA255),"")</f>
        <v/>
      </c>
      <c r="AG247" s="7" t="str">
        <f ca="1">IF(LEN(DATA!F255)&gt;0,SUMPRODUCT(OFFSET(DATA!$R$6,AG$5,0,1,10),DATA!$R255:$AA255),"")</f>
        <v/>
      </c>
      <c r="AH247" s="7" t="str">
        <f ca="1">IF(LEN(DATA!G255)&gt;0,SUMPRODUCT(OFFSET(DATA!$R$6,AH$5,0,1,10),DATA!$R255:$AA255),"")</f>
        <v/>
      </c>
      <c r="AI247" s="7" t="str">
        <f ca="1">IF(LEN(DATA!H255)&gt;0,SUMPRODUCT(OFFSET(DATA!$R$6,AI$5,0,1,10),DATA!$R255:$AA255),"")</f>
        <v/>
      </c>
      <c r="AJ247" s="7" t="str">
        <f ca="1">IF(LEN(DATA!I255)&gt;0,SUMPRODUCT(OFFSET(DATA!$R$6,AJ$5,0,1,10),DATA!$R255:$AA255),"")</f>
        <v/>
      </c>
      <c r="AK247" s="7"/>
      <c r="AL247" s="7" t="e">
        <f t="shared" ca="1" si="81"/>
        <v>#DIV/0!</v>
      </c>
      <c r="AM247" s="7" t="e">
        <f t="shared" ca="1" si="82"/>
        <v>#DIV/0!</v>
      </c>
      <c r="AN247" s="7" t="e">
        <f t="shared" ca="1" si="83"/>
        <v>#DIV/0!</v>
      </c>
      <c r="AO247" s="7" t="e">
        <f t="shared" ca="1" si="84"/>
        <v>#DIV/0!</v>
      </c>
      <c r="AP247" s="7" t="e">
        <f t="shared" ca="1" si="85"/>
        <v>#DIV/0!</v>
      </c>
      <c r="AQ247" s="7" t="e">
        <f t="shared" ca="1" si="86"/>
        <v>#DIV/0!</v>
      </c>
      <c r="AS247">
        <f t="shared" si="87"/>
        <v>61</v>
      </c>
      <c r="AT247">
        <f t="shared" si="88"/>
        <v>2</v>
      </c>
      <c r="AU247">
        <f t="shared" ca="1" si="89"/>
        <v>1.2342820027932486</v>
      </c>
      <c r="AV247">
        <f t="shared" ca="1" si="90"/>
        <v>0.86746048648078378</v>
      </c>
      <c r="AW247">
        <f ca="1">IF(AND($AT247&lt;3,OFFSET(DATA!$C$14,$AS247,0)=AW$6),$AV247,dNULL)</f>
        <v>-99</v>
      </c>
      <c r="AX247">
        <f ca="1">IF(AND($AT247&lt;3,OFFSET(DATA!$C$14,$AS247,0)=AX$6),$AV247,dNULL)</f>
        <v>-99</v>
      </c>
      <c r="AY247">
        <f ca="1">IF(AND($AT247&lt;3,OFFSET(DATA!$C$14,$AS247,0)=AY$6),$AV247,dNULL)</f>
        <v>-99</v>
      </c>
      <c r="AZ247">
        <f ca="1">IF(AND($AT247&lt;3,OFFSET(DATA!$C$14,$AS247,0)=AZ$6),$AV247,dNULL)</f>
        <v>-99</v>
      </c>
      <c r="BA247">
        <f ca="1">IF(AND($AT247&lt;3,OFFSET(DATA!$C$14,$AS247,0)=BA$6),$AV247,dNULL)</f>
        <v>-99</v>
      </c>
      <c r="BB247">
        <f ca="1">IF(AND($AT247&lt;3,OFFSET(DATA!$C$14,$AS247,0)=BB$6),$AV247,dNULL)</f>
        <v>0.86746048648078378</v>
      </c>
      <c r="BC247">
        <f ca="1">IF(AND($AT247&lt;3,OFFSET(DATA!$C$14,$AS247,0)=BC$6),$AV247,dNULL)</f>
        <v>-99</v>
      </c>
      <c r="BD247">
        <f ca="1">IF(AND($AT247&lt;3,OFFSET(DATA!$C$14,$AS247,0)=BD$6),$AV247,dNULL)</f>
        <v>-99</v>
      </c>
      <c r="BE247">
        <f ca="1">IF(AND($AT247&lt;3,OFFSET(DATA!$C$14,$AS247,0)=BE$6),$AV247,dNULL)</f>
        <v>-99</v>
      </c>
      <c r="BF247">
        <f ca="1">IF(AND($AT247&lt;3,OFFSET(DATA!$C$14,$AS247,0)=BF$6),$AV247,dNULL)</f>
        <v>-99</v>
      </c>
      <c r="BG247">
        <f ca="1">IF(AND($AT247&lt;3,OFFSET(DATA!$C$14,$AS247,0)=BG$6),$AV247,dNULL)</f>
        <v>-99</v>
      </c>
      <c r="BH247">
        <f ca="1">IF(AND($AT247&lt;3,OFFSET(DATA!$C$14,$AS247,0)=BH$6),$AV247,dNULL)</f>
        <v>-99</v>
      </c>
    </row>
    <row r="248" spans="14:60" x14ac:dyDescent="0.25">
      <c r="Y248" s="26"/>
      <c r="Z248" s="26"/>
      <c r="AB248" s="26" t="str">
        <f t="shared" ca="1" si="80"/>
        <v/>
      </c>
      <c r="AC248">
        <f t="shared" ca="1" si="93"/>
        <v>90</v>
      </c>
      <c r="AD248" t="str">
        <f ca="1">IF(AND(AT248&lt;1,MAX(AW248:BH248)&gt;dNULL),DATA!$D256,"")</f>
        <v/>
      </c>
      <c r="AE248" s="7" t="str">
        <f ca="1">IF(LEN(DATA!D256)&gt;0,SUMPRODUCT(OFFSET(DATA!$R$6,AE$5,0,1,10),DATA!$R256:$AA256),"")</f>
        <v/>
      </c>
      <c r="AF248" s="7" t="str">
        <f ca="1">IF(LEN(DATA!E256)&gt;0,SUMPRODUCT(OFFSET(DATA!$R$6,AF$5,0,1,10),DATA!$R256:$AA256),"")</f>
        <v/>
      </c>
      <c r="AG248" s="7" t="str">
        <f ca="1">IF(LEN(DATA!F256)&gt;0,SUMPRODUCT(OFFSET(DATA!$R$6,AG$5,0,1,10),DATA!$R256:$AA256),"")</f>
        <v/>
      </c>
      <c r="AH248" s="7" t="str">
        <f ca="1">IF(LEN(DATA!G256)&gt;0,SUMPRODUCT(OFFSET(DATA!$R$6,AH$5,0,1,10),DATA!$R256:$AA256),"")</f>
        <v/>
      </c>
      <c r="AI248" s="7" t="str">
        <f ca="1">IF(LEN(DATA!H256)&gt;0,SUMPRODUCT(OFFSET(DATA!$R$6,AI$5,0,1,10),DATA!$R256:$AA256),"")</f>
        <v/>
      </c>
      <c r="AJ248" s="7" t="str">
        <f ca="1">IF(LEN(DATA!I256)&gt;0,SUMPRODUCT(OFFSET(DATA!$R$6,AJ$5,0,1,10),DATA!$R256:$AA256),"")</f>
        <v/>
      </c>
      <c r="AK248" s="7"/>
      <c r="AL248" s="7" t="e">
        <f t="shared" ca="1" si="81"/>
        <v>#DIV/0!</v>
      </c>
      <c r="AM248" s="7" t="e">
        <f t="shared" ca="1" si="82"/>
        <v>#DIV/0!</v>
      </c>
      <c r="AN248" s="7" t="e">
        <f t="shared" ca="1" si="83"/>
        <v>#DIV/0!</v>
      </c>
      <c r="AO248" s="7" t="e">
        <f t="shared" ca="1" si="84"/>
        <v>#DIV/0!</v>
      </c>
      <c r="AP248" s="7" t="e">
        <f t="shared" ca="1" si="85"/>
        <v>#DIV/0!</v>
      </c>
      <c r="AQ248" s="7" t="e">
        <f t="shared" ca="1" si="86"/>
        <v>#DIV/0!</v>
      </c>
      <c r="AS248">
        <f t="shared" si="87"/>
        <v>62</v>
      </c>
      <c r="AT248">
        <f t="shared" si="88"/>
        <v>2</v>
      </c>
      <c r="AU248">
        <f t="shared" ca="1" si="89"/>
        <v>1.3426948916652899</v>
      </c>
      <c r="AV248">
        <f t="shared" ca="1" si="90"/>
        <v>0.8480454201750296</v>
      </c>
      <c r="AW248">
        <f ca="1">IF(AND($AT248&lt;3,OFFSET(DATA!$C$14,$AS248,0)=AW$6),$AV248,dNULL)</f>
        <v>-99</v>
      </c>
      <c r="AX248">
        <f ca="1">IF(AND($AT248&lt;3,OFFSET(DATA!$C$14,$AS248,0)=AX$6),$AV248,dNULL)</f>
        <v>-99</v>
      </c>
      <c r="AY248">
        <f ca="1">IF(AND($AT248&lt;3,OFFSET(DATA!$C$14,$AS248,0)=AY$6),$AV248,dNULL)</f>
        <v>-99</v>
      </c>
      <c r="AZ248">
        <f ca="1">IF(AND($AT248&lt;3,OFFSET(DATA!$C$14,$AS248,0)=AZ$6),$AV248,dNULL)</f>
        <v>-99</v>
      </c>
      <c r="BA248">
        <f ca="1">IF(AND($AT248&lt;3,OFFSET(DATA!$C$14,$AS248,0)=BA$6),$AV248,dNULL)</f>
        <v>-99</v>
      </c>
      <c r="BB248">
        <f ca="1">IF(AND($AT248&lt;3,OFFSET(DATA!$C$14,$AS248,0)=BB$6),$AV248,dNULL)</f>
        <v>0.8480454201750296</v>
      </c>
      <c r="BC248">
        <f ca="1">IF(AND($AT248&lt;3,OFFSET(DATA!$C$14,$AS248,0)=BC$6),$AV248,dNULL)</f>
        <v>-99</v>
      </c>
      <c r="BD248">
        <f ca="1">IF(AND($AT248&lt;3,OFFSET(DATA!$C$14,$AS248,0)=BD$6),$AV248,dNULL)</f>
        <v>-99</v>
      </c>
      <c r="BE248">
        <f ca="1">IF(AND($AT248&lt;3,OFFSET(DATA!$C$14,$AS248,0)=BE$6),$AV248,dNULL)</f>
        <v>-99</v>
      </c>
      <c r="BF248">
        <f ca="1">IF(AND($AT248&lt;3,OFFSET(DATA!$C$14,$AS248,0)=BF$6),$AV248,dNULL)</f>
        <v>-99</v>
      </c>
      <c r="BG248">
        <f ca="1">IF(AND($AT248&lt;3,OFFSET(DATA!$C$14,$AS248,0)=BG$6),$AV248,dNULL)</f>
        <v>-99</v>
      </c>
      <c r="BH248">
        <f ca="1">IF(AND($AT248&lt;3,OFFSET(DATA!$C$14,$AS248,0)=BH$6),$AV248,dNULL)</f>
        <v>-99</v>
      </c>
    </row>
    <row r="249" spans="14:60" x14ac:dyDescent="0.25">
      <c r="Y249" s="26"/>
      <c r="Z249" s="26"/>
      <c r="AB249" s="26" t="str">
        <f t="shared" ca="1" si="80"/>
        <v/>
      </c>
      <c r="AC249">
        <f t="shared" ca="1" si="93"/>
        <v>90</v>
      </c>
      <c r="AD249" t="str">
        <f ca="1">IF(AND(AT249&lt;1,MAX(AW249:BH249)&gt;dNULL),DATA!$D257,"")</f>
        <v/>
      </c>
      <c r="AE249" s="7" t="str">
        <f ca="1">IF(LEN(DATA!D257)&gt;0,SUMPRODUCT(OFFSET(DATA!$R$6,AE$5,0,1,10),DATA!$R257:$AA257),"")</f>
        <v/>
      </c>
      <c r="AF249" s="7" t="str">
        <f ca="1">IF(LEN(DATA!E257)&gt;0,SUMPRODUCT(OFFSET(DATA!$R$6,AF$5,0,1,10),DATA!$R257:$AA257),"")</f>
        <v/>
      </c>
      <c r="AG249" s="7" t="str">
        <f ca="1">IF(LEN(DATA!F257)&gt;0,SUMPRODUCT(OFFSET(DATA!$R$6,AG$5,0,1,10),DATA!$R257:$AA257),"")</f>
        <v/>
      </c>
      <c r="AH249" s="7" t="str">
        <f ca="1">IF(LEN(DATA!G257)&gt;0,SUMPRODUCT(OFFSET(DATA!$R$6,AH$5,0,1,10),DATA!$R257:$AA257),"")</f>
        <v/>
      </c>
      <c r="AI249" s="7" t="str">
        <f ca="1">IF(LEN(DATA!H257)&gt;0,SUMPRODUCT(OFFSET(DATA!$R$6,AI$5,0,1,10),DATA!$R257:$AA257),"")</f>
        <v/>
      </c>
      <c r="AJ249" s="7" t="str">
        <f ca="1">IF(LEN(DATA!I257)&gt;0,SUMPRODUCT(OFFSET(DATA!$R$6,AJ$5,0,1,10),DATA!$R257:$AA257),"")</f>
        <v/>
      </c>
      <c r="AK249" s="7"/>
      <c r="AL249" s="7" t="e">
        <f t="shared" ca="1" si="81"/>
        <v>#DIV/0!</v>
      </c>
      <c r="AM249" s="7" t="e">
        <f t="shared" ca="1" si="82"/>
        <v>#DIV/0!</v>
      </c>
      <c r="AN249" s="7" t="e">
        <f t="shared" ca="1" si="83"/>
        <v>#DIV/0!</v>
      </c>
      <c r="AO249" s="7" t="e">
        <f t="shared" ca="1" si="84"/>
        <v>#DIV/0!</v>
      </c>
      <c r="AP249" s="7" t="e">
        <f t="shared" ca="1" si="85"/>
        <v>#DIV/0!</v>
      </c>
      <c r="AQ249" s="7" t="e">
        <f t="shared" ca="1" si="86"/>
        <v>#DIV/0!</v>
      </c>
      <c r="AS249">
        <f t="shared" si="87"/>
        <v>63</v>
      </c>
      <c r="AT249">
        <f t="shared" si="88"/>
        <v>2</v>
      </c>
      <c r="AU249">
        <f t="shared" ca="1" si="89"/>
        <v>1.2222310490406594</v>
      </c>
      <c r="AV249">
        <f t="shared" ca="1" si="90"/>
        <v>0.76162155584409663</v>
      </c>
      <c r="AW249">
        <f ca="1">IF(AND($AT249&lt;3,OFFSET(DATA!$C$14,$AS249,0)=AW$6),$AV249,dNULL)</f>
        <v>-99</v>
      </c>
      <c r="AX249">
        <f ca="1">IF(AND($AT249&lt;3,OFFSET(DATA!$C$14,$AS249,0)=AX$6),$AV249,dNULL)</f>
        <v>-99</v>
      </c>
      <c r="AY249">
        <f ca="1">IF(AND($AT249&lt;3,OFFSET(DATA!$C$14,$AS249,0)=AY$6),$AV249,dNULL)</f>
        <v>-99</v>
      </c>
      <c r="AZ249">
        <f ca="1">IF(AND($AT249&lt;3,OFFSET(DATA!$C$14,$AS249,0)=AZ$6),$AV249,dNULL)</f>
        <v>-99</v>
      </c>
      <c r="BA249">
        <f ca="1">IF(AND($AT249&lt;3,OFFSET(DATA!$C$14,$AS249,0)=BA$6),$AV249,dNULL)</f>
        <v>-99</v>
      </c>
      <c r="BB249">
        <f ca="1">IF(AND($AT249&lt;3,OFFSET(DATA!$C$14,$AS249,0)=BB$6),$AV249,dNULL)</f>
        <v>0.76162155584409663</v>
      </c>
      <c r="BC249">
        <f ca="1">IF(AND($AT249&lt;3,OFFSET(DATA!$C$14,$AS249,0)=BC$6),$AV249,dNULL)</f>
        <v>-99</v>
      </c>
      <c r="BD249">
        <f ca="1">IF(AND($AT249&lt;3,OFFSET(DATA!$C$14,$AS249,0)=BD$6),$AV249,dNULL)</f>
        <v>-99</v>
      </c>
      <c r="BE249">
        <f ca="1">IF(AND($AT249&lt;3,OFFSET(DATA!$C$14,$AS249,0)=BE$6),$AV249,dNULL)</f>
        <v>-99</v>
      </c>
      <c r="BF249">
        <f ca="1">IF(AND($AT249&lt;3,OFFSET(DATA!$C$14,$AS249,0)=BF$6),$AV249,dNULL)</f>
        <v>-99</v>
      </c>
      <c r="BG249">
        <f ca="1">IF(AND($AT249&lt;3,OFFSET(DATA!$C$14,$AS249,0)=BG$6),$AV249,dNULL)</f>
        <v>-99</v>
      </c>
      <c r="BH249">
        <f ca="1">IF(AND($AT249&lt;3,OFFSET(DATA!$C$14,$AS249,0)=BH$6),$AV249,dNULL)</f>
        <v>-99</v>
      </c>
    </row>
    <row r="250" spans="14:60" x14ac:dyDescent="0.25">
      <c r="Y250" s="26"/>
      <c r="Z250" s="26"/>
      <c r="AB250" s="26" t="str">
        <f t="shared" ca="1" si="80"/>
        <v/>
      </c>
      <c r="AC250">
        <f t="shared" ca="1" si="93"/>
        <v>90</v>
      </c>
      <c r="AD250" t="str">
        <f ca="1">IF(AND(AT250&lt;1,MAX(AW250:BH250)&gt;dNULL),DATA!$D258,"")</f>
        <v/>
      </c>
      <c r="AE250" s="7" t="str">
        <f ca="1">IF(LEN(DATA!D258)&gt;0,SUMPRODUCT(OFFSET(DATA!$R$6,AE$5,0,1,10),DATA!$R258:$AA258),"")</f>
        <v/>
      </c>
      <c r="AF250" s="7" t="str">
        <f ca="1">IF(LEN(DATA!E258)&gt;0,SUMPRODUCT(OFFSET(DATA!$R$6,AF$5,0,1,10),DATA!$R258:$AA258),"")</f>
        <v/>
      </c>
      <c r="AG250" s="7" t="str">
        <f ca="1">IF(LEN(DATA!F258)&gt;0,SUMPRODUCT(OFFSET(DATA!$R$6,AG$5,0,1,10),DATA!$R258:$AA258),"")</f>
        <v/>
      </c>
      <c r="AH250" s="7" t="str">
        <f ca="1">IF(LEN(DATA!G258)&gt;0,SUMPRODUCT(OFFSET(DATA!$R$6,AH$5,0,1,10),DATA!$R258:$AA258),"")</f>
        <v/>
      </c>
      <c r="AI250" s="7" t="str">
        <f ca="1">IF(LEN(DATA!H258)&gt;0,SUMPRODUCT(OFFSET(DATA!$R$6,AI$5,0,1,10),DATA!$R258:$AA258),"")</f>
        <v/>
      </c>
      <c r="AJ250" s="7" t="str">
        <f ca="1">IF(LEN(DATA!I258)&gt;0,SUMPRODUCT(OFFSET(DATA!$R$6,AJ$5,0,1,10),DATA!$R258:$AA258),"")</f>
        <v/>
      </c>
      <c r="AK250" s="7"/>
      <c r="AL250" s="7" t="e">
        <f t="shared" ca="1" si="81"/>
        <v>#DIV/0!</v>
      </c>
      <c r="AM250" s="7" t="e">
        <f t="shared" ca="1" si="82"/>
        <v>#DIV/0!</v>
      </c>
      <c r="AN250" s="7" t="e">
        <f t="shared" ca="1" si="83"/>
        <v>#DIV/0!</v>
      </c>
      <c r="AO250" s="7" t="e">
        <f t="shared" ca="1" si="84"/>
        <v>#DIV/0!</v>
      </c>
      <c r="AP250" s="7" t="e">
        <f t="shared" ca="1" si="85"/>
        <v>#DIV/0!</v>
      </c>
      <c r="AQ250" s="7" t="e">
        <f t="shared" ca="1" si="86"/>
        <v>#DIV/0!</v>
      </c>
      <c r="AS250">
        <f t="shared" si="87"/>
        <v>64</v>
      </c>
      <c r="AT250">
        <f t="shared" si="88"/>
        <v>2</v>
      </c>
      <c r="AU250">
        <f t="shared" ca="1" si="89"/>
        <v>1.1279744568138528</v>
      </c>
      <c r="AV250">
        <f t="shared" ca="1" si="90"/>
        <v>0.79017460146543517</v>
      </c>
      <c r="AW250">
        <f ca="1">IF(AND($AT250&lt;3,OFFSET(DATA!$C$14,$AS250,0)=AW$6),$AV250,dNULL)</f>
        <v>-99</v>
      </c>
      <c r="AX250">
        <f ca="1">IF(AND($AT250&lt;3,OFFSET(DATA!$C$14,$AS250,0)=AX$6),$AV250,dNULL)</f>
        <v>-99</v>
      </c>
      <c r="AY250">
        <f ca="1">IF(AND($AT250&lt;3,OFFSET(DATA!$C$14,$AS250,0)=AY$6),$AV250,dNULL)</f>
        <v>-99</v>
      </c>
      <c r="AZ250">
        <f ca="1">IF(AND($AT250&lt;3,OFFSET(DATA!$C$14,$AS250,0)=AZ$6),$AV250,dNULL)</f>
        <v>-99</v>
      </c>
      <c r="BA250">
        <f ca="1">IF(AND($AT250&lt;3,OFFSET(DATA!$C$14,$AS250,0)=BA$6),$AV250,dNULL)</f>
        <v>-99</v>
      </c>
      <c r="BB250">
        <f ca="1">IF(AND($AT250&lt;3,OFFSET(DATA!$C$14,$AS250,0)=BB$6),$AV250,dNULL)</f>
        <v>-99</v>
      </c>
      <c r="BC250">
        <f ca="1">IF(AND($AT250&lt;3,OFFSET(DATA!$C$14,$AS250,0)=BC$6),$AV250,dNULL)</f>
        <v>0.79017460146543517</v>
      </c>
      <c r="BD250">
        <f ca="1">IF(AND($AT250&lt;3,OFFSET(DATA!$C$14,$AS250,0)=BD$6),$AV250,dNULL)</f>
        <v>-99</v>
      </c>
      <c r="BE250">
        <f ca="1">IF(AND($AT250&lt;3,OFFSET(DATA!$C$14,$AS250,0)=BE$6),$AV250,dNULL)</f>
        <v>-99</v>
      </c>
      <c r="BF250">
        <f ca="1">IF(AND($AT250&lt;3,OFFSET(DATA!$C$14,$AS250,0)=BF$6),$AV250,dNULL)</f>
        <v>-99</v>
      </c>
      <c r="BG250">
        <f ca="1">IF(AND($AT250&lt;3,OFFSET(DATA!$C$14,$AS250,0)=BG$6),$AV250,dNULL)</f>
        <v>-99</v>
      </c>
      <c r="BH250">
        <f ca="1">IF(AND($AT250&lt;3,OFFSET(DATA!$C$14,$AS250,0)=BH$6),$AV250,dNULL)</f>
        <v>-99</v>
      </c>
    </row>
    <row r="251" spans="14:60" x14ac:dyDescent="0.25">
      <c r="Y251" s="26"/>
      <c r="Z251" s="26"/>
      <c r="AB251" s="26" t="str">
        <f t="shared" ca="1" si="80"/>
        <v/>
      </c>
      <c r="AC251">
        <f t="shared" ca="1" si="93"/>
        <v>90</v>
      </c>
      <c r="AD251" t="str">
        <f ca="1">IF(AND(AT251&lt;1,MAX(AW251:BH251)&gt;dNULL),DATA!$D259,"")</f>
        <v/>
      </c>
      <c r="AE251" s="7" t="str">
        <f ca="1">IF(LEN(DATA!D259)&gt;0,SUMPRODUCT(OFFSET(DATA!$R$6,AE$5,0,1,10),DATA!$R259:$AA259),"")</f>
        <v/>
      </c>
      <c r="AF251" s="7" t="str">
        <f ca="1">IF(LEN(DATA!E259)&gt;0,SUMPRODUCT(OFFSET(DATA!$R$6,AF$5,0,1,10),DATA!$R259:$AA259),"")</f>
        <v/>
      </c>
      <c r="AG251" s="7" t="str">
        <f ca="1">IF(LEN(DATA!F259)&gt;0,SUMPRODUCT(OFFSET(DATA!$R$6,AG$5,0,1,10),DATA!$R259:$AA259),"")</f>
        <v/>
      </c>
      <c r="AH251" s="7" t="str">
        <f ca="1">IF(LEN(DATA!G259)&gt;0,SUMPRODUCT(OFFSET(DATA!$R$6,AH$5,0,1,10),DATA!$R259:$AA259),"")</f>
        <v/>
      </c>
      <c r="AI251" s="7" t="str">
        <f ca="1">IF(LEN(DATA!H259)&gt;0,SUMPRODUCT(OFFSET(DATA!$R$6,AI$5,0,1,10),DATA!$R259:$AA259),"")</f>
        <v/>
      </c>
      <c r="AJ251" s="7" t="str">
        <f ca="1">IF(LEN(DATA!I259)&gt;0,SUMPRODUCT(OFFSET(DATA!$R$6,AJ$5,0,1,10),DATA!$R259:$AA259),"")</f>
        <v/>
      </c>
      <c r="AK251" s="7"/>
      <c r="AL251" s="7" t="e">
        <f t="shared" ca="1" si="81"/>
        <v>#DIV/0!</v>
      </c>
      <c r="AM251" s="7" t="e">
        <f t="shared" ca="1" si="82"/>
        <v>#DIV/0!</v>
      </c>
      <c r="AN251" s="7" t="e">
        <f t="shared" ca="1" si="83"/>
        <v>#DIV/0!</v>
      </c>
      <c r="AO251" s="7" t="e">
        <f t="shared" ca="1" si="84"/>
        <v>#DIV/0!</v>
      </c>
      <c r="AP251" s="7" t="e">
        <f t="shared" ca="1" si="85"/>
        <v>#DIV/0!</v>
      </c>
      <c r="AQ251" s="7" t="e">
        <f t="shared" ca="1" si="86"/>
        <v>#DIV/0!</v>
      </c>
      <c r="AS251">
        <f t="shared" si="87"/>
        <v>65</v>
      </c>
      <c r="AT251">
        <f t="shared" si="88"/>
        <v>2</v>
      </c>
      <c r="AU251">
        <f t="shared" ca="1" si="89"/>
        <v>1.1339043399263788</v>
      </c>
      <c r="AV251">
        <f t="shared" ca="1" si="90"/>
        <v>0.72210423209470176</v>
      </c>
      <c r="AW251">
        <f ca="1">IF(AND($AT251&lt;3,OFFSET(DATA!$C$14,$AS251,0)=AW$6),$AV251,dNULL)</f>
        <v>-99</v>
      </c>
      <c r="AX251">
        <f ca="1">IF(AND($AT251&lt;3,OFFSET(DATA!$C$14,$AS251,0)=AX$6),$AV251,dNULL)</f>
        <v>-99</v>
      </c>
      <c r="AY251">
        <f ca="1">IF(AND($AT251&lt;3,OFFSET(DATA!$C$14,$AS251,0)=AY$6),$AV251,dNULL)</f>
        <v>-99</v>
      </c>
      <c r="AZ251">
        <f ca="1">IF(AND($AT251&lt;3,OFFSET(DATA!$C$14,$AS251,0)=AZ$6),$AV251,dNULL)</f>
        <v>-99</v>
      </c>
      <c r="BA251">
        <f ca="1">IF(AND($AT251&lt;3,OFFSET(DATA!$C$14,$AS251,0)=BA$6),$AV251,dNULL)</f>
        <v>-99</v>
      </c>
      <c r="BB251">
        <f ca="1">IF(AND($AT251&lt;3,OFFSET(DATA!$C$14,$AS251,0)=BB$6),$AV251,dNULL)</f>
        <v>-99</v>
      </c>
      <c r="BC251">
        <f ca="1">IF(AND($AT251&lt;3,OFFSET(DATA!$C$14,$AS251,0)=BC$6),$AV251,dNULL)</f>
        <v>0.72210423209470176</v>
      </c>
      <c r="BD251">
        <f ca="1">IF(AND($AT251&lt;3,OFFSET(DATA!$C$14,$AS251,0)=BD$6),$AV251,dNULL)</f>
        <v>-99</v>
      </c>
      <c r="BE251">
        <f ca="1">IF(AND($AT251&lt;3,OFFSET(DATA!$C$14,$AS251,0)=BE$6),$AV251,dNULL)</f>
        <v>-99</v>
      </c>
      <c r="BF251">
        <f ca="1">IF(AND($AT251&lt;3,OFFSET(DATA!$C$14,$AS251,0)=BF$6),$AV251,dNULL)</f>
        <v>-99</v>
      </c>
      <c r="BG251">
        <f ca="1">IF(AND($AT251&lt;3,OFFSET(DATA!$C$14,$AS251,0)=BG$6),$AV251,dNULL)</f>
        <v>-99</v>
      </c>
      <c r="BH251">
        <f ca="1">IF(AND($AT251&lt;3,OFFSET(DATA!$C$14,$AS251,0)=BH$6),$AV251,dNULL)</f>
        <v>-99</v>
      </c>
    </row>
    <row r="252" spans="14:60" x14ac:dyDescent="0.25">
      <c r="Y252" s="26"/>
      <c r="Z252" s="26"/>
      <c r="AB252" s="26" t="str">
        <f t="shared" ca="1" si="80"/>
        <v/>
      </c>
      <c r="AC252">
        <f t="shared" ca="1" si="93"/>
        <v>90</v>
      </c>
      <c r="AD252" t="str">
        <f ca="1">IF(AND(AT252&lt;1,MAX(AW252:BH252)&gt;dNULL),DATA!$D260,"")</f>
        <v/>
      </c>
      <c r="AE252" s="7" t="str">
        <f ca="1">IF(LEN(DATA!D260)&gt;0,SUMPRODUCT(OFFSET(DATA!$R$6,AE$5,0,1,10),DATA!$R260:$AA260),"")</f>
        <v/>
      </c>
      <c r="AF252" s="7" t="str">
        <f ca="1">IF(LEN(DATA!E260)&gt;0,SUMPRODUCT(OFFSET(DATA!$R$6,AF$5,0,1,10),DATA!$R260:$AA260),"")</f>
        <v/>
      </c>
      <c r="AG252" s="7" t="str">
        <f ca="1">IF(LEN(DATA!F260)&gt;0,SUMPRODUCT(OFFSET(DATA!$R$6,AG$5,0,1,10),DATA!$R260:$AA260),"")</f>
        <v/>
      </c>
      <c r="AH252" s="7" t="str">
        <f ca="1">IF(LEN(DATA!G260)&gt;0,SUMPRODUCT(OFFSET(DATA!$R$6,AH$5,0,1,10),DATA!$R260:$AA260),"")</f>
        <v/>
      </c>
      <c r="AI252" s="7" t="str">
        <f ca="1">IF(LEN(DATA!H260)&gt;0,SUMPRODUCT(OFFSET(DATA!$R$6,AI$5,0,1,10),DATA!$R260:$AA260),"")</f>
        <v/>
      </c>
      <c r="AJ252" s="7" t="str">
        <f ca="1">IF(LEN(DATA!I260)&gt;0,SUMPRODUCT(OFFSET(DATA!$R$6,AJ$5,0,1,10),DATA!$R260:$AA260),"")</f>
        <v/>
      </c>
      <c r="AK252" s="7"/>
      <c r="AL252" s="7" t="e">
        <f t="shared" ca="1" si="81"/>
        <v>#DIV/0!</v>
      </c>
      <c r="AM252" s="7" t="e">
        <f t="shared" ca="1" si="82"/>
        <v>#DIV/0!</v>
      </c>
      <c r="AN252" s="7" t="e">
        <f t="shared" ca="1" si="83"/>
        <v>#DIV/0!</v>
      </c>
      <c r="AO252" s="7" t="e">
        <f t="shared" ca="1" si="84"/>
        <v>#DIV/0!</v>
      </c>
      <c r="AP252" s="7" t="e">
        <f t="shared" ca="1" si="85"/>
        <v>#DIV/0!</v>
      </c>
      <c r="AQ252" s="7" t="e">
        <f t="shared" ca="1" si="86"/>
        <v>#DIV/0!</v>
      </c>
      <c r="AS252">
        <f t="shared" si="87"/>
        <v>66</v>
      </c>
      <c r="AT252">
        <f t="shared" si="88"/>
        <v>2</v>
      </c>
      <c r="AU252">
        <f t="shared" ca="1" si="89"/>
        <v>1.0291593133735879</v>
      </c>
      <c r="AV252">
        <f t="shared" ca="1" si="90"/>
        <v>1.0156077639606589</v>
      </c>
      <c r="AW252">
        <f ca="1">IF(AND($AT252&lt;3,OFFSET(DATA!$C$14,$AS252,0)=AW$6),$AV252,dNULL)</f>
        <v>1.0156077639606589</v>
      </c>
      <c r="AX252">
        <f ca="1">IF(AND($AT252&lt;3,OFFSET(DATA!$C$14,$AS252,0)=AX$6),$AV252,dNULL)</f>
        <v>-99</v>
      </c>
      <c r="AY252">
        <f ca="1">IF(AND($AT252&lt;3,OFFSET(DATA!$C$14,$AS252,0)=AY$6),$AV252,dNULL)</f>
        <v>-99</v>
      </c>
      <c r="AZ252">
        <f ca="1">IF(AND($AT252&lt;3,OFFSET(DATA!$C$14,$AS252,0)=AZ$6),$AV252,dNULL)</f>
        <v>-99</v>
      </c>
      <c r="BA252">
        <f ca="1">IF(AND($AT252&lt;3,OFFSET(DATA!$C$14,$AS252,0)=BA$6),$AV252,dNULL)</f>
        <v>-99</v>
      </c>
      <c r="BB252">
        <f ca="1">IF(AND($AT252&lt;3,OFFSET(DATA!$C$14,$AS252,0)=BB$6),$AV252,dNULL)</f>
        <v>-99</v>
      </c>
      <c r="BC252">
        <f ca="1">IF(AND($AT252&lt;3,OFFSET(DATA!$C$14,$AS252,0)=BC$6),$AV252,dNULL)</f>
        <v>-99</v>
      </c>
      <c r="BD252">
        <f ca="1">IF(AND($AT252&lt;3,OFFSET(DATA!$C$14,$AS252,0)=BD$6),$AV252,dNULL)</f>
        <v>-99</v>
      </c>
      <c r="BE252">
        <f ca="1">IF(AND($AT252&lt;3,OFFSET(DATA!$C$14,$AS252,0)=BE$6),$AV252,dNULL)</f>
        <v>-99</v>
      </c>
      <c r="BF252">
        <f ca="1">IF(AND($AT252&lt;3,OFFSET(DATA!$C$14,$AS252,0)=BF$6),$AV252,dNULL)</f>
        <v>-99</v>
      </c>
      <c r="BG252">
        <f ca="1">IF(AND($AT252&lt;3,OFFSET(DATA!$C$14,$AS252,0)=BG$6),$AV252,dNULL)</f>
        <v>-99</v>
      </c>
      <c r="BH252">
        <f ca="1">IF(AND($AT252&lt;3,OFFSET(DATA!$C$14,$AS252,0)=BH$6),$AV252,dNULL)</f>
        <v>-99</v>
      </c>
    </row>
    <row r="253" spans="14:60" x14ac:dyDescent="0.25">
      <c r="Y253" s="26"/>
      <c r="Z253" s="26"/>
      <c r="AB253" s="26" t="str">
        <f t="shared" ca="1" si="80"/>
        <v/>
      </c>
      <c r="AC253">
        <f t="shared" ca="1" si="93"/>
        <v>90</v>
      </c>
      <c r="AD253" t="str">
        <f ca="1">IF(AND(AT253&lt;1,MAX(AW253:BH253)&gt;dNULL),DATA!$D261,"")</f>
        <v/>
      </c>
      <c r="AE253" s="7" t="str">
        <f ca="1">IF(LEN(DATA!D261)&gt;0,SUMPRODUCT(OFFSET(DATA!$R$6,AE$5,0,1,10),DATA!$R261:$AA261),"")</f>
        <v/>
      </c>
      <c r="AF253" s="7" t="str">
        <f ca="1">IF(LEN(DATA!E261)&gt;0,SUMPRODUCT(OFFSET(DATA!$R$6,AF$5,0,1,10),DATA!$R261:$AA261),"")</f>
        <v/>
      </c>
      <c r="AG253" s="7" t="str">
        <f ca="1">IF(LEN(DATA!F261)&gt;0,SUMPRODUCT(OFFSET(DATA!$R$6,AG$5,0,1,10),DATA!$R261:$AA261),"")</f>
        <v/>
      </c>
      <c r="AH253" s="7" t="str">
        <f ca="1">IF(LEN(DATA!G261)&gt;0,SUMPRODUCT(OFFSET(DATA!$R$6,AH$5,0,1,10),DATA!$R261:$AA261),"")</f>
        <v/>
      </c>
      <c r="AI253" s="7" t="str">
        <f ca="1">IF(LEN(DATA!H261)&gt;0,SUMPRODUCT(OFFSET(DATA!$R$6,AI$5,0,1,10),DATA!$R261:$AA261),"")</f>
        <v/>
      </c>
      <c r="AJ253" s="7" t="str">
        <f ca="1">IF(LEN(DATA!I261)&gt;0,SUMPRODUCT(OFFSET(DATA!$R$6,AJ$5,0,1,10),DATA!$R261:$AA261),"")</f>
        <v/>
      </c>
      <c r="AK253" s="7"/>
      <c r="AL253" s="7" t="e">
        <f t="shared" ca="1" si="81"/>
        <v>#DIV/0!</v>
      </c>
      <c r="AM253" s="7" t="e">
        <f t="shared" ca="1" si="82"/>
        <v>#DIV/0!</v>
      </c>
      <c r="AN253" s="7" t="e">
        <f t="shared" ca="1" si="83"/>
        <v>#DIV/0!</v>
      </c>
      <c r="AO253" s="7" t="e">
        <f t="shared" ca="1" si="84"/>
        <v>#DIV/0!</v>
      </c>
      <c r="AP253" s="7" t="e">
        <f t="shared" ca="1" si="85"/>
        <v>#DIV/0!</v>
      </c>
      <c r="AQ253" s="7" t="e">
        <f t="shared" ca="1" si="86"/>
        <v>#DIV/0!</v>
      </c>
      <c r="AS253">
        <f t="shared" si="87"/>
        <v>67</v>
      </c>
      <c r="AT253">
        <f t="shared" si="88"/>
        <v>2</v>
      </c>
      <c r="AU253">
        <f t="shared" ca="1" si="89"/>
        <v>1.0471134412523595</v>
      </c>
      <c r="AV253">
        <f t="shared" ca="1" si="90"/>
        <v>1.0169095928618801</v>
      </c>
      <c r="AW253">
        <f ca="1">IF(AND($AT253&lt;3,OFFSET(DATA!$C$14,$AS253,0)=AW$6),$AV253,dNULL)</f>
        <v>1.0169095928618801</v>
      </c>
      <c r="AX253">
        <f ca="1">IF(AND($AT253&lt;3,OFFSET(DATA!$C$14,$AS253,0)=AX$6),$AV253,dNULL)</f>
        <v>-99</v>
      </c>
      <c r="AY253">
        <f ca="1">IF(AND($AT253&lt;3,OFFSET(DATA!$C$14,$AS253,0)=AY$6),$AV253,dNULL)</f>
        <v>-99</v>
      </c>
      <c r="AZ253">
        <f ca="1">IF(AND($AT253&lt;3,OFFSET(DATA!$C$14,$AS253,0)=AZ$6),$AV253,dNULL)</f>
        <v>-99</v>
      </c>
      <c r="BA253">
        <f ca="1">IF(AND($AT253&lt;3,OFFSET(DATA!$C$14,$AS253,0)=BA$6),$AV253,dNULL)</f>
        <v>-99</v>
      </c>
      <c r="BB253">
        <f ca="1">IF(AND($AT253&lt;3,OFFSET(DATA!$C$14,$AS253,0)=BB$6),$AV253,dNULL)</f>
        <v>-99</v>
      </c>
      <c r="BC253">
        <f ca="1">IF(AND($AT253&lt;3,OFFSET(DATA!$C$14,$AS253,0)=BC$6),$AV253,dNULL)</f>
        <v>-99</v>
      </c>
      <c r="BD253">
        <f ca="1">IF(AND($AT253&lt;3,OFFSET(DATA!$C$14,$AS253,0)=BD$6),$AV253,dNULL)</f>
        <v>-99</v>
      </c>
      <c r="BE253">
        <f ca="1">IF(AND($AT253&lt;3,OFFSET(DATA!$C$14,$AS253,0)=BE$6),$AV253,dNULL)</f>
        <v>-99</v>
      </c>
      <c r="BF253">
        <f ca="1">IF(AND($AT253&lt;3,OFFSET(DATA!$C$14,$AS253,0)=BF$6),$AV253,dNULL)</f>
        <v>-99</v>
      </c>
      <c r="BG253">
        <f ca="1">IF(AND($AT253&lt;3,OFFSET(DATA!$C$14,$AS253,0)=BG$6),$AV253,dNULL)</f>
        <v>-99</v>
      </c>
      <c r="BH253">
        <f ca="1">IF(AND($AT253&lt;3,OFFSET(DATA!$C$14,$AS253,0)=BH$6),$AV253,dNULL)</f>
        <v>-99</v>
      </c>
    </row>
    <row r="254" spans="14:60" x14ac:dyDescent="0.25">
      <c r="Y254" s="26"/>
      <c r="Z254" s="26"/>
      <c r="AB254" s="26" t="str">
        <f t="shared" ca="1" si="80"/>
        <v/>
      </c>
      <c r="AC254">
        <f t="shared" ca="1" si="93"/>
        <v>90</v>
      </c>
      <c r="AD254" t="str">
        <f ca="1">IF(AND(AT254&lt;1,MAX(AW254:BH254)&gt;dNULL),DATA!$D262,"")</f>
        <v/>
      </c>
      <c r="AE254" s="7" t="str">
        <f ca="1">IF(LEN(DATA!D262)&gt;0,SUMPRODUCT(OFFSET(DATA!$R$6,AE$5,0,1,10),DATA!$R262:$AA262),"")</f>
        <v/>
      </c>
      <c r="AF254" s="7" t="str">
        <f ca="1">IF(LEN(DATA!E262)&gt;0,SUMPRODUCT(OFFSET(DATA!$R$6,AF$5,0,1,10),DATA!$R262:$AA262),"")</f>
        <v/>
      </c>
      <c r="AG254" s="7" t="str">
        <f ca="1">IF(LEN(DATA!F262)&gt;0,SUMPRODUCT(OFFSET(DATA!$R$6,AG$5,0,1,10),DATA!$R262:$AA262),"")</f>
        <v/>
      </c>
      <c r="AH254" s="7" t="str">
        <f ca="1">IF(LEN(DATA!G262)&gt;0,SUMPRODUCT(OFFSET(DATA!$R$6,AH$5,0,1,10),DATA!$R262:$AA262),"")</f>
        <v/>
      </c>
      <c r="AI254" s="7" t="str">
        <f ca="1">IF(LEN(DATA!H262)&gt;0,SUMPRODUCT(OFFSET(DATA!$R$6,AI$5,0,1,10),DATA!$R262:$AA262),"")</f>
        <v/>
      </c>
      <c r="AJ254" s="7" t="str">
        <f ca="1">IF(LEN(DATA!I262)&gt;0,SUMPRODUCT(OFFSET(DATA!$R$6,AJ$5,0,1,10),DATA!$R262:$AA262),"")</f>
        <v/>
      </c>
      <c r="AK254" s="7"/>
      <c r="AL254" s="7" t="e">
        <f t="shared" ca="1" si="81"/>
        <v>#DIV/0!</v>
      </c>
      <c r="AM254" s="7" t="e">
        <f t="shared" ca="1" si="82"/>
        <v>#DIV/0!</v>
      </c>
      <c r="AN254" s="7" t="e">
        <f t="shared" ca="1" si="83"/>
        <v>#DIV/0!</v>
      </c>
      <c r="AO254" s="7" t="e">
        <f t="shared" ca="1" si="84"/>
        <v>#DIV/0!</v>
      </c>
      <c r="AP254" s="7" t="e">
        <f t="shared" ca="1" si="85"/>
        <v>#DIV/0!</v>
      </c>
      <c r="AQ254" s="7" t="e">
        <f t="shared" ca="1" si="86"/>
        <v>#DIV/0!</v>
      </c>
      <c r="AS254">
        <f t="shared" si="87"/>
        <v>68</v>
      </c>
      <c r="AT254">
        <f t="shared" si="88"/>
        <v>2</v>
      </c>
      <c r="AU254">
        <f t="shared" ca="1" si="89"/>
        <v>1.0249406894295991</v>
      </c>
      <c r="AV254">
        <f t="shared" ca="1" si="90"/>
        <v>1.0008485923426216</v>
      </c>
      <c r="AW254">
        <f ca="1">IF(AND($AT254&lt;3,OFFSET(DATA!$C$14,$AS254,0)=AW$6),$AV254,dNULL)</f>
        <v>1.0008485923426216</v>
      </c>
      <c r="AX254">
        <f ca="1">IF(AND($AT254&lt;3,OFFSET(DATA!$C$14,$AS254,0)=AX$6),$AV254,dNULL)</f>
        <v>-99</v>
      </c>
      <c r="AY254">
        <f ca="1">IF(AND($AT254&lt;3,OFFSET(DATA!$C$14,$AS254,0)=AY$6),$AV254,dNULL)</f>
        <v>-99</v>
      </c>
      <c r="AZ254">
        <f ca="1">IF(AND($AT254&lt;3,OFFSET(DATA!$C$14,$AS254,0)=AZ$6),$AV254,dNULL)</f>
        <v>-99</v>
      </c>
      <c r="BA254">
        <f ca="1">IF(AND($AT254&lt;3,OFFSET(DATA!$C$14,$AS254,0)=BA$6),$AV254,dNULL)</f>
        <v>-99</v>
      </c>
      <c r="BB254">
        <f ca="1">IF(AND($AT254&lt;3,OFFSET(DATA!$C$14,$AS254,0)=BB$6),$AV254,dNULL)</f>
        <v>-99</v>
      </c>
      <c r="BC254">
        <f ca="1">IF(AND($AT254&lt;3,OFFSET(DATA!$C$14,$AS254,0)=BC$6),$AV254,dNULL)</f>
        <v>-99</v>
      </c>
      <c r="BD254">
        <f ca="1">IF(AND($AT254&lt;3,OFFSET(DATA!$C$14,$AS254,0)=BD$6),$AV254,dNULL)</f>
        <v>-99</v>
      </c>
      <c r="BE254">
        <f ca="1">IF(AND($AT254&lt;3,OFFSET(DATA!$C$14,$AS254,0)=BE$6),$AV254,dNULL)</f>
        <v>-99</v>
      </c>
      <c r="BF254">
        <f ca="1">IF(AND($AT254&lt;3,OFFSET(DATA!$C$14,$AS254,0)=BF$6),$AV254,dNULL)</f>
        <v>-99</v>
      </c>
      <c r="BG254">
        <f ca="1">IF(AND($AT254&lt;3,OFFSET(DATA!$C$14,$AS254,0)=BG$6),$AV254,dNULL)</f>
        <v>-99</v>
      </c>
      <c r="BH254">
        <f ca="1">IF(AND($AT254&lt;3,OFFSET(DATA!$C$14,$AS254,0)=BH$6),$AV254,dNULL)</f>
        <v>-99</v>
      </c>
    </row>
    <row r="255" spans="14:60" x14ac:dyDescent="0.25">
      <c r="Y255" s="26"/>
      <c r="Z255" s="26"/>
      <c r="AB255" s="26" t="str">
        <f t="shared" ca="1" si="80"/>
        <v/>
      </c>
      <c r="AC255">
        <f t="shared" ca="1" si="93"/>
        <v>90</v>
      </c>
      <c r="AD255" t="str">
        <f ca="1">IF(AND(AT255&lt;1,MAX(AW255:BH255)&gt;dNULL),DATA!$D263,"")</f>
        <v/>
      </c>
      <c r="AE255" s="7" t="str">
        <f ca="1">IF(LEN(DATA!D263)&gt;0,SUMPRODUCT(OFFSET(DATA!$R$6,AE$5,0,1,10),DATA!$R263:$AA263),"")</f>
        <v/>
      </c>
      <c r="AF255" s="7" t="str">
        <f ca="1">IF(LEN(DATA!E263)&gt;0,SUMPRODUCT(OFFSET(DATA!$R$6,AF$5,0,1,10),DATA!$R263:$AA263),"")</f>
        <v/>
      </c>
      <c r="AG255" s="7" t="str">
        <f ca="1">IF(LEN(DATA!F263)&gt;0,SUMPRODUCT(OFFSET(DATA!$R$6,AG$5,0,1,10),DATA!$R263:$AA263),"")</f>
        <v/>
      </c>
      <c r="AH255" s="7" t="str">
        <f ca="1">IF(LEN(DATA!G263)&gt;0,SUMPRODUCT(OFFSET(DATA!$R$6,AH$5,0,1,10),DATA!$R263:$AA263),"")</f>
        <v/>
      </c>
      <c r="AI255" s="7" t="str">
        <f ca="1">IF(LEN(DATA!H263)&gt;0,SUMPRODUCT(OFFSET(DATA!$R$6,AI$5,0,1,10),DATA!$R263:$AA263),"")</f>
        <v/>
      </c>
      <c r="AJ255" s="7" t="str">
        <f ca="1">IF(LEN(DATA!I263)&gt;0,SUMPRODUCT(OFFSET(DATA!$R$6,AJ$5,0,1,10),DATA!$R263:$AA263),"")</f>
        <v/>
      </c>
      <c r="AK255" s="7"/>
      <c r="AL255" s="7" t="e">
        <f t="shared" ca="1" si="81"/>
        <v>#DIV/0!</v>
      </c>
      <c r="AM255" s="7" t="e">
        <f t="shared" ca="1" si="82"/>
        <v>#DIV/0!</v>
      </c>
      <c r="AN255" s="7" t="e">
        <f t="shared" ca="1" si="83"/>
        <v>#DIV/0!</v>
      </c>
      <c r="AO255" s="7" t="e">
        <f t="shared" ca="1" si="84"/>
        <v>#DIV/0!</v>
      </c>
      <c r="AP255" s="7" t="e">
        <f t="shared" ca="1" si="85"/>
        <v>#DIV/0!</v>
      </c>
      <c r="AQ255" s="7" t="e">
        <f t="shared" ca="1" si="86"/>
        <v>#DIV/0!</v>
      </c>
      <c r="AS255">
        <f t="shared" si="87"/>
        <v>69</v>
      </c>
      <c r="AT255">
        <f t="shared" si="88"/>
        <v>2</v>
      </c>
      <c r="AU255">
        <f t="shared" ca="1" si="89"/>
        <v>1.3196195287381225</v>
      </c>
      <c r="AV255">
        <f t="shared" ca="1" si="90"/>
        <v>0.86966749769630791</v>
      </c>
      <c r="AW255">
        <f ca="1">IF(AND($AT255&lt;3,OFFSET(DATA!$C$14,$AS255,0)=AW$6),$AV255,dNULL)</f>
        <v>-99</v>
      </c>
      <c r="AX255">
        <f ca="1">IF(AND($AT255&lt;3,OFFSET(DATA!$C$14,$AS255,0)=AX$6),$AV255,dNULL)</f>
        <v>-99</v>
      </c>
      <c r="AY255">
        <f ca="1">IF(AND($AT255&lt;3,OFFSET(DATA!$C$14,$AS255,0)=AY$6),$AV255,dNULL)</f>
        <v>-99</v>
      </c>
      <c r="AZ255">
        <f ca="1">IF(AND($AT255&lt;3,OFFSET(DATA!$C$14,$AS255,0)=AZ$6),$AV255,dNULL)</f>
        <v>-99</v>
      </c>
      <c r="BA255">
        <f ca="1">IF(AND($AT255&lt;3,OFFSET(DATA!$C$14,$AS255,0)=BA$6),$AV255,dNULL)</f>
        <v>-99</v>
      </c>
      <c r="BB255">
        <f ca="1">IF(AND($AT255&lt;3,OFFSET(DATA!$C$14,$AS255,0)=BB$6),$AV255,dNULL)</f>
        <v>0.86966749769630791</v>
      </c>
      <c r="BC255">
        <f ca="1">IF(AND($AT255&lt;3,OFFSET(DATA!$C$14,$AS255,0)=BC$6),$AV255,dNULL)</f>
        <v>-99</v>
      </c>
      <c r="BD255">
        <f ca="1">IF(AND($AT255&lt;3,OFFSET(DATA!$C$14,$AS255,0)=BD$6),$AV255,dNULL)</f>
        <v>-99</v>
      </c>
      <c r="BE255">
        <f ca="1">IF(AND($AT255&lt;3,OFFSET(DATA!$C$14,$AS255,0)=BE$6),$AV255,dNULL)</f>
        <v>-99</v>
      </c>
      <c r="BF255">
        <f ca="1">IF(AND($AT255&lt;3,OFFSET(DATA!$C$14,$AS255,0)=BF$6),$AV255,dNULL)</f>
        <v>-99</v>
      </c>
      <c r="BG255">
        <f ca="1">IF(AND($AT255&lt;3,OFFSET(DATA!$C$14,$AS255,0)=BG$6),$AV255,dNULL)</f>
        <v>-99</v>
      </c>
      <c r="BH255">
        <f ca="1">IF(AND($AT255&lt;3,OFFSET(DATA!$C$14,$AS255,0)=BH$6),$AV255,dNULL)</f>
        <v>-99</v>
      </c>
    </row>
    <row r="256" spans="14:60" x14ac:dyDescent="0.25">
      <c r="Y256" s="26"/>
      <c r="Z256" s="26"/>
      <c r="AB256" s="26" t="str">
        <f t="shared" ca="1" si="80"/>
        <v/>
      </c>
      <c r="AC256">
        <f t="shared" ca="1" si="93"/>
        <v>90</v>
      </c>
      <c r="AD256" t="str">
        <f ca="1">IF(AND(AT256&lt;1,MAX(AW256:BH256)&gt;dNULL),DATA!$D264,"")</f>
        <v/>
      </c>
      <c r="AE256" s="7" t="str">
        <f ca="1">IF(LEN(DATA!D264)&gt;0,SUMPRODUCT(OFFSET(DATA!$R$6,AE$5,0,1,10),DATA!$R264:$AA264),"")</f>
        <v/>
      </c>
      <c r="AF256" s="7" t="str">
        <f ca="1">IF(LEN(DATA!E264)&gt;0,SUMPRODUCT(OFFSET(DATA!$R$6,AF$5,0,1,10),DATA!$R264:$AA264),"")</f>
        <v/>
      </c>
      <c r="AG256" s="7" t="str">
        <f ca="1">IF(LEN(DATA!F264)&gt;0,SUMPRODUCT(OFFSET(DATA!$R$6,AG$5,0,1,10),DATA!$R264:$AA264),"")</f>
        <v/>
      </c>
      <c r="AH256" s="7" t="str">
        <f ca="1">IF(LEN(DATA!G264)&gt;0,SUMPRODUCT(OFFSET(DATA!$R$6,AH$5,0,1,10),DATA!$R264:$AA264),"")</f>
        <v/>
      </c>
      <c r="AI256" s="7" t="str">
        <f ca="1">IF(LEN(DATA!H264)&gt;0,SUMPRODUCT(OFFSET(DATA!$R$6,AI$5,0,1,10),DATA!$R264:$AA264),"")</f>
        <v/>
      </c>
      <c r="AJ256" s="7" t="str">
        <f ca="1">IF(LEN(DATA!I264)&gt;0,SUMPRODUCT(OFFSET(DATA!$R$6,AJ$5,0,1,10),DATA!$R264:$AA264),"")</f>
        <v/>
      </c>
      <c r="AK256" s="7"/>
      <c r="AL256" s="7" t="e">
        <f t="shared" ca="1" si="81"/>
        <v>#DIV/0!</v>
      </c>
      <c r="AM256" s="7" t="e">
        <f t="shared" ca="1" si="82"/>
        <v>#DIV/0!</v>
      </c>
      <c r="AN256" s="7" t="e">
        <f t="shared" ca="1" si="83"/>
        <v>#DIV/0!</v>
      </c>
      <c r="AO256" s="7" t="e">
        <f t="shared" ca="1" si="84"/>
        <v>#DIV/0!</v>
      </c>
      <c r="AP256" s="7" t="e">
        <f t="shared" ca="1" si="85"/>
        <v>#DIV/0!</v>
      </c>
      <c r="AQ256" s="7" t="e">
        <f t="shared" ca="1" si="86"/>
        <v>#DIV/0!</v>
      </c>
      <c r="AS256">
        <f t="shared" si="87"/>
        <v>70</v>
      </c>
      <c r="AT256">
        <f t="shared" si="88"/>
        <v>2</v>
      </c>
      <c r="AU256">
        <f t="shared" ca="1" si="89"/>
        <v>1.2001293869284695</v>
      </c>
      <c r="AV256">
        <f t="shared" ca="1" si="90"/>
        <v>0.99278786612895731</v>
      </c>
      <c r="AW256">
        <f ca="1">IF(AND($AT256&lt;3,OFFSET(DATA!$C$14,$AS256,0)=AW$6),$AV256,dNULL)</f>
        <v>-99</v>
      </c>
      <c r="AX256">
        <f ca="1">IF(AND($AT256&lt;3,OFFSET(DATA!$C$14,$AS256,0)=AX$6),$AV256,dNULL)</f>
        <v>-99</v>
      </c>
      <c r="AY256">
        <f ca="1">IF(AND($AT256&lt;3,OFFSET(DATA!$C$14,$AS256,0)=AY$6),$AV256,dNULL)</f>
        <v>-99</v>
      </c>
      <c r="AZ256">
        <f ca="1">IF(AND($AT256&lt;3,OFFSET(DATA!$C$14,$AS256,0)=AZ$6),$AV256,dNULL)</f>
        <v>0.99278786612895731</v>
      </c>
      <c r="BA256">
        <f ca="1">IF(AND($AT256&lt;3,OFFSET(DATA!$C$14,$AS256,0)=BA$6),$AV256,dNULL)</f>
        <v>-99</v>
      </c>
      <c r="BB256">
        <f ca="1">IF(AND($AT256&lt;3,OFFSET(DATA!$C$14,$AS256,0)=BB$6),$AV256,dNULL)</f>
        <v>-99</v>
      </c>
      <c r="BC256">
        <f ca="1">IF(AND($AT256&lt;3,OFFSET(DATA!$C$14,$AS256,0)=BC$6),$AV256,dNULL)</f>
        <v>-99</v>
      </c>
      <c r="BD256">
        <f ca="1">IF(AND($AT256&lt;3,OFFSET(DATA!$C$14,$AS256,0)=BD$6),$AV256,dNULL)</f>
        <v>-99</v>
      </c>
      <c r="BE256">
        <f ca="1">IF(AND($AT256&lt;3,OFFSET(DATA!$C$14,$AS256,0)=BE$6),$AV256,dNULL)</f>
        <v>-99</v>
      </c>
      <c r="BF256">
        <f ca="1">IF(AND($AT256&lt;3,OFFSET(DATA!$C$14,$AS256,0)=BF$6),$AV256,dNULL)</f>
        <v>-99</v>
      </c>
      <c r="BG256">
        <f ca="1">IF(AND($AT256&lt;3,OFFSET(DATA!$C$14,$AS256,0)=BG$6),$AV256,dNULL)</f>
        <v>-99</v>
      </c>
      <c r="BH256">
        <f ca="1">IF(AND($AT256&lt;3,OFFSET(DATA!$C$14,$AS256,0)=BH$6),$AV256,dNULL)</f>
        <v>-99</v>
      </c>
    </row>
    <row r="257" spans="25:60" x14ac:dyDescent="0.25">
      <c r="Y257" s="26"/>
      <c r="Z257" s="26"/>
      <c r="AB257" s="26" t="str">
        <f t="shared" ca="1" si="80"/>
        <v/>
      </c>
      <c r="AC257">
        <f t="shared" ca="1" si="93"/>
        <v>90</v>
      </c>
      <c r="AD257" t="str">
        <f ca="1">IF(AND(AT257&lt;1,MAX(AW257:BH257)&gt;dNULL),DATA!$D265,"")</f>
        <v/>
      </c>
      <c r="AE257" s="7" t="str">
        <f ca="1">IF(LEN(DATA!D265)&gt;0,SUMPRODUCT(OFFSET(DATA!$R$6,AE$5,0,1,10),DATA!$R265:$AA265),"")</f>
        <v/>
      </c>
      <c r="AF257" s="7" t="str">
        <f ca="1">IF(LEN(DATA!E265)&gt;0,SUMPRODUCT(OFFSET(DATA!$R$6,AF$5,0,1,10),DATA!$R265:$AA265),"")</f>
        <v/>
      </c>
      <c r="AG257" s="7" t="str">
        <f ca="1">IF(LEN(DATA!F265)&gt;0,SUMPRODUCT(OFFSET(DATA!$R$6,AG$5,0,1,10),DATA!$R265:$AA265),"")</f>
        <v/>
      </c>
      <c r="AH257" s="7" t="str">
        <f ca="1">IF(LEN(DATA!G265)&gt;0,SUMPRODUCT(OFFSET(DATA!$R$6,AH$5,0,1,10),DATA!$R265:$AA265),"")</f>
        <v/>
      </c>
      <c r="AI257" s="7" t="str">
        <f ca="1">IF(LEN(DATA!H265)&gt;0,SUMPRODUCT(OFFSET(DATA!$R$6,AI$5,0,1,10),DATA!$R265:$AA265),"")</f>
        <v/>
      </c>
      <c r="AJ257" s="7" t="str">
        <f ca="1">IF(LEN(DATA!I265)&gt;0,SUMPRODUCT(OFFSET(DATA!$R$6,AJ$5,0,1,10),DATA!$R265:$AA265),"")</f>
        <v/>
      </c>
      <c r="AK257" s="7"/>
      <c r="AL257" s="7" t="e">
        <f t="shared" ca="1" si="81"/>
        <v>#DIV/0!</v>
      </c>
      <c r="AM257" s="7" t="e">
        <f t="shared" ca="1" si="82"/>
        <v>#DIV/0!</v>
      </c>
      <c r="AN257" s="7" t="e">
        <f t="shared" ca="1" si="83"/>
        <v>#DIV/0!</v>
      </c>
      <c r="AO257" s="7" t="e">
        <f t="shared" ca="1" si="84"/>
        <v>#DIV/0!</v>
      </c>
      <c r="AP257" s="7" t="e">
        <f t="shared" ca="1" si="85"/>
        <v>#DIV/0!</v>
      </c>
      <c r="AQ257" s="7" t="e">
        <f t="shared" ca="1" si="86"/>
        <v>#DIV/0!</v>
      </c>
      <c r="AS257">
        <f t="shared" si="87"/>
        <v>71</v>
      </c>
      <c r="AT257">
        <f t="shared" si="88"/>
        <v>2</v>
      </c>
      <c r="AU257">
        <f t="shared" ca="1" si="89"/>
        <v>1.0248713905075764</v>
      </c>
      <c r="AV257">
        <f t="shared" ca="1" si="90"/>
        <v>1.0200736410453934</v>
      </c>
      <c r="AW257">
        <f ca="1">IF(AND($AT257&lt;3,OFFSET(DATA!$C$14,$AS257,0)=AW$6),$AV257,dNULL)</f>
        <v>1.0200736410453934</v>
      </c>
      <c r="AX257">
        <f ca="1">IF(AND($AT257&lt;3,OFFSET(DATA!$C$14,$AS257,0)=AX$6),$AV257,dNULL)</f>
        <v>-99</v>
      </c>
      <c r="AY257">
        <f ca="1">IF(AND($AT257&lt;3,OFFSET(DATA!$C$14,$AS257,0)=AY$6),$AV257,dNULL)</f>
        <v>-99</v>
      </c>
      <c r="AZ257">
        <f ca="1">IF(AND($AT257&lt;3,OFFSET(DATA!$C$14,$AS257,0)=AZ$6),$AV257,dNULL)</f>
        <v>-99</v>
      </c>
      <c r="BA257">
        <f ca="1">IF(AND($AT257&lt;3,OFFSET(DATA!$C$14,$AS257,0)=BA$6),$AV257,dNULL)</f>
        <v>-99</v>
      </c>
      <c r="BB257">
        <f ca="1">IF(AND($AT257&lt;3,OFFSET(DATA!$C$14,$AS257,0)=BB$6),$AV257,dNULL)</f>
        <v>-99</v>
      </c>
      <c r="BC257">
        <f ca="1">IF(AND($AT257&lt;3,OFFSET(DATA!$C$14,$AS257,0)=BC$6),$AV257,dNULL)</f>
        <v>-99</v>
      </c>
      <c r="BD257">
        <f ca="1">IF(AND($AT257&lt;3,OFFSET(DATA!$C$14,$AS257,0)=BD$6),$AV257,dNULL)</f>
        <v>-99</v>
      </c>
      <c r="BE257">
        <f ca="1">IF(AND($AT257&lt;3,OFFSET(DATA!$C$14,$AS257,0)=BE$6),$AV257,dNULL)</f>
        <v>-99</v>
      </c>
      <c r="BF257">
        <f ca="1">IF(AND($AT257&lt;3,OFFSET(DATA!$C$14,$AS257,0)=BF$6),$AV257,dNULL)</f>
        <v>-99</v>
      </c>
      <c r="BG257">
        <f ca="1">IF(AND($AT257&lt;3,OFFSET(DATA!$C$14,$AS257,0)=BG$6),$AV257,dNULL)</f>
        <v>-99</v>
      </c>
      <c r="BH257">
        <f ca="1">IF(AND($AT257&lt;3,OFFSET(DATA!$C$14,$AS257,0)=BH$6),$AV257,dNULL)</f>
        <v>-99</v>
      </c>
    </row>
    <row r="258" spans="25:60" x14ac:dyDescent="0.25">
      <c r="Y258" s="26"/>
      <c r="Z258" s="26"/>
      <c r="AB258" s="26" t="str">
        <f t="shared" ca="1" si="80"/>
        <v/>
      </c>
      <c r="AC258">
        <f t="shared" ca="1" si="93"/>
        <v>90</v>
      </c>
      <c r="AD258" t="str">
        <f ca="1">IF(AND(AT258&lt;1,MAX(AW258:BH258)&gt;dNULL),DATA!$D266,"")</f>
        <v/>
      </c>
      <c r="AE258" s="7" t="str">
        <f ca="1">IF(LEN(DATA!D266)&gt;0,SUMPRODUCT(OFFSET(DATA!$R$6,AE$5,0,1,10),DATA!$R266:$AA266),"")</f>
        <v/>
      </c>
      <c r="AF258" s="7" t="str">
        <f ca="1">IF(LEN(DATA!E266)&gt;0,SUMPRODUCT(OFFSET(DATA!$R$6,AF$5,0,1,10),DATA!$R266:$AA266),"")</f>
        <v/>
      </c>
      <c r="AG258" s="7" t="str">
        <f ca="1">IF(LEN(DATA!F266)&gt;0,SUMPRODUCT(OFFSET(DATA!$R$6,AG$5,0,1,10),DATA!$R266:$AA266),"")</f>
        <v/>
      </c>
      <c r="AH258" s="7" t="str">
        <f ca="1">IF(LEN(DATA!G266)&gt;0,SUMPRODUCT(OFFSET(DATA!$R$6,AH$5,0,1,10),DATA!$R266:$AA266),"")</f>
        <v/>
      </c>
      <c r="AI258" s="7" t="str">
        <f ca="1">IF(LEN(DATA!H266)&gt;0,SUMPRODUCT(OFFSET(DATA!$R$6,AI$5,0,1,10),DATA!$R266:$AA266),"")</f>
        <v/>
      </c>
      <c r="AJ258" s="7" t="str">
        <f ca="1">IF(LEN(DATA!I266)&gt;0,SUMPRODUCT(OFFSET(DATA!$R$6,AJ$5,0,1,10),DATA!$R266:$AA266),"")</f>
        <v/>
      </c>
      <c r="AK258" s="7"/>
      <c r="AL258" s="7" t="e">
        <f t="shared" ca="1" si="81"/>
        <v>#DIV/0!</v>
      </c>
      <c r="AM258" s="7" t="e">
        <f t="shared" ca="1" si="82"/>
        <v>#DIV/0!</v>
      </c>
      <c r="AN258" s="7" t="e">
        <f t="shared" ca="1" si="83"/>
        <v>#DIV/0!</v>
      </c>
      <c r="AO258" s="7" t="e">
        <f t="shared" ca="1" si="84"/>
        <v>#DIV/0!</v>
      </c>
      <c r="AP258" s="7" t="e">
        <f t="shared" ca="1" si="85"/>
        <v>#DIV/0!</v>
      </c>
      <c r="AQ258" s="7" t="e">
        <f t="shared" ca="1" si="86"/>
        <v>#DIV/0!</v>
      </c>
      <c r="AS258">
        <f t="shared" si="87"/>
        <v>72</v>
      </c>
      <c r="AT258">
        <f t="shared" si="88"/>
        <v>2</v>
      </c>
      <c r="AU258">
        <f t="shared" ca="1" si="89"/>
        <v>1.0213811095693157</v>
      </c>
      <c r="AV258">
        <f t="shared" ca="1" si="90"/>
        <v>1.0262493220018203</v>
      </c>
      <c r="AW258">
        <f ca="1">IF(AND($AT258&lt;3,OFFSET(DATA!$C$14,$AS258,0)=AW$6),$AV258,dNULL)</f>
        <v>1.0262493220018203</v>
      </c>
      <c r="AX258">
        <f ca="1">IF(AND($AT258&lt;3,OFFSET(DATA!$C$14,$AS258,0)=AX$6),$AV258,dNULL)</f>
        <v>-99</v>
      </c>
      <c r="AY258">
        <f ca="1">IF(AND($AT258&lt;3,OFFSET(DATA!$C$14,$AS258,0)=AY$6),$AV258,dNULL)</f>
        <v>-99</v>
      </c>
      <c r="AZ258">
        <f ca="1">IF(AND($AT258&lt;3,OFFSET(DATA!$C$14,$AS258,0)=AZ$6),$AV258,dNULL)</f>
        <v>-99</v>
      </c>
      <c r="BA258">
        <f ca="1">IF(AND($AT258&lt;3,OFFSET(DATA!$C$14,$AS258,0)=BA$6),$AV258,dNULL)</f>
        <v>-99</v>
      </c>
      <c r="BB258">
        <f ca="1">IF(AND($AT258&lt;3,OFFSET(DATA!$C$14,$AS258,0)=BB$6),$AV258,dNULL)</f>
        <v>-99</v>
      </c>
      <c r="BC258">
        <f ca="1">IF(AND($AT258&lt;3,OFFSET(DATA!$C$14,$AS258,0)=BC$6),$AV258,dNULL)</f>
        <v>-99</v>
      </c>
      <c r="BD258">
        <f ca="1">IF(AND($AT258&lt;3,OFFSET(DATA!$C$14,$AS258,0)=BD$6),$AV258,dNULL)</f>
        <v>-99</v>
      </c>
      <c r="BE258">
        <f ca="1">IF(AND($AT258&lt;3,OFFSET(DATA!$C$14,$AS258,0)=BE$6),$AV258,dNULL)</f>
        <v>-99</v>
      </c>
      <c r="BF258">
        <f ca="1">IF(AND($AT258&lt;3,OFFSET(DATA!$C$14,$AS258,0)=BF$6),$AV258,dNULL)</f>
        <v>-99</v>
      </c>
      <c r="BG258">
        <f ca="1">IF(AND($AT258&lt;3,OFFSET(DATA!$C$14,$AS258,0)=BG$6),$AV258,dNULL)</f>
        <v>-99</v>
      </c>
      <c r="BH258">
        <f ca="1">IF(AND($AT258&lt;3,OFFSET(DATA!$C$14,$AS258,0)=BH$6),$AV258,dNULL)</f>
        <v>-99</v>
      </c>
    </row>
    <row r="259" spans="25:60" x14ac:dyDescent="0.25">
      <c r="Y259" s="26"/>
      <c r="Z259" s="26"/>
      <c r="AB259" s="26" t="str">
        <f t="shared" ca="1" si="80"/>
        <v/>
      </c>
      <c r="AC259">
        <f t="shared" ca="1" si="93"/>
        <v>90</v>
      </c>
      <c r="AD259" t="str">
        <f ca="1">IF(AND(AT259&lt;1,MAX(AW259:BH259)&gt;dNULL),DATA!$D267,"")</f>
        <v/>
      </c>
      <c r="AE259" s="7" t="str">
        <f ca="1">IF(LEN(DATA!D267)&gt;0,SUMPRODUCT(OFFSET(DATA!$R$6,AE$5,0,1,10),DATA!$R267:$AA267),"")</f>
        <v/>
      </c>
      <c r="AF259" s="7" t="str">
        <f ca="1">IF(LEN(DATA!E267)&gt;0,SUMPRODUCT(OFFSET(DATA!$R$6,AF$5,0,1,10),DATA!$R267:$AA267),"")</f>
        <v/>
      </c>
      <c r="AG259" s="7" t="str">
        <f ca="1">IF(LEN(DATA!F267)&gt;0,SUMPRODUCT(OFFSET(DATA!$R$6,AG$5,0,1,10),DATA!$R267:$AA267),"")</f>
        <v/>
      </c>
      <c r="AH259" s="7" t="str">
        <f ca="1">IF(LEN(DATA!G267)&gt;0,SUMPRODUCT(OFFSET(DATA!$R$6,AH$5,0,1,10),DATA!$R267:$AA267),"")</f>
        <v/>
      </c>
      <c r="AI259" s="7" t="str">
        <f ca="1">IF(LEN(DATA!H267)&gt;0,SUMPRODUCT(OFFSET(DATA!$R$6,AI$5,0,1,10),DATA!$R267:$AA267),"")</f>
        <v/>
      </c>
      <c r="AJ259" s="7" t="str">
        <f ca="1">IF(LEN(DATA!I267)&gt;0,SUMPRODUCT(OFFSET(DATA!$R$6,AJ$5,0,1,10),DATA!$R267:$AA267),"")</f>
        <v/>
      </c>
      <c r="AK259" s="7"/>
      <c r="AL259" s="7" t="e">
        <f t="shared" ca="1" si="81"/>
        <v>#DIV/0!</v>
      </c>
      <c r="AM259" s="7" t="e">
        <f t="shared" ca="1" si="82"/>
        <v>#DIV/0!</v>
      </c>
      <c r="AN259" s="7" t="e">
        <f t="shared" ca="1" si="83"/>
        <v>#DIV/0!</v>
      </c>
      <c r="AO259" s="7" t="e">
        <f t="shared" ca="1" si="84"/>
        <v>#DIV/0!</v>
      </c>
      <c r="AP259" s="7" t="e">
        <f t="shared" ca="1" si="85"/>
        <v>#DIV/0!</v>
      </c>
      <c r="AQ259" s="7" t="e">
        <f t="shared" ca="1" si="86"/>
        <v>#DIV/0!</v>
      </c>
      <c r="AS259">
        <f t="shared" si="87"/>
        <v>73</v>
      </c>
      <c r="AT259">
        <f t="shared" si="88"/>
        <v>2</v>
      </c>
      <c r="AU259">
        <f t="shared" ca="1" si="89"/>
        <v>1.0284060016373233</v>
      </c>
      <c r="AV259">
        <f t="shared" ca="1" si="90"/>
        <v>1.0190546888389365</v>
      </c>
      <c r="AW259">
        <f ca="1">IF(AND($AT259&lt;3,OFFSET(DATA!$C$14,$AS259,0)=AW$6),$AV259,dNULL)</f>
        <v>1.0190546888389365</v>
      </c>
      <c r="AX259">
        <f ca="1">IF(AND($AT259&lt;3,OFFSET(DATA!$C$14,$AS259,0)=AX$6),$AV259,dNULL)</f>
        <v>-99</v>
      </c>
      <c r="AY259">
        <f ca="1">IF(AND($AT259&lt;3,OFFSET(DATA!$C$14,$AS259,0)=AY$6),$AV259,dNULL)</f>
        <v>-99</v>
      </c>
      <c r="AZ259">
        <f ca="1">IF(AND($AT259&lt;3,OFFSET(DATA!$C$14,$AS259,0)=AZ$6),$AV259,dNULL)</f>
        <v>-99</v>
      </c>
      <c r="BA259">
        <f ca="1">IF(AND($AT259&lt;3,OFFSET(DATA!$C$14,$AS259,0)=BA$6),$AV259,dNULL)</f>
        <v>-99</v>
      </c>
      <c r="BB259">
        <f ca="1">IF(AND($AT259&lt;3,OFFSET(DATA!$C$14,$AS259,0)=BB$6),$AV259,dNULL)</f>
        <v>-99</v>
      </c>
      <c r="BC259">
        <f ca="1">IF(AND($AT259&lt;3,OFFSET(DATA!$C$14,$AS259,0)=BC$6),$AV259,dNULL)</f>
        <v>-99</v>
      </c>
      <c r="BD259">
        <f ca="1">IF(AND($AT259&lt;3,OFFSET(DATA!$C$14,$AS259,0)=BD$6),$AV259,dNULL)</f>
        <v>-99</v>
      </c>
      <c r="BE259">
        <f ca="1">IF(AND($AT259&lt;3,OFFSET(DATA!$C$14,$AS259,0)=BE$6),$AV259,dNULL)</f>
        <v>-99</v>
      </c>
      <c r="BF259">
        <f ca="1">IF(AND($AT259&lt;3,OFFSET(DATA!$C$14,$AS259,0)=BF$6),$AV259,dNULL)</f>
        <v>-99</v>
      </c>
      <c r="BG259">
        <f ca="1">IF(AND($AT259&lt;3,OFFSET(DATA!$C$14,$AS259,0)=BG$6),$AV259,dNULL)</f>
        <v>-99</v>
      </c>
      <c r="BH259">
        <f ca="1">IF(AND($AT259&lt;3,OFFSET(DATA!$C$14,$AS259,0)=BH$6),$AV259,dNULL)</f>
        <v>-99</v>
      </c>
    </row>
    <row r="260" spans="25:60" x14ac:dyDescent="0.25">
      <c r="Y260" s="26"/>
      <c r="Z260" s="26"/>
      <c r="AB260" s="26" t="str">
        <f t="shared" ca="1" si="80"/>
        <v/>
      </c>
      <c r="AC260">
        <f t="shared" ca="1" si="93"/>
        <v>90</v>
      </c>
      <c r="AD260" t="str">
        <f ca="1">IF(AND(AT260&lt;1,MAX(AW260:BH260)&gt;dNULL),DATA!$D268,"")</f>
        <v/>
      </c>
      <c r="AE260" s="7" t="str">
        <f ca="1">IF(LEN(DATA!D268)&gt;0,SUMPRODUCT(OFFSET(DATA!$R$6,AE$5,0,1,10),DATA!$R268:$AA268),"")</f>
        <v/>
      </c>
      <c r="AF260" s="7" t="str">
        <f ca="1">IF(LEN(DATA!E268)&gt;0,SUMPRODUCT(OFFSET(DATA!$R$6,AF$5,0,1,10),DATA!$R268:$AA268),"")</f>
        <v/>
      </c>
      <c r="AG260" s="7" t="str">
        <f ca="1">IF(LEN(DATA!F268)&gt;0,SUMPRODUCT(OFFSET(DATA!$R$6,AG$5,0,1,10),DATA!$R268:$AA268),"")</f>
        <v/>
      </c>
      <c r="AH260" s="7" t="str">
        <f ca="1">IF(LEN(DATA!G268)&gt;0,SUMPRODUCT(OFFSET(DATA!$R$6,AH$5,0,1,10),DATA!$R268:$AA268),"")</f>
        <v/>
      </c>
      <c r="AI260" s="7" t="str">
        <f ca="1">IF(LEN(DATA!H268)&gt;0,SUMPRODUCT(OFFSET(DATA!$R$6,AI$5,0,1,10),DATA!$R268:$AA268),"")</f>
        <v/>
      </c>
      <c r="AJ260" s="7" t="str">
        <f ca="1">IF(LEN(DATA!I268)&gt;0,SUMPRODUCT(OFFSET(DATA!$R$6,AJ$5,0,1,10),DATA!$R268:$AA268),"")</f>
        <v/>
      </c>
      <c r="AK260" s="7"/>
      <c r="AL260" s="7" t="e">
        <f t="shared" ca="1" si="81"/>
        <v>#DIV/0!</v>
      </c>
      <c r="AM260" s="7" t="e">
        <f t="shared" ca="1" si="82"/>
        <v>#DIV/0!</v>
      </c>
      <c r="AN260" s="7" t="e">
        <f t="shared" ca="1" si="83"/>
        <v>#DIV/0!</v>
      </c>
      <c r="AO260" s="7" t="e">
        <f t="shared" ca="1" si="84"/>
        <v>#DIV/0!</v>
      </c>
      <c r="AP260" s="7" t="e">
        <f t="shared" ca="1" si="85"/>
        <v>#DIV/0!</v>
      </c>
      <c r="AQ260" s="7" t="e">
        <f t="shared" ca="1" si="86"/>
        <v>#DIV/0!</v>
      </c>
      <c r="AS260">
        <f t="shared" si="87"/>
        <v>74</v>
      </c>
      <c r="AT260">
        <f t="shared" si="88"/>
        <v>2</v>
      </c>
      <c r="AU260">
        <f t="shared" ca="1" si="89"/>
        <v>1.12249084531327</v>
      </c>
      <c r="AV260">
        <f t="shared" ca="1" si="90"/>
        <v>0.89860924451072544</v>
      </c>
      <c r="AW260">
        <f ca="1">IF(AND($AT260&lt;3,OFFSET(DATA!$C$14,$AS260,0)=AW$6),$AV260,dNULL)</f>
        <v>0.89860924451072544</v>
      </c>
      <c r="AX260">
        <f ca="1">IF(AND($AT260&lt;3,OFFSET(DATA!$C$14,$AS260,0)=AX$6),$AV260,dNULL)</f>
        <v>-99</v>
      </c>
      <c r="AY260">
        <f ca="1">IF(AND($AT260&lt;3,OFFSET(DATA!$C$14,$AS260,0)=AY$6),$AV260,dNULL)</f>
        <v>-99</v>
      </c>
      <c r="AZ260">
        <f ca="1">IF(AND($AT260&lt;3,OFFSET(DATA!$C$14,$AS260,0)=AZ$6),$AV260,dNULL)</f>
        <v>-99</v>
      </c>
      <c r="BA260">
        <f ca="1">IF(AND($AT260&lt;3,OFFSET(DATA!$C$14,$AS260,0)=BA$6),$AV260,dNULL)</f>
        <v>-99</v>
      </c>
      <c r="BB260">
        <f ca="1">IF(AND($AT260&lt;3,OFFSET(DATA!$C$14,$AS260,0)=BB$6),$AV260,dNULL)</f>
        <v>-99</v>
      </c>
      <c r="BC260">
        <f ca="1">IF(AND($AT260&lt;3,OFFSET(DATA!$C$14,$AS260,0)=BC$6),$AV260,dNULL)</f>
        <v>-99</v>
      </c>
      <c r="BD260">
        <f ca="1">IF(AND($AT260&lt;3,OFFSET(DATA!$C$14,$AS260,0)=BD$6),$AV260,dNULL)</f>
        <v>-99</v>
      </c>
      <c r="BE260">
        <f ca="1">IF(AND($AT260&lt;3,OFFSET(DATA!$C$14,$AS260,0)=BE$6),$AV260,dNULL)</f>
        <v>-99</v>
      </c>
      <c r="BF260">
        <f ca="1">IF(AND($AT260&lt;3,OFFSET(DATA!$C$14,$AS260,0)=BF$6),$AV260,dNULL)</f>
        <v>-99</v>
      </c>
      <c r="BG260">
        <f ca="1">IF(AND($AT260&lt;3,OFFSET(DATA!$C$14,$AS260,0)=BG$6),$AV260,dNULL)</f>
        <v>-99</v>
      </c>
      <c r="BH260">
        <f ca="1">IF(AND($AT260&lt;3,OFFSET(DATA!$C$14,$AS260,0)=BH$6),$AV260,dNULL)</f>
        <v>-99</v>
      </c>
    </row>
    <row r="261" spans="25:60" x14ac:dyDescent="0.25">
      <c r="Y261" s="26"/>
      <c r="Z261" s="26"/>
      <c r="AB261" s="26" t="str">
        <f t="shared" ca="1" si="80"/>
        <v/>
      </c>
      <c r="AC261">
        <f t="shared" ca="1" si="93"/>
        <v>90</v>
      </c>
      <c r="AD261" t="str">
        <f ca="1">IF(AND(AT261&lt;1,MAX(AW261:BH261)&gt;dNULL),DATA!$D269,"")</f>
        <v/>
      </c>
      <c r="AE261" s="7" t="str">
        <f ca="1">IF(LEN(DATA!D269)&gt;0,SUMPRODUCT(OFFSET(DATA!$R$6,AE$5,0,1,10),DATA!$R269:$AA269),"")</f>
        <v/>
      </c>
      <c r="AF261" s="7" t="str">
        <f ca="1">IF(LEN(DATA!E269)&gt;0,SUMPRODUCT(OFFSET(DATA!$R$6,AF$5,0,1,10),DATA!$R269:$AA269),"")</f>
        <v/>
      </c>
      <c r="AG261" s="7" t="str">
        <f ca="1">IF(LEN(DATA!F269)&gt;0,SUMPRODUCT(OFFSET(DATA!$R$6,AG$5,0,1,10),DATA!$R269:$AA269),"")</f>
        <v/>
      </c>
      <c r="AH261" s="7" t="str">
        <f ca="1">IF(LEN(DATA!G269)&gt;0,SUMPRODUCT(OFFSET(DATA!$R$6,AH$5,0,1,10),DATA!$R269:$AA269),"")</f>
        <v/>
      </c>
      <c r="AI261" s="7" t="str">
        <f ca="1">IF(LEN(DATA!H269)&gt;0,SUMPRODUCT(OFFSET(DATA!$R$6,AI$5,0,1,10),DATA!$R269:$AA269),"")</f>
        <v/>
      </c>
      <c r="AJ261" s="7" t="str">
        <f ca="1">IF(LEN(DATA!I269)&gt;0,SUMPRODUCT(OFFSET(DATA!$R$6,AJ$5,0,1,10),DATA!$R269:$AA269),"")</f>
        <v/>
      </c>
      <c r="AK261" s="7"/>
      <c r="AL261" s="7" t="e">
        <f t="shared" ca="1" si="81"/>
        <v>#DIV/0!</v>
      </c>
      <c r="AM261" s="7" t="e">
        <f t="shared" ca="1" si="82"/>
        <v>#DIV/0!</v>
      </c>
      <c r="AN261" s="7" t="e">
        <f t="shared" ca="1" si="83"/>
        <v>#DIV/0!</v>
      </c>
      <c r="AO261" s="7" t="e">
        <f t="shared" ca="1" si="84"/>
        <v>#DIV/0!</v>
      </c>
      <c r="AP261" s="7" t="e">
        <f t="shared" ca="1" si="85"/>
        <v>#DIV/0!</v>
      </c>
      <c r="AQ261" s="7" t="e">
        <f t="shared" ca="1" si="86"/>
        <v>#DIV/0!</v>
      </c>
      <c r="AS261">
        <f t="shared" si="87"/>
        <v>75</v>
      </c>
      <c r="AT261">
        <f t="shared" si="88"/>
        <v>2</v>
      </c>
      <c r="AU261">
        <f t="shared" ca="1" si="89"/>
        <v>1.2147749386588798</v>
      </c>
      <c r="AV261">
        <f t="shared" ca="1" si="90"/>
        <v>0.94440462670109149</v>
      </c>
      <c r="AW261">
        <f ca="1">IF(AND($AT261&lt;3,OFFSET(DATA!$C$14,$AS261,0)=AW$6),$AV261,dNULL)</f>
        <v>-99</v>
      </c>
      <c r="AX261">
        <f ca="1">IF(AND($AT261&lt;3,OFFSET(DATA!$C$14,$AS261,0)=AX$6),$AV261,dNULL)</f>
        <v>-99</v>
      </c>
      <c r="AY261">
        <f ca="1">IF(AND($AT261&lt;3,OFFSET(DATA!$C$14,$AS261,0)=AY$6),$AV261,dNULL)</f>
        <v>-99</v>
      </c>
      <c r="AZ261">
        <f ca="1">IF(AND($AT261&lt;3,OFFSET(DATA!$C$14,$AS261,0)=AZ$6),$AV261,dNULL)</f>
        <v>0.94440462670109149</v>
      </c>
      <c r="BA261">
        <f ca="1">IF(AND($AT261&lt;3,OFFSET(DATA!$C$14,$AS261,0)=BA$6),$AV261,dNULL)</f>
        <v>-99</v>
      </c>
      <c r="BB261">
        <f ca="1">IF(AND($AT261&lt;3,OFFSET(DATA!$C$14,$AS261,0)=BB$6),$AV261,dNULL)</f>
        <v>-99</v>
      </c>
      <c r="BC261">
        <f ca="1">IF(AND($AT261&lt;3,OFFSET(DATA!$C$14,$AS261,0)=BC$6),$AV261,dNULL)</f>
        <v>-99</v>
      </c>
      <c r="BD261">
        <f ca="1">IF(AND($AT261&lt;3,OFFSET(DATA!$C$14,$AS261,0)=BD$6),$AV261,dNULL)</f>
        <v>-99</v>
      </c>
      <c r="BE261">
        <f ca="1">IF(AND($AT261&lt;3,OFFSET(DATA!$C$14,$AS261,0)=BE$6),$AV261,dNULL)</f>
        <v>-99</v>
      </c>
      <c r="BF261">
        <f ca="1">IF(AND($AT261&lt;3,OFFSET(DATA!$C$14,$AS261,0)=BF$6),$AV261,dNULL)</f>
        <v>-99</v>
      </c>
      <c r="BG261">
        <f ca="1">IF(AND($AT261&lt;3,OFFSET(DATA!$C$14,$AS261,0)=BG$6),$AV261,dNULL)</f>
        <v>-99</v>
      </c>
      <c r="BH261">
        <f ca="1">IF(AND($AT261&lt;3,OFFSET(DATA!$C$14,$AS261,0)=BH$6),$AV261,dNULL)</f>
        <v>-99</v>
      </c>
    </row>
    <row r="262" spans="25:60" x14ac:dyDescent="0.25">
      <c r="Y262" s="26"/>
      <c r="Z262" s="26"/>
      <c r="AB262" s="26" t="str">
        <f t="shared" ca="1" si="80"/>
        <v/>
      </c>
      <c r="AC262">
        <f t="shared" ca="1" si="93"/>
        <v>90</v>
      </c>
      <c r="AD262" t="str">
        <f ca="1">IF(AND(AT262&lt;1,MAX(AW262:BH262)&gt;dNULL),DATA!$D270,"")</f>
        <v/>
      </c>
      <c r="AE262" s="7" t="str">
        <f ca="1">IF(LEN(DATA!D270)&gt;0,SUMPRODUCT(OFFSET(DATA!$R$6,AE$5,0,1,10),DATA!$R270:$AA270),"")</f>
        <v/>
      </c>
      <c r="AF262" s="7" t="str">
        <f ca="1">IF(LEN(DATA!E270)&gt;0,SUMPRODUCT(OFFSET(DATA!$R$6,AF$5,0,1,10),DATA!$R270:$AA270),"")</f>
        <v/>
      </c>
      <c r="AG262" s="7" t="str">
        <f ca="1">IF(LEN(DATA!F270)&gt;0,SUMPRODUCT(OFFSET(DATA!$R$6,AG$5,0,1,10),DATA!$R270:$AA270),"")</f>
        <v/>
      </c>
      <c r="AH262" s="7" t="str">
        <f ca="1">IF(LEN(DATA!G270)&gt;0,SUMPRODUCT(OFFSET(DATA!$R$6,AH$5,0,1,10),DATA!$R270:$AA270),"")</f>
        <v/>
      </c>
      <c r="AI262" s="7" t="str">
        <f ca="1">IF(LEN(DATA!H270)&gt;0,SUMPRODUCT(OFFSET(DATA!$R$6,AI$5,0,1,10),DATA!$R270:$AA270),"")</f>
        <v/>
      </c>
      <c r="AJ262" s="7" t="str">
        <f ca="1">IF(LEN(DATA!I270)&gt;0,SUMPRODUCT(OFFSET(DATA!$R$6,AJ$5,0,1,10),DATA!$R270:$AA270),"")</f>
        <v/>
      </c>
      <c r="AK262" s="7"/>
      <c r="AL262" s="7" t="e">
        <f t="shared" ca="1" si="81"/>
        <v>#DIV/0!</v>
      </c>
      <c r="AM262" s="7" t="e">
        <f t="shared" ca="1" si="82"/>
        <v>#DIV/0!</v>
      </c>
      <c r="AN262" s="7" t="e">
        <f t="shared" ca="1" si="83"/>
        <v>#DIV/0!</v>
      </c>
      <c r="AO262" s="7" t="e">
        <f t="shared" ca="1" si="84"/>
        <v>#DIV/0!</v>
      </c>
      <c r="AP262" s="7" t="e">
        <f t="shared" ca="1" si="85"/>
        <v>#DIV/0!</v>
      </c>
      <c r="AQ262" s="7" t="e">
        <f t="shared" ca="1" si="86"/>
        <v>#DIV/0!</v>
      </c>
      <c r="AS262">
        <f t="shared" si="87"/>
        <v>76</v>
      </c>
      <c r="AT262">
        <f t="shared" si="88"/>
        <v>2</v>
      </c>
      <c r="AU262">
        <f t="shared" ca="1" si="89"/>
        <v>1.2283807559257935</v>
      </c>
      <c r="AV262">
        <f t="shared" ca="1" si="90"/>
        <v>0.96981838341680593</v>
      </c>
      <c r="AW262">
        <f ca="1">IF(AND($AT262&lt;3,OFFSET(DATA!$C$14,$AS262,0)=AW$6),$AV262,dNULL)</f>
        <v>-99</v>
      </c>
      <c r="AX262">
        <f ca="1">IF(AND($AT262&lt;3,OFFSET(DATA!$C$14,$AS262,0)=AX$6),$AV262,dNULL)</f>
        <v>-99</v>
      </c>
      <c r="AY262">
        <f ca="1">IF(AND($AT262&lt;3,OFFSET(DATA!$C$14,$AS262,0)=AY$6),$AV262,dNULL)</f>
        <v>-99</v>
      </c>
      <c r="AZ262">
        <f ca="1">IF(AND($AT262&lt;3,OFFSET(DATA!$C$14,$AS262,0)=AZ$6),$AV262,dNULL)</f>
        <v>0.96981838341680593</v>
      </c>
      <c r="BA262">
        <f ca="1">IF(AND($AT262&lt;3,OFFSET(DATA!$C$14,$AS262,0)=BA$6),$AV262,dNULL)</f>
        <v>-99</v>
      </c>
      <c r="BB262">
        <f ca="1">IF(AND($AT262&lt;3,OFFSET(DATA!$C$14,$AS262,0)=BB$6),$AV262,dNULL)</f>
        <v>-99</v>
      </c>
      <c r="BC262">
        <f ca="1">IF(AND($AT262&lt;3,OFFSET(DATA!$C$14,$AS262,0)=BC$6),$AV262,dNULL)</f>
        <v>-99</v>
      </c>
      <c r="BD262">
        <f ca="1">IF(AND($AT262&lt;3,OFFSET(DATA!$C$14,$AS262,0)=BD$6),$AV262,dNULL)</f>
        <v>-99</v>
      </c>
      <c r="BE262">
        <f ca="1">IF(AND($AT262&lt;3,OFFSET(DATA!$C$14,$AS262,0)=BE$6),$AV262,dNULL)</f>
        <v>-99</v>
      </c>
      <c r="BF262">
        <f ca="1">IF(AND($AT262&lt;3,OFFSET(DATA!$C$14,$AS262,0)=BF$6),$AV262,dNULL)</f>
        <v>-99</v>
      </c>
      <c r="BG262">
        <f ca="1">IF(AND($AT262&lt;3,OFFSET(DATA!$C$14,$AS262,0)=BG$6),$AV262,dNULL)</f>
        <v>-99</v>
      </c>
      <c r="BH262">
        <f ca="1">IF(AND($AT262&lt;3,OFFSET(DATA!$C$14,$AS262,0)=BH$6),$AV262,dNULL)</f>
        <v>-99</v>
      </c>
    </row>
    <row r="263" spans="25:60" x14ac:dyDescent="0.25">
      <c r="Y263" s="26"/>
      <c r="Z263" s="26"/>
      <c r="AB263" s="26" t="str">
        <f t="shared" ref="AB263:AB314" ca="1" si="96">IF(ROW(AB263)-ROW($AB$6)&lt;=$AB$5,OFFSET($AD$6,MATCH(ROW(AB263)-ROW($AB$6),$AC$7:$AC$314,0),0),"")</f>
        <v/>
      </c>
      <c r="AC263">
        <f t="shared" ca="1" si="93"/>
        <v>90</v>
      </c>
      <c r="AD263" t="str">
        <f ca="1">IF(AND(AT263&lt;1,MAX(AW263:BH263)&gt;dNULL),DATA!$D271,"")</f>
        <v/>
      </c>
      <c r="AE263" s="7" t="str">
        <f ca="1">IF(LEN(DATA!D271)&gt;0,SUMPRODUCT(OFFSET(DATA!$R$6,AE$5,0,1,10),DATA!$R271:$AA271),"")</f>
        <v/>
      </c>
      <c r="AF263" s="7" t="str">
        <f ca="1">IF(LEN(DATA!E271)&gt;0,SUMPRODUCT(OFFSET(DATA!$R$6,AF$5,0,1,10),DATA!$R271:$AA271),"")</f>
        <v/>
      </c>
      <c r="AG263" s="7" t="str">
        <f ca="1">IF(LEN(DATA!F271)&gt;0,SUMPRODUCT(OFFSET(DATA!$R$6,AG$5,0,1,10),DATA!$R271:$AA271),"")</f>
        <v/>
      </c>
      <c r="AH263" s="7" t="str">
        <f ca="1">IF(LEN(DATA!G271)&gt;0,SUMPRODUCT(OFFSET(DATA!$R$6,AH$5,0,1,10),DATA!$R271:$AA271),"")</f>
        <v/>
      </c>
      <c r="AI263" s="7" t="str">
        <f ca="1">IF(LEN(DATA!H271)&gt;0,SUMPRODUCT(OFFSET(DATA!$R$6,AI$5,0,1,10),DATA!$R271:$AA271),"")</f>
        <v/>
      </c>
      <c r="AJ263" s="7" t="str">
        <f ca="1">IF(LEN(DATA!I271)&gt;0,SUMPRODUCT(OFFSET(DATA!$R$6,AJ$5,0,1,10),DATA!$R271:$AA271),"")</f>
        <v/>
      </c>
      <c r="AK263" s="7"/>
      <c r="AL263" s="7" t="e">
        <f t="shared" ref="AL263:AL306" ca="1" si="97">IF(ISNUMBER(AE263),AE263,0)/SUM($AE263:$AG263)</f>
        <v>#DIV/0!</v>
      </c>
      <c r="AM263" s="7" t="e">
        <f t="shared" ref="AM263:AM306" ca="1" si="98">IF(ISNUMBER(AF263),AF263,0)/SUM($AE263:$AG263)</f>
        <v>#DIV/0!</v>
      </c>
      <c r="AN263" s="7" t="e">
        <f t="shared" ref="AN263:AN306" ca="1" si="99">IF(ISNUMBER(AH263),AH263,0)/SUM($AH263:$AJ263)</f>
        <v>#DIV/0!</v>
      </c>
      <c r="AO263" s="7" t="e">
        <f t="shared" ref="AO263:AO306" ca="1" si="100">IF(ISNUMBER(AI263),AI263,0)/SUM($AH263:$AJ263)</f>
        <v>#DIV/0!</v>
      </c>
      <c r="AP263" s="7" t="e">
        <f t="shared" ref="AP263:AP306" ca="1" si="101">IF(ISNUMBER(AG263),AG263,0)/SUM($AE263:$AG263)</f>
        <v>#DIV/0!</v>
      </c>
      <c r="AQ263" s="7" t="e">
        <f t="shared" ref="AQ263:AQ306" ca="1" si="102">IF(ISNUMBER(AJ263),AJ263,0)/SUM($AH263:$AJ263)</f>
        <v>#DIV/0!</v>
      </c>
      <c r="AS263">
        <f t="shared" ref="AS263:AS326" si="103">MOD(ROW(AT263)-ROW($AT$7),lCNTsites)+1</f>
        <v>77</v>
      </c>
      <c r="AT263">
        <f t="shared" ref="AT263:AT326" si="104">INT((ROW(AT263)-ROW($AT$7))/lCNTsites)</f>
        <v>2</v>
      </c>
      <c r="AU263">
        <f t="shared" ref="AU263:AU326" ca="1" si="105">IF($AT263=0,(1-OFFSET($AL$6,$AS263,$AT263*2))-OFFSET($AL$6,$AS263,$AT263*2+1)*$K$8,IF($AT263=1,dAnionOFF+1+OFFSET($AL$6,$AS263,$AT263*2)+OFFSET($AL$6,$AS263,$AT263*2+1)/2,IF($AT263=2,$K$17-(1-OFFSET($AL$6,$AS263,$AT263*2))*0.5+(1-OFFSET($AL$6,$AS263,$AT263*2+1))*0.5,dNULL)))</f>
        <v>1.0552172425804149</v>
      </c>
      <c r="AV263">
        <f t="shared" ref="AV263:AV326" ca="1" si="106">IF($AT263=0,OFFSET($AL$6,$AS263,$AT263*2+1)*$L$8,IF($AT263=1,OFFSET($AL$6,$AS263,$AT263*2+1)*3^0.5/2,IF($AT263=2,$L$17+(2-OFFSET($AL$6,$AS263,$AT263*2)-OFFSET($AL$6,$AS263,$AT263*2+1))*$L$8,dNULL)))</f>
        <v>1.0463778302493247</v>
      </c>
      <c r="AW263">
        <f ca="1">IF(AND($AT263&lt;3,OFFSET(DATA!$C$14,$AS263,0)=AW$6),$AV263,dNULL)</f>
        <v>-99</v>
      </c>
      <c r="AX263">
        <f ca="1">IF(AND($AT263&lt;3,OFFSET(DATA!$C$14,$AS263,0)=AX$6),$AV263,dNULL)</f>
        <v>1.0463778302493247</v>
      </c>
      <c r="AY263">
        <f ca="1">IF(AND($AT263&lt;3,OFFSET(DATA!$C$14,$AS263,0)=AY$6),$AV263,dNULL)</f>
        <v>-99</v>
      </c>
      <c r="AZ263">
        <f ca="1">IF(AND($AT263&lt;3,OFFSET(DATA!$C$14,$AS263,0)=AZ$6),$AV263,dNULL)</f>
        <v>-99</v>
      </c>
      <c r="BA263">
        <f ca="1">IF(AND($AT263&lt;3,OFFSET(DATA!$C$14,$AS263,0)=BA$6),$AV263,dNULL)</f>
        <v>-99</v>
      </c>
      <c r="BB263">
        <f ca="1">IF(AND($AT263&lt;3,OFFSET(DATA!$C$14,$AS263,0)=BB$6),$AV263,dNULL)</f>
        <v>-99</v>
      </c>
      <c r="BC263">
        <f ca="1">IF(AND($AT263&lt;3,OFFSET(DATA!$C$14,$AS263,0)=BC$6),$AV263,dNULL)</f>
        <v>-99</v>
      </c>
      <c r="BD263">
        <f ca="1">IF(AND($AT263&lt;3,OFFSET(DATA!$C$14,$AS263,0)=BD$6),$AV263,dNULL)</f>
        <v>-99</v>
      </c>
      <c r="BE263">
        <f ca="1">IF(AND($AT263&lt;3,OFFSET(DATA!$C$14,$AS263,0)=BE$6),$AV263,dNULL)</f>
        <v>-99</v>
      </c>
      <c r="BF263">
        <f ca="1">IF(AND($AT263&lt;3,OFFSET(DATA!$C$14,$AS263,0)=BF$6),$AV263,dNULL)</f>
        <v>-99</v>
      </c>
      <c r="BG263">
        <f ca="1">IF(AND($AT263&lt;3,OFFSET(DATA!$C$14,$AS263,0)=BG$6),$AV263,dNULL)</f>
        <v>-99</v>
      </c>
      <c r="BH263">
        <f ca="1">IF(AND($AT263&lt;3,OFFSET(DATA!$C$14,$AS263,0)=BH$6),$AV263,dNULL)</f>
        <v>-99</v>
      </c>
    </row>
    <row r="264" spans="25:60" x14ac:dyDescent="0.25">
      <c r="Y264" s="26"/>
      <c r="Z264" s="26"/>
      <c r="AB264" s="26" t="str">
        <f t="shared" ca="1" si="96"/>
        <v/>
      </c>
      <c r="AC264">
        <f t="shared" ref="AC264:AC306" ca="1" si="107">AC263+IF(LEN(AD264)&gt;0,1,0)</f>
        <v>90</v>
      </c>
      <c r="AD264" t="str">
        <f ca="1">IF(AND(AT264&lt;1,MAX(AW264:BH264)&gt;dNULL),DATA!$D272,"")</f>
        <v/>
      </c>
      <c r="AE264" s="7" t="str">
        <f ca="1">IF(LEN(DATA!D272)&gt;0,SUMPRODUCT(OFFSET(DATA!$R$6,AE$5,0,1,10),DATA!$R272:$AA272),"")</f>
        <v/>
      </c>
      <c r="AF264" s="7" t="str">
        <f ca="1">IF(LEN(DATA!E272)&gt;0,SUMPRODUCT(OFFSET(DATA!$R$6,AF$5,0,1,10),DATA!$R272:$AA272),"")</f>
        <v/>
      </c>
      <c r="AG264" s="7" t="str">
        <f ca="1">IF(LEN(DATA!F272)&gt;0,SUMPRODUCT(OFFSET(DATA!$R$6,AG$5,0,1,10),DATA!$R272:$AA272),"")</f>
        <v/>
      </c>
      <c r="AH264" s="7" t="str">
        <f ca="1">IF(LEN(DATA!G272)&gt;0,SUMPRODUCT(OFFSET(DATA!$R$6,AH$5,0,1,10),DATA!$R272:$AA272),"")</f>
        <v/>
      </c>
      <c r="AI264" s="7" t="str">
        <f ca="1">IF(LEN(DATA!H272)&gt;0,SUMPRODUCT(OFFSET(DATA!$R$6,AI$5,0,1,10),DATA!$R272:$AA272),"")</f>
        <v/>
      </c>
      <c r="AJ264" s="7" t="str">
        <f ca="1">IF(LEN(DATA!I272)&gt;0,SUMPRODUCT(OFFSET(DATA!$R$6,AJ$5,0,1,10),DATA!$R272:$AA272),"")</f>
        <v/>
      </c>
      <c r="AK264" s="7"/>
      <c r="AL264" s="7" t="e">
        <f t="shared" ca="1" si="97"/>
        <v>#DIV/0!</v>
      </c>
      <c r="AM264" s="7" t="e">
        <f t="shared" ca="1" si="98"/>
        <v>#DIV/0!</v>
      </c>
      <c r="AN264" s="7" t="e">
        <f t="shared" ca="1" si="99"/>
        <v>#DIV/0!</v>
      </c>
      <c r="AO264" s="7" t="e">
        <f t="shared" ca="1" si="100"/>
        <v>#DIV/0!</v>
      </c>
      <c r="AP264" s="7" t="e">
        <f t="shared" ca="1" si="101"/>
        <v>#DIV/0!</v>
      </c>
      <c r="AQ264" s="7" t="e">
        <f t="shared" ca="1" si="102"/>
        <v>#DIV/0!</v>
      </c>
      <c r="AS264">
        <f t="shared" si="103"/>
        <v>78</v>
      </c>
      <c r="AT264">
        <f t="shared" si="104"/>
        <v>2</v>
      </c>
      <c r="AU264">
        <f t="shared" ca="1" si="105"/>
        <v>1.1225473780524737</v>
      </c>
      <c r="AV264">
        <f t="shared" ca="1" si="106"/>
        <v>0.72543818656260473</v>
      </c>
      <c r="AW264">
        <f ca="1">IF(AND($AT264&lt;3,OFFSET(DATA!$C$14,$AS264,0)=AW$6),$AV264,dNULL)</f>
        <v>-99</v>
      </c>
      <c r="AX264">
        <f ca="1">IF(AND($AT264&lt;3,OFFSET(DATA!$C$14,$AS264,0)=AX$6),$AV264,dNULL)</f>
        <v>-99</v>
      </c>
      <c r="AY264">
        <f ca="1">IF(AND($AT264&lt;3,OFFSET(DATA!$C$14,$AS264,0)=AY$6),$AV264,dNULL)</f>
        <v>-99</v>
      </c>
      <c r="AZ264">
        <f ca="1">IF(AND($AT264&lt;3,OFFSET(DATA!$C$14,$AS264,0)=AZ$6),$AV264,dNULL)</f>
        <v>-99</v>
      </c>
      <c r="BA264">
        <f ca="1">IF(AND($AT264&lt;3,OFFSET(DATA!$C$14,$AS264,0)=BA$6),$AV264,dNULL)</f>
        <v>-99</v>
      </c>
      <c r="BB264">
        <f ca="1">IF(AND($AT264&lt;3,OFFSET(DATA!$C$14,$AS264,0)=BB$6),$AV264,dNULL)</f>
        <v>-99</v>
      </c>
      <c r="BC264">
        <f ca="1">IF(AND($AT264&lt;3,OFFSET(DATA!$C$14,$AS264,0)=BC$6),$AV264,dNULL)</f>
        <v>0.72543818656260473</v>
      </c>
      <c r="BD264">
        <f ca="1">IF(AND($AT264&lt;3,OFFSET(DATA!$C$14,$AS264,0)=BD$6),$AV264,dNULL)</f>
        <v>-99</v>
      </c>
      <c r="BE264">
        <f ca="1">IF(AND($AT264&lt;3,OFFSET(DATA!$C$14,$AS264,0)=BE$6),$AV264,dNULL)</f>
        <v>-99</v>
      </c>
      <c r="BF264">
        <f ca="1">IF(AND($AT264&lt;3,OFFSET(DATA!$C$14,$AS264,0)=BF$6),$AV264,dNULL)</f>
        <v>-99</v>
      </c>
      <c r="BG264">
        <f ca="1">IF(AND($AT264&lt;3,OFFSET(DATA!$C$14,$AS264,0)=BG$6),$AV264,dNULL)</f>
        <v>-99</v>
      </c>
      <c r="BH264">
        <f ca="1">IF(AND($AT264&lt;3,OFFSET(DATA!$C$14,$AS264,0)=BH$6),$AV264,dNULL)</f>
        <v>-99</v>
      </c>
    </row>
    <row r="265" spans="25:60" x14ac:dyDescent="0.25">
      <c r="Y265" s="26"/>
      <c r="Z265" s="26"/>
      <c r="AB265" s="26" t="str">
        <f t="shared" ca="1" si="96"/>
        <v/>
      </c>
      <c r="AC265">
        <f t="shared" ca="1" si="107"/>
        <v>90</v>
      </c>
      <c r="AD265" t="str">
        <f ca="1">IF(AND(AT265&lt;1,MAX(AW265:BH265)&gt;dNULL),DATA!$D273,"")</f>
        <v/>
      </c>
      <c r="AE265" s="7" t="str">
        <f ca="1">IF(LEN(DATA!D273)&gt;0,SUMPRODUCT(OFFSET(DATA!$R$6,AE$5,0,1,10),DATA!$R273:$AA273),"")</f>
        <v/>
      </c>
      <c r="AF265" s="7" t="str">
        <f ca="1">IF(LEN(DATA!E273)&gt;0,SUMPRODUCT(OFFSET(DATA!$R$6,AF$5,0,1,10),DATA!$R273:$AA273),"")</f>
        <v/>
      </c>
      <c r="AG265" s="7" t="str">
        <f ca="1">IF(LEN(DATA!F273)&gt;0,SUMPRODUCT(OFFSET(DATA!$R$6,AG$5,0,1,10),DATA!$R273:$AA273),"")</f>
        <v/>
      </c>
      <c r="AH265" s="7" t="str">
        <f ca="1">IF(LEN(DATA!G273)&gt;0,SUMPRODUCT(OFFSET(DATA!$R$6,AH$5,0,1,10),DATA!$R273:$AA273),"")</f>
        <v/>
      </c>
      <c r="AI265" s="7" t="str">
        <f ca="1">IF(LEN(DATA!H273)&gt;0,SUMPRODUCT(OFFSET(DATA!$R$6,AI$5,0,1,10),DATA!$R273:$AA273),"")</f>
        <v/>
      </c>
      <c r="AJ265" s="7" t="str">
        <f ca="1">IF(LEN(DATA!I273)&gt;0,SUMPRODUCT(OFFSET(DATA!$R$6,AJ$5,0,1,10),DATA!$R273:$AA273),"")</f>
        <v/>
      </c>
      <c r="AK265" s="7"/>
      <c r="AL265" s="7" t="e">
        <f t="shared" ca="1" si="97"/>
        <v>#DIV/0!</v>
      </c>
      <c r="AM265" s="7" t="e">
        <f t="shared" ca="1" si="98"/>
        <v>#DIV/0!</v>
      </c>
      <c r="AN265" s="7" t="e">
        <f t="shared" ca="1" si="99"/>
        <v>#DIV/0!</v>
      </c>
      <c r="AO265" s="7" t="e">
        <f t="shared" ca="1" si="100"/>
        <v>#DIV/0!</v>
      </c>
      <c r="AP265" s="7" t="e">
        <f t="shared" ca="1" si="101"/>
        <v>#DIV/0!</v>
      </c>
      <c r="AQ265" s="7" t="e">
        <f t="shared" ca="1" si="102"/>
        <v>#DIV/0!</v>
      </c>
      <c r="AS265">
        <f t="shared" si="103"/>
        <v>79</v>
      </c>
      <c r="AT265">
        <f t="shared" si="104"/>
        <v>2</v>
      </c>
      <c r="AU265">
        <f t="shared" ca="1" si="105"/>
        <v>1.1720154356500836</v>
      </c>
      <c r="AV265">
        <f t="shared" ca="1" si="106"/>
        <v>0.65510954221978279</v>
      </c>
      <c r="AW265">
        <f ca="1">IF(AND($AT265&lt;3,OFFSET(DATA!$C$14,$AS265,0)=AW$6),$AV265,dNULL)</f>
        <v>-99</v>
      </c>
      <c r="AX265">
        <f ca="1">IF(AND($AT265&lt;3,OFFSET(DATA!$C$14,$AS265,0)=AX$6),$AV265,dNULL)</f>
        <v>-99</v>
      </c>
      <c r="AY265">
        <f ca="1">IF(AND($AT265&lt;3,OFFSET(DATA!$C$14,$AS265,0)=AY$6),$AV265,dNULL)</f>
        <v>-99</v>
      </c>
      <c r="AZ265">
        <f ca="1">IF(AND($AT265&lt;3,OFFSET(DATA!$C$14,$AS265,0)=AZ$6),$AV265,dNULL)</f>
        <v>-99</v>
      </c>
      <c r="BA265">
        <f ca="1">IF(AND($AT265&lt;3,OFFSET(DATA!$C$14,$AS265,0)=BA$6),$AV265,dNULL)</f>
        <v>-99</v>
      </c>
      <c r="BB265">
        <f ca="1">IF(AND($AT265&lt;3,OFFSET(DATA!$C$14,$AS265,0)=BB$6),$AV265,dNULL)</f>
        <v>-99</v>
      </c>
      <c r="BC265">
        <f ca="1">IF(AND($AT265&lt;3,OFFSET(DATA!$C$14,$AS265,0)=BC$6),$AV265,dNULL)</f>
        <v>0.65510954221978279</v>
      </c>
      <c r="BD265">
        <f ca="1">IF(AND($AT265&lt;3,OFFSET(DATA!$C$14,$AS265,0)=BD$6),$AV265,dNULL)</f>
        <v>-99</v>
      </c>
      <c r="BE265">
        <f ca="1">IF(AND($AT265&lt;3,OFFSET(DATA!$C$14,$AS265,0)=BE$6),$AV265,dNULL)</f>
        <v>-99</v>
      </c>
      <c r="BF265">
        <f ca="1">IF(AND($AT265&lt;3,OFFSET(DATA!$C$14,$AS265,0)=BF$6),$AV265,dNULL)</f>
        <v>-99</v>
      </c>
      <c r="BG265">
        <f ca="1">IF(AND($AT265&lt;3,OFFSET(DATA!$C$14,$AS265,0)=BG$6),$AV265,dNULL)</f>
        <v>-99</v>
      </c>
      <c r="BH265">
        <f ca="1">IF(AND($AT265&lt;3,OFFSET(DATA!$C$14,$AS265,0)=BH$6),$AV265,dNULL)</f>
        <v>-99</v>
      </c>
    </row>
    <row r="266" spans="25:60" x14ac:dyDescent="0.25">
      <c r="Y266" s="26"/>
      <c r="Z266" s="26"/>
      <c r="AB266" s="26" t="str">
        <f t="shared" ca="1" si="96"/>
        <v/>
      </c>
      <c r="AC266">
        <f t="shared" ca="1" si="107"/>
        <v>90</v>
      </c>
      <c r="AD266" t="str">
        <f ca="1">IF(AND(AT266&lt;1,MAX(AW266:BH266)&gt;dNULL),DATA!$D274,"")</f>
        <v/>
      </c>
      <c r="AE266" s="7" t="str">
        <f ca="1">IF(LEN(DATA!D274)&gt;0,SUMPRODUCT(OFFSET(DATA!$R$6,AE$5,0,1,10),DATA!$R274:$AA274),"")</f>
        <v/>
      </c>
      <c r="AF266" s="7" t="str">
        <f ca="1">IF(LEN(DATA!E274)&gt;0,SUMPRODUCT(OFFSET(DATA!$R$6,AF$5,0,1,10),DATA!$R274:$AA274),"")</f>
        <v/>
      </c>
      <c r="AG266" s="7" t="str">
        <f ca="1">IF(LEN(DATA!F274)&gt;0,SUMPRODUCT(OFFSET(DATA!$R$6,AG$5,0,1,10),DATA!$R274:$AA274),"")</f>
        <v/>
      </c>
      <c r="AH266" s="7" t="str">
        <f ca="1">IF(LEN(DATA!G274)&gt;0,SUMPRODUCT(OFFSET(DATA!$R$6,AH$5,0,1,10),DATA!$R274:$AA274),"")</f>
        <v/>
      </c>
      <c r="AI266" s="7" t="str">
        <f ca="1">IF(LEN(DATA!H274)&gt;0,SUMPRODUCT(OFFSET(DATA!$R$6,AI$5,0,1,10),DATA!$R274:$AA274),"")</f>
        <v/>
      </c>
      <c r="AJ266" s="7" t="str">
        <f ca="1">IF(LEN(DATA!I274)&gt;0,SUMPRODUCT(OFFSET(DATA!$R$6,AJ$5,0,1,10),DATA!$R274:$AA274),"")</f>
        <v/>
      </c>
      <c r="AK266" s="7"/>
      <c r="AL266" s="7" t="e">
        <f t="shared" ca="1" si="97"/>
        <v>#DIV/0!</v>
      </c>
      <c r="AM266" s="7" t="e">
        <f t="shared" ca="1" si="98"/>
        <v>#DIV/0!</v>
      </c>
      <c r="AN266" s="7" t="e">
        <f t="shared" ca="1" si="99"/>
        <v>#DIV/0!</v>
      </c>
      <c r="AO266" s="7" t="e">
        <f t="shared" ca="1" si="100"/>
        <v>#DIV/0!</v>
      </c>
      <c r="AP266" s="7" t="e">
        <f t="shared" ca="1" si="101"/>
        <v>#DIV/0!</v>
      </c>
      <c r="AQ266" s="7" t="e">
        <f t="shared" ca="1" si="102"/>
        <v>#DIV/0!</v>
      </c>
      <c r="AS266">
        <f t="shared" si="103"/>
        <v>80</v>
      </c>
      <c r="AT266">
        <f t="shared" si="104"/>
        <v>2</v>
      </c>
      <c r="AU266">
        <f t="shared" ca="1" si="105"/>
        <v>1.1969131227636023</v>
      </c>
      <c r="AV266">
        <f t="shared" ca="1" si="106"/>
        <v>0.70398292608675561</v>
      </c>
      <c r="AW266">
        <f ca="1">IF(AND($AT266&lt;3,OFFSET(DATA!$C$14,$AS266,0)=AW$6),$AV266,dNULL)</f>
        <v>-99</v>
      </c>
      <c r="AX266">
        <f ca="1">IF(AND($AT266&lt;3,OFFSET(DATA!$C$14,$AS266,0)=AX$6),$AV266,dNULL)</f>
        <v>-99</v>
      </c>
      <c r="AY266">
        <f ca="1">IF(AND($AT266&lt;3,OFFSET(DATA!$C$14,$AS266,0)=AY$6),$AV266,dNULL)</f>
        <v>-99</v>
      </c>
      <c r="AZ266">
        <f ca="1">IF(AND($AT266&lt;3,OFFSET(DATA!$C$14,$AS266,0)=AZ$6),$AV266,dNULL)</f>
        <v>-99</v>
      </c>
      <c r="BA266">
        <f ca="1">IF(AND($AT266&lt;3,OFFSET(DATA!$C$14,$AS266,0)=BA$6),$AV266,dNULL)</f>
        <v>-99</v>
      </c>
      <c r="BB266">
        <f ca="1">IF(AND($AT266&lt;3,OFFSET(DATA!$C$14,$AS266,0)=BB$6),$AV266,dNULL)</f>
        <v>-99</v>
      </c>
      <c r="BC266">
        <f ca="1">IF(AND($AT266&lt;3,OFFSET(DATA!$C$14,$AS266,0)=BC$6),$AV266,dNULL)</f>
        <v>0.70398292608675561</v>
      </c>
      <c r="BD266">
        <f ca="1">IF(AND($AT266&lt;3,OFFSET(DATA!$C$14,$AS266,0)=BD$6),$AV266,dNULL)</f>
        <v>-99</v>
      </c>
      <c r="BE266">
        <f ca="1">IF(AND($AT266&lt;3,OFFSET(DATA!$C$14,$AS266,0)=BE$6),$AV266,dNULL)</f>
        <v>-99</v>
      </c>
      <c r="BF266">
        <f ca="1">IF(AND($AT266&lt;3,OFFSET(DATA!$C$14,$AS266,0)=BF$6),$AV266,dNULL)</f>
        <v>-99</v>
      </c>
      <c r="BG266">
        <f ca="1">IF(AND($AT266&lt;3,OFFSET(DATA!$C$14,$AS266,0)=BG$6),$AV266,dNULL)</f>
        <v>-99</v>
      </c>
      <c r="BH266">
        <f ca="1">IF(AND($AT266&lt;3,OFFSET(DATA!$C$14,$AS266,0)=BH$6),$AV266,dNULL)</f>
        <v>-99</v>
      </c>
    </row>
    <row r="267" spans="25:60" x14ac:dyDescent="0.25">
      <c r="Y267" s="26"/>
      <c r="Z267" s="26"/>
      <c r="AB267" s="26" t="str">
        <f t="shared" ca="1" si="96"/>
        <v/>
      </c>
      <c r="AC267">
        <f t="shared" ca="1" si="107"/>
        <v>90</v>
      </c>
      <c r="AD267" t="str">
        <f ca="1">IF(AND(AT267&lt;1,MAX(AW267:BH267)&gt;dNULL),DATA!$D275,"")</f>
        <v/>
      </c>
      <c r="AE267" s="7" t="str">
        <f ca="1">IF(LEN(DATA!D275)&gt;0,SUMPRODUCT(OFFSET(DATA!$R$6,AE$5,0,1,10),DATA!$R275:$AA275),"")</f>
        <v/>
      </c>
      <c r="AF267" s="7" t="str">
        <f ca="1">IF(LEN(DATA!E275)&gt;0,SUMPRODUCT(OFFSET(DATA!$R$6,AF$5,0,1,10),DATA!$R275:$AA275),"")</f>
        <v/>
      </c>
      <c r="AG267" s="7" t="str">
        <f ca="1">IF(LEN(DATA!F275)&gt;0,SUMPRODUCT(OFFSET(DATA!$R$6,AG$5,0,1,10),DATA!$R275:$AA275),"")</f>
        <v/>
      </c>
      <c r="AH267" s="7" t="str">
        <f ca="1">IF(LEN(DATA!G275)&gt;0,SUMPRODUCT(OFFSET(DATA!$R$6,AH$5,0,1,10),DATA!$R275:$AA275),"")</f>
        <v/>
      </c>
      <c r="AI267" s="7" t="str">
        <f ca="1">IF(LEN(DATA!H275)&gt;0,SUMPRODUCT(OFFSET(DATA!$R$6,AI$5,0,1,10),DATA!$R275:$AA275),"")</f>
        <v/>
      </c>
      <c r="AJ267" s="7" t="str">
        <f ca="1">IF(LEN(DATA!I275)&gt;0,SUMPRODUCT(OFFSET(DATA!$R$6,AJ$5,0,1,10),DATA!$R275:$AA275),"")</f>
        <v/>
      </c>
      <c r="AK267" s="7"/>
      <c r="AL267" s="7" t="e">
        <f t="shared" ca="1" si="97"/>
        <v>#DIV/0!</v>
      </c>
      <c r="AM267" s="7" t="e">
        <f t="shared" ca="1" si="98"/>
        <v>#DIV/0!</v>
      </c>
      <c r="AN267" s="7" t="e">
        <f t="shared" ca="1" si="99"/>
        <v>#DIV/0!</v>
      </c>
      <c r="AO267" s="7" t="e">
        <f t="shared" ca="1" si="100"/>
        <v>#DIV/0!</v>
      </c>
      <c r="AP267" s="7" t="e">
        <f t="shared" ca="1" si="101"/>
        <v>#DIV/0!</v>
      </c>
      <c r="AQ267" s="7" t="e">
        <f t="shared" ca="1" si="102"/>
        <v>#DIV/0!</v>
      </c>
      <c r="AS267">
        <f t="shared" si="103"/>
        <v>81</v>
      </c>
      <c r="AT267">
        <f t="shared" si="104"/>
        <v>2</v>
      </c>
      <c r="AU267">
        <f t="shared" ca="1" si="105"/>
        <v>1.1774834376282775</v>
      </c>
      <c r="AV267">
        <f t="shared" ca="1" si="106"/>
        <v>0.57515493384002159</v>
      </c>
      <c r="AW267">
        <f ca="1">IF(AND($AT267&lt;3,OFFSET(DATA!$C$14,$AS267,0)=AW$6),$AV267,dNULL)</f>
        <v>-99</v>
      </c>
      <c r="AX267">
        <f ca="1">IF(AND($AT267&lt;3,OFFSET(DATA!$C$14,$AS267,0)=AX$6),$AV267,dNULL)</f>
        <v>-99</v>
      </c>
      <c r="AY267">
        <f ca="1">IF(AND($AT267&lt;3,OFFSET(DATA!$C$14,$AS267,0)=AY$6),$AV267,dNULL)</f>
        <v>-99</v>
      </c>
      <c r="AZ267">
        <f ca="1">IF(AND($AT267&lt;3,OFFSET(DATA!$C$14,$AS267,0)=AZ$6),$AV267,dNULL)</f>
        <v>-99</v>
      </c>
      <c r="BA267">
        <f ca="1">IF(AND($AT267&lt;3,OFFSET(DATA!$C$14,$AS267,0)=BA$6),$AV267,dNULL)</f>
        <v>-99</v>
      </c>
      <c r="BB267">
        <f ca="1">IF(AND($AT267&lt;3,OFFSET(DATA!$C$14,$AS267,0)=BB$6),$AV267,dNULL)</f>
        <v>-99</v>
      </c>
      <c r="BC267">
        <f ca="1">IF(AND($AT267&lt;3,OFFSET(DATA!$C$14,$AS267,0)=BC$6),$AV267,dNULL)</f>
        <v>0.57515493384002159</v>
      </c>
      <c r="BD267">
        <f ca="1">IF(AND($AT267&lt;3,OFFSET(DATA!$C$14,$AS267,0)=BD$6),$AV267,dNULL)</f>
        <v>-99</v>
      </c>
      <c r="BE267">
        <f ca="1">IF(AND($AT267&lt;3,OFFSET(DATA!$C$14,$AS267,0)=BE$6),$AV267,dNULL)</f>
        <v>-99</v>
      </c>
      <c r="BF267">
        <f ca="1">IF(AND($AT267&lt;3,OFFSET(DATA!$C$14,$AS267,0)=BF$6),$AV267,dNULL)</f>
        <v>-99</v>
      </c>
      <c r="BG267">
        <f ca="1">IF(AND($AT267&lt;3,OFFSET(DATA!$C$14,$AS267,0)=BG$6),$AV267,dNULL)</f>
        <v>-99</v>
      </c>
      <c r="BH267">
        <f ca="1">IF(AND($AT267&lt;3,OFFSET(DATA!$C$14,$AS267,0)=BH$6),$AV267,dNULL)</f>
        <v>-99</v>
      </c>
    </row>
    <row r="268" spans="25:60" x14ac:dyDescent="0.25">
      <c r="Y268" s="26"/>
      <c r="Z268" s="26"/>
      <c r="AB268" s="26" t="str">
        <f t="shared" ca="1" si="96"/>
        <v/>
      </c>
      <c r="AC268">
        <f t="shared" ca="1" si="107"/>
        <v>90</v>
      </c>
      <c r="AD268" t="str">
        <f ca="1">IF(AND(AT268&lt;1,MAX(AW268:BH268)&gt;dNULL),DATA!$D276,"")</f>
        <v/>
      </c>
      <c r="AE268" s="7" t="str">
        <f ca="1">IF(LEN(DATA!D276)&gt;0,SUMPRODUCT(OFFSET(DATA!$R$6,AE$5,0,1,10),DATA!$R276:$AA276),"")</f>
        <v/>
      </c>
      <c r="AF268" s="7" t="str">
        <f ca="1">IF(LEN(DATA!E276)&gt;0,SUMPRODUCT(OFFSET(DATA!$R$6,AF$5,0,1,10),DATA!$R276:$AA276),"")</f>
        <v/>
      </c>
      <c r="AG268" s="7" t="str">
        <f ca="1">IF(LEN(DATA!F276)&gt;0,SUMPRODUCT(OFFSET(DATA!$R$6,AG$5,0,1,10),DATA!$R276:$AA276),"")</f>
        <v/>
      </c>
      <c r="AH268" s="7" t="str">
        <f ca="1">IF(LEN(DATA!G276)&gt;0,SUMPRODUCT(OFFSET(DATA!$R$6,AH$5,0,1,10),DATA!$R276:$AA276),"")</f>
        <v/>
      </c>
      <c r="AI268" s="7" t="str">
        <f ca="1">IF(LEN(DATA!H276)&gt;0,SUMPRODUCT(OFFSET(DATA!$R$6,AI$5,0,1,10),DATA!$R276:$AA276),"")</f>
        <v/>
      </c>
      <c r="AJ268" s="7" t="str">
        <f ca="1">IF(LEN(DATA!I276)&gt;0,SUMPRODUCT(OFFSET(DATA!$R$6,AJ$5,0,1,10),DATA!$R276:$AA276),"")</f>
        <v/>
      </c>
      <c r="AK268" s="7"/>
      <c r="AL268" s="7" t="e">
        <f t="shared" ca="1" si="97"/>
        <v>#DIV/0!</v>
      </c>
      <c r="AM268" s="7" t="e">
        <f t="shared" ca="1" si="98"/>
        <v>#DIV/0!</v>
      </c>
      <c r="AN268" s="7" t="e">
        <f t="shared" ca="1" si="99"/>
        <v>#DIV/0!</v>
      </c>
      <c r="AO268" s="7" t="e">
        <f t="shared" ca="1" si="100"/>
        <v>#DIV/0!</v>
      </c>
      <c r="AP268" s="7" t="e">
        <f t="shared" ca="1" si="101"/>
        <v>#DIV/0!</v>
      </c>
      <c r="AQ268" s="7" t="e">
        <f t="shared" ca="1" si="102"/>
        <v>#DIV/0!</v>
      </c>
      <c r="AS268">
        <f t="shared" si="103"/>
        <v>82</v>
      </c>
      <c r="AT268">
        <f t="shared" si="104"/>
        <v>2</v>
      </c>
      <c r="AU268">
        <f t="shared" ca="1" si="105"/>
        <v>1.1626876719614456</v>
      </c>
      <c r="AV268">
        <f t="shared" ca="1" si="106"/>
        <v>0.64200979498329325</v>
      </c>
      <c r="AW268">
        <f ca="1">IF(AND($AT268&lt;3,OFFSET(DATA!$C$14,$AS268,0)=AW$6),$AV268,dNULL)</f>
        <v>-99</v>
      </c>
      <c r="AX268">
        <f ca="1">IF(AND($AT268&lt;3,OFFSET(DATA!$C$14,$AS268,0)=AX$6),$AV268,dNULL)</f>
        <v>-99</v>
      </c>
      <c r="AY268">
        <f ca="1">IF(AND($AT268&lt;3,OFFSET(DATA!$C$14,$AS268,0)=AY$6),$AV268,dNULL)</f>
        <v>-99</v>
      </c>
      <c r="AZ268">
        <f ca="1">IF(AND($AT268&lt;3,OFFSET(DATA!$C$14,$AS268,0)=AZ$6),$AV268,dNULL)</f>
        <v>-99</v>
      </c>
      <c r="BA268">
        <f ca="1">IF(AND($AT268&lt;3,OFFSET(DATA!$C$14,$AS268,0)=BA$6),$AV268,dNULL)</f>
        <v>-99</v>
      </c>
      <c r="BB268">
        <f ca="1">IF(AND($AT268&lt;3,OFFSET(DATA!$C$14,$AS268,0)=BB$6),$AV268,dNULL)</f>
        <v>-99</v>
      </c>
      <c r="BC268">
        <f ca="1">IF(AND($AT268&lt;3,OFFSET(DATA!$C$14,$AS268,0)=BC$6),$AV268,dNULL)</f>
        <v>0.64200979498329325</v>
      </c>
      <c r="BD268">
        <f ca="1">IF(AND($AT268&lt;3,OFFSET(DATA!$C$14,$AS268,0)=BD$6),$AV268,dNULL)</f>
        <v>-99</v>
      </c>
      <c r="BE268">
        <f ca="1">IF(AND($AT268&lt;3,OFFSET(DATA!$C$14,$AS268,0)=BE$6),$AV268,dNULL)</f>
        <v>-99</v>
      </c>
      <c r="BF268">
        <f ca="1">IF(AND($AT268&lt;3,OFFSET(DATA!$C$14,$AS268,0)=BF$6),$AV268,dNULL)</f>
        <v>-99</v>
      </c>
      <c r="BG268">
        <f ca="1">IF(AND($AT268&lt;3,OFFSET(DATA!$C$14,$AS268,0)=BG$6),$AV268,dNULL)</f>
        <v>-99</v>
      </c>
      <c r="BH268">
        <f ca="1">IF(AND($AT268&lt;3,OFFSET(DATA!$C$14,$AS268,0)=BH$6),$AV268,dNULL)</f>
        <v>-99</v>
      </c>
    </row>
    <row r="269" spans="25:60" x14ac:dyDescent="0.25">
      <c r="Y269" s="26"/>
      <c r="Z269" s="26"/>
      <c r="AB269" s="26" t="str">
        <f t="shared" ca="1" si="96"/>
        <v/>
      </c>
      <c r="AC269">
        <f t="shared" ca="1" si="107"/>
        <v>90</v>
      </c>
      <c r="AD269" t="str">
        <f ca="1">IF(AND(AT269&lt;1,MAX(AW269:BH269)&gt;dNULL),DATA!$D277,"")</f>
        <v/>
      </c>
      <c r="AE269" s="7" t="str">
        <f ca="1">IF(LEN(DATA!D277)&gt;0,SUMPRODUCT(OFFSET(DATA!$R$6,AE$5,0,1,10),DATA!$R277:$AA277),"")</f>
        <v/>
      </c>
      <c r="AF269" s="7" t="str">
        <f ca="1">IF(LEN(DATA!E277)&gt;0,SUMPRODUCT(OFFSET(DATA!$R$6,AF$5,0,1,10),DATA!$R277:$AA277),"")</f>
        <v/>
      </c>
      <c r="AG269" s="7" t="str">
        <f ca="1">IF(LEN(DATA!F277)&gt;0,SUMPRODUCT(OFFSET(DATA!$R$6,AG$5,0,1,10),DATA!$R277:$AA277),"")</f>
        <v/>
      </c>
      <c r="AH269" s="7" t="str">
        <f ca="1">IF(LEN(DATA!G277)&gt;0,SUMPRODUCT(OFFSET(DATA!$R$6,AH$5,0,1,10),DATA!$R277:$AA277),"")</f>
        <v/>
      </c>
      <c r="AI269" s="7" t="str">
        <f ca="1">IF(LEN(DATA!H277)&gt;0,SUMPRODUCT(OFFSET(DATA!$R$6,AI$5,0,1,10),DATA!$R277:$AA277),"")</f>
        <v/>
      </c>
      <c r="AJ269" s="7" t="str">
        <f ca="1">IF(LEN(DATA!I277)&gt;0,SUMPRODUCT(OFFSET(DATA!$R$6,AJ$5,0,1,10),DATA!$R277:$AA277),"")</f>
        <v/>
      </c>
      <c r="AK269" s="7"/>
      <c r="AL269" s="7" t="e">
        <f t="shared" ca="1" si="97"/>
        <v>#DIV/0!</v>
      </c>
      <c r="AM269" s="7" t="e">
        <f t="shared" ca="1" si="98"/>
        <v>#DIV/0!</v>
      </c>
      <c r="AN269" s="7" t="e">
        <f t="shared" ca="1" si="99"/>
        <v>#DIV/0!</v>
      </c>
      <c r="AO269" s="7" t="e">
        <f t="shared" ca="1" si="100"/>
        <v>#DIV/0!</v>
      </c>
      <c r="AP269" s="7" t="e">
        <f t="shared" ca="1" si="101"/>
        <v>#DIV/0!</v>
      </c>
      <c r="AQ269" s="7" t="e">
        <f t="shared" ca="1" si="102"/>
        <v>#DIV/0!</v>
      </c>
      <c r="AS269">
        <f t="shared" si="103"/>
        <v>83</v>
      </c>
      <c r="AT269">
        <f t="shared" si="104"/>
        <v>2</v>
      </c>
      <c r="AU269">
        <f t="shared" ca="1" si="105"/>
        <v>1.2175721423168984</v>
      </c>
      <c r="AV269">
        <f t="shared" ca="1" si="106"/>
        <v>0.52925991353527668</v>
      </c>
      <c r="AW269">
        <f ca="1">IF(AND($AT269&lt;3,OFFSET(DATA!$C$14,$AS269,0)=AW$6),$AV269,dNULL)</f>
        <v>-99</v>
      </c>
      <c r="AX269">
        <f ca="1">IF(AND($AT269&lt;3,OFFSET(DATA!$C$14,$AS269,0)=AX$6),$AV269,dNULL)</f>
        <v>-99</v>
      </c>
      <c r="AY269">
        <f ca="1">IF(AND($AT269&lt;3,OFFSET(DATA!$C$14,$AS269,0)=AY$6),$AV269,dNULL)</f>
        <v>-99</v>
      </c>
      <c r="AZ269">
        <f ca="1">IF(AND($AT269&lt;3,OFFSET(DATA!$C$14,$AS269,0)=AZ$6),$AV269,dNULL)</f>
        <v>-99</v>
      </c>
      <c r="BA269">
        <f ca="1">IF(AND($AT269&lt;3,OFFSET(DATA!$C$14,$AS269,0)=BA$6),$AV269,dNULL)</f>
        <v>-99</v>
      </c>
      <c r="BB269">
        <f ca="1">IF(AND($AT269&lt;3,OFFSET(DATA!$C$14,$AS269,0)=BB$6),$AV269,dNULL)</f>
        <v>-99</v>
      </c>
      <c r="BC269">
        <f ca="1">IF(AND($AT269&lt;3,OFFSET(DATA!$C$14,$AS269,0)=BC$6),$AV269,dNULL)</f>
        <v>0.52925991353527668</v>
      </c>
      <c r="BD269">
        <f ca="1">IF(AND($AT269&lt;3,OFFSET(DATA!$C$14,$AS269,0)=BD$6),$AV269,dNULL)</f>
        <v>-99</v>
      </c>
      <c r="BE269">
        <f ca="1">IF(AND($AT269&lt;3,OFFSET(DATA!$C$14,$AS269,0)=BE$6),$AV269,dNULL)</f>
        <v>-99</v>
      </c>
      <c r="BF269">
        <f ca="1">IF(AND($AT269&lt;3,OFFSET(DATA!$C$14,$AS269,0)=BF$6),$AV269,dNULL)</f>
        <v>-99</v>
      </c>
      <c r="BG269">
        <f ca="1">IF(AND($AT269&lt;3,OFFSET(DATA!$C$14,$AS269,0)=BG$6),$AV269,dNULL)</f>
        <v>-99</v>
      </c>
      <c r="BH269">
        <f ca="1">IF(AND($AT269&lt;3,OFFSET(DATA!$C$14,$AS269,0)=BH$6),$AV269,dNULL)</f>
        <v>-99</v>
      </c>
    </row>
    <row r="270" spans="25:60" x14ac:dyDescent="0.25">
      <c r="Y270" s="26"/>
      <c r="Z270" s="26"/>
      <c r="AB270" s="26" t="str">
        <f t="shared" ca="1" si="96"/>
        <v/>
      </c>
      <c r="AC270">
        <f t="shared" ca="1" si="107"/>
        <v>90</v>
      </c>
      <c r="AD270" t="str">
        <f ca="1">IF(AND(AT270&lt;1,MAX(AW270:BH270)&gt;dNULL),DATA!$D278,"")</f>
        <v/>
      </c>
      <c r="AE270" s="7" t="str">
        <f ca="1">IF(LEN(DATA!D278)&gt;0,SUMPRODUCT(OFFSET(DATA!$R$6,AE$5,0,1,10),DATA!$R278:$AA278),"")</f>
        <v/>
      </c>
      <c r="AF270" s="7" t="str">
        <f ca="1">IF(LEN(DATA!E278)&gt;0,SUMPRODUCT(OFFSET(DATA!$R$6,AF$5,0,1,10),DATA!$R278:$AA278),"")</f>
        <v/>
      </c>
      <c r="AG270" s="7" t="str">
        <f ca="1">IF(LEN(DATA!F278)&gt;0,SUMPRODUCT(OFFSET(DATA!$R$6,AG$5,0,1,10),DATA!$R278:$AA278),"")</f>
        <v/>
      </c>
      <c r="AH270" s="7" t="str">
        <f ca="1">IF(LEN(DATA!G278)&gt;0,SUMPRODUCT(OFFSET(DATA!$R$6,AH$5,0,1,10),DATA!$R278:$AA278),"")</f>
        <v/>
      </c>
      <c r="AI270" s="7" t="str">
        <f ca="1">IF(LEN(DATA!H278)&gt;0,SUMPRODUCT(OFFSET(DATA!$R$6,AI$5,0,1,10),DATA!$R278:$AA278),"")</f>
        <v/>
      </c>
      <c r="AJ270" s="7" t="str">
        <f ca="1">IF(LEN(DATA!I278)&gt;0,SUMPRODUCT(OFFSET(DATA!$R$6,AJ$5,0,1,10),DATA!$R278:$AA278),"")</f>
        <v/>
      </c>
      <c r="AK270" s="7"/>
      <c r="AL270" s="7" t="e">
        <f t="shared" ca="1" si="97"/>
        <v>#DIV/0!</v>
      </c>
      <c r="AM270" s="7" t="e">
        <f t="shared" ca="1" si="98"/>
        <v>#DIV/0!</v>
      </c>
      <c r="AN270" s="7" t="e">
        <f t="shared" ca="1" si="99"/>
        <v>#DIV/0!</v>
      </c>
      <c r="AO270" s="7" t="e">
        <f t="shared" ca="1" si="100"/>
        <v>#DIV/0!</v>
      </c>
      <c r="AP270" s="7" t="e">
        <f t="shared" ca="1" si="101"/>
        <v>#DIV/0!</v>
      </c>
      <c r="AQ270" s="7" t="e">
        <f t="shared" ca="1" si="102"/>
        <v>#DIV/0!</v>
      </c>
      <c r="AS270">
        <f t="shared" si="103"/>
        <v>84</v>
      </c>
      <c r="AT270">
        <f t="shared" si="104"/>
        <v>2</v>
      </c>
      <c r="AU270">
        <f t="shared" ca="1" si="105"/>
        <v>1.1731611074357535</v>
      </c>
      <c r="AV270">
        <f t="shared" ca="1" si="106"/>
        <v>0.66739077073619724</v>
      </c>
      <c r="AW270">
        <f ca="1">IF(AND($AT270&lt;3,OFFSET(DATA!$C$14,$AS270,0)=AW$6),$AV270,dNULL)</f>
        <v>-99</v>
      </c>
      <c r="AX270">
        <f ca="1">IF(AND($AT270&lt;3,OFFSET(DATA!$C$14,$AS270,0)=AX$6),$AV270,dNULL)</f>
        <v>-99</v>
      </c>
      <c r="AY270">
        <f ca="1">IF(AND($AT270&lt;3,OFFSET(DATA!$C$14,$AS270,0)=AY$6),$AV270,dNULL)</f>
        <v>-99</v>
      </c>
      <c r="AZ270">
        <f ca="1">IF(AND($AT270&lt;3,OFFSET(DATA!$C$14,$AS270,0)=AZ$6),$AV270,dNULL)</f>
        <v>-99</v>
      </c>
      <c r="BA270">
        <f ca="1">IF(AND($AT270&lt;3,OFFSET(DATA!$C$14,$AS270,0)=BA$6),$AV270,dNULL)</f>
        <v>-99</v>
      </c>
      <c r="BB270">
        <f ca="1">IF(AND($AT270&lt;3,OFFSET(DATA!$C$14,$AS270,0)=BB$6),$AV270,dNULL)</f>
        <v>-99</v>
      </c>
      <c r="BC270">
        <f ca="1">IF(AND($AT270&lt;3,OFFSET(DATA!$C$14,$AS270,0)=BC$6),$AV270,dNULL)</f>
        <v>0.66739077073619724</v>
      </c>
      <c r="BD270">
        <f ca="1">IF(AND($AT270&lt;3,OFFSET(DATA!$C$14,$AS270,0)=BD$6),$AV270,dNULL)</f>
        <v>-99</v>
      </c>
      <c r="BE270">
        <f ca="1">IF(AND($AT270&lt;3,OFFSET(DATA!$C$14,$AS270,0)=BE$6),$AV270,dNULL)</f>
        <v>-99</v>
      </c>
      <c r="BF270">
        <f ca="1">IF(AND($AT270&lt;3,OFFSET(DATA!$C$14,$AS270,0)=BF$6),$AV270,dNULL)</f>
        <v>-99</v>
      </c>
      <c r="BG270">
        <f ca="1">IF(AND($AT270&lt;3,OFFSET(DATA!$C$14,$AS270,0)=BG$6),$AV270,dNULL)</f>
        <v>-99</v>
      </c>
      <c r="BH270">
        <f ca="1">IF(AND($AT270&lt;3,OFFSET(DATA!$C$14,$AS270,0)=BH$6),$AV270,dNULL)</f>
        <v>-99</v>
      </c>
    </row>
    <row r="271" spans="25:60" x14ac:dyDescent="0.25">
      <c r="Y271" s="26"/>
      <c r="Z271" s="26"/>
      <c r="AB271" s="26" t="str">
        <f t="shared" ca="1" si="96"/>
        <v/>
      </c>
      <c r="AC271">
        <f t="shared" ca="1" si="107"/>
        <v>90</v>
      </c>
      <c r="AD271" t="str">
        <f ca="1">IF(AND(AT271&lt;1,MAX(AW271:BH271)&gt;dNULL),DATA!$D279,"")</f>
        <v/>
      </c>
      <c r="AE271" s="7" t="str">
        <f ca="1">IF(LEN(DATA!D279)&gt;0,SUMPRODUCT(OFFSET(DATA!$R$6,AE$5,0,1,10),DATA!$R279:$AA279),"")</f>
        <v/>
      </c>
      <c r="AF271" s="7" t="str">
        <f ca="1">IF(LEN(DATA!E279)&gt;0,SUMPRODUCT(OFFSET(DATA!$R$6,AF$5,0,1,10),DATA!$R279:$AA279),"")</f>
        <v/>
      </c>
      <c r="AG271" s="7" t="str">
        <f ca="1">IF(LEN(DATA!F279)&gt;0,SUMPRODUCT(OFFSET(DATA!$R$6,AG$5,0,1,10),DATA!$R279:$AA279),"")</f>
        <v/>
      </c>
      <c r="AH271" s="7" t="str">
        <f ca="1">IF(LEN(DATA!G279)&gt;0,SUMPRODUCT(OFFSET(DATA!$R$6,AH$5,0,1,10),DATA!$R279:$AA279),"")</f>
        <v/>
      </c>
      <c r="AI271" s="7" t="str">
        <f ca="1">IF(LEN(DATA!H279)&gt;0,SUMPRODUCT(OFFSET(DATA!$R$6,AI$5,0,1,10),DATA!$R279:$AA279),"")</f>
        <v/>
      </c>
      <c r="AJ271" s="7" t="str">
        <f ca="1">IF(LEN(DATA!I279)&gt;0,SUMPRODUCT(OFFSET(DATA!$R$6,AJ$5,0,1,10),DATA!$R279:$AA279),"")</f>
        <v/>
      </c>
      <c r="AK271" s="7"/>
      <c r="AL271" s="7" t="e">
        <f t="shared" ca="1" si="97"/>
        <v>#DIV/0!</v>
      </c>
      <c r="AM271" s="7" t="e">
        <f t="shared" ca="1" si="98"/>
        <v>#DIV/0!</v>
      </c>
      <c r="AN271" s="7" t="e">
        <f t="shared" ca="1" si="99"/>
        <v>#DIV/0!</v>
      </c>
      <c r="AO271" s="7" t="e">
        <f t="shared" ca="1" si="100"/>
        <v>#DIV/0!</v>
      </c>
      <c r="AP271" s="7" t="e">
        <f t="shared" ca="1" si="101"/>
        <v>#DIV/0!</v>
      </c>
      <c r="AQ271" s="7" t="e">
        <f t="shared" ca="1" si="102"/>
        <v>#DIV/0!</v>
      </c>
      <c r="AS271">
        <f t="shared" si="103"/>
        <v>85</v>
      </c>
      <c r="AT271">
        <f t="shared" si="104"/>
        <v>2</v>
      </c>
      <c r="AU271">
        <f t="shared" ca="1" si="105"/>
        <v>1.242120139419006</v>
      </c>
      <c r="AV271">
        <f t="shared" ca="1" si="106"/>
        <v>0.47939698110256157</v>
      </c>
      <c r="AW271">
        <f ca="1">IF(AND($AT271&lt;3,OFFSET(DATA!$C$14,$AS271,0)=AW$6),$AV271,dNULL)</f>
        <v>-99</v>
      </c>
      <c r="AX271">
        <f ca="1">IF(AND($AT271&lt;3,OFFSET(DATA!$C$14,$AS271,0)=AX$6),$AV271,dNULL)</f>
        <v>-99</v>
      </c>
      <c r="AY271">
        <f ca="1">IF(AND($AT271&lt;3,OFFSET(DATA!$C$14,$AS271,0)=AY$6),$AV271,dNULL)</f>
        <v>-99</v>
      </c>
      <c r="AZ271">
        <f ca="1">IF(AND($AT271&lt;3,OFFSET(DATA!$C$14,$AS271,0)=AZ$6),$AV271,dNULL)</f>
        <v>-99</v>
      </c>
      <c r="BA271">
        <f ca="1">IF(AND($AT271&lt;3,OFFSET(DATA!$C$14,$AS271,0)=BA$6),$AV271,dNULL)</f>
        <v>-99</v>
      </c>
      <c r="BB271">
        <f ca="1">IF(AND($AT271&lt;3,OFFSET(DATA!$C$14,$AS271,0)=BB$6),$AV271,dNULL)</f>
        <v>-99</v>
      </c>
      <c r="BC271">
        <f ca="1">IF(AND($AT271&lt;3,OFFSET(DATA!$C$14,$AS271,0)=BC$6),$AV271,dNULL)</f>
        <v>0.47939698110256157</v>
      </c>
      <c r="BD271">
        <f ca="1">IF(AND($AT271&lt;3,OFFSET(DATA!$C$14,$AS271,0)=BD$6),$AV271,dNULL)</f>
        <v>-99</v>
      </c>
      <c r="BE271">
        <f ca="1">IF(AND($AT271&lt;3,OFFSET(DATA!$C$14,$AS271,0)=BE$6),$AV271,dNULL)</f>
        <v>-99</v>
      </c>
      <c r="BF271">
        <f ca="1">IF(AND($AT271&lt;3,OFFSET(DATA!$C$14,$AS271,0)=BF$6),$AV271,dNULL)</f>
        <v>-99</v>
      </c>
      <c r="BG271">
        <f ca="1">IF(AND($AT271&lt;3,OFFSET(DATA!$C$14,$AS271,0)=BG$6),$AV271,dNULL)</f>
        <v>-99</v>
      </c>
      <c r="BH271">
        <f ca="1">IF(AND($AT271&lt;3,OFFSET(DATA!$C$14,$AS271,0)=BH$6),$AV271,dNULL)</f>
        <v>-99</v>
      </c>
    </row>
    <row r="272" spans="25:60" x14ac:dyDescent="0.25">
      <c r="Y272" s="26"/>
      <c r="Z272" s="26"/>
      <c r="AB272" s="26" t="str">
        <f t="shared" ca="1" si="96"/>
        <v/>
      </c>
      <c r="AC272">
        <f t="shared" ca="1" si="107"/>
        <v>90</v>
      </c>
      <c r="AD272" t="str">
        <f ca="1">IF(AND(AT272&lt;1,MAX(AW272:BH272)&gt;dNULL),DATA!$D280,"")</f>
        <v/>
      </c>
      <c r="AE272" s="7" t="str">
        <f ca="1">IF(LEN(DATA!D280)&gt;0,SUMPRODUCT(OFFSET(DATA!$R$6,AE$5,0,1,10),DATA!$R280:$AA280),"")</f>
        <v/>
      </c>
      <c r="AF272" s="7" t="str">
        <f ca="1">IF(LEN(DATA!E280)&gt;0,SUMPRODUCT(OFFSET(DATA!$R$6,AF$5,0,1,10),DATA!$R280:$AA280),"")</f>
        <v/>
      </c>
      <c r="AG272" s="7" t="str">
        <f ca="1">IF(LEN(DATA!F280)&gt;0,SUMPRODUCT(OFFSET(DATA!$R$6,AG$5,0,1,10),DATA!$R280:$AA280),"")</f>
        <v/>
      </c>
      <c r="AH272" s="7" t="str">
        <f ca="1">IF(LEN(DATA!G280)&gt;0,SUMPRODUCT(OFFSET(DATA!$R$6,AH$5,0,1,10),DATA!$R280:$AA280),"")</f>
        <v/>
      </c>
      <c r="AI272" s="7" t="str">
        <f ca="1">IF(LEN(DATA!H280)&gt;0,SUMPRODUCT(OFFSET(DATA!$R$6,AI$5,0,1,10),DATA!$R280:$AA280),"")</f>
        <v/>
      </c>
      <c r="AJ272" s="7" t="str">
        <f ca="1">IF(LEN(DATA!I280)&gt;0,SUMPRODUCT(OFFSET(DATA!$R$6,AJ$5,0,1,10),DATA!$R280:$AA280),"")</f>
        <v/>
      </c>
      <c r="AK272" s="7"/>
      <c r="AL272" s="7" t="e">
        <f t="shared" ca="1" si="97"/>
        <v>#DIV/0!</v>
      </c>
      <c r="AM272" s="7" t="e">
        <f t="shared" ca="1" si="98"/>
        <v>#DIV/0!</v>
      </c>
      <c r="AN272" s="7" t="e">
        <f t="shared" ca="1" si="99"/>
        <v>#DIV/0!</v>
      </c>
      <c r="AO272" s="7" t="e">
        <f t="shared" ca="1" si="100"/>
        <v>#DIV/0!</v>
      </c>
      <c r="AP272" s="7" t="e">
        <f t="shared" ca="1" si="101"/>
        <v>#DIV/0!</v>
      </c>
      <c r="AQ272" s="7" t="e">
        <f t="shared" ca="1" si="102"/>
        <v>#DIV/0!</v>
      </c>
      <c r="AS272">
        <f t="shared" si="103"/>
        <v>86</v>
      </c>
      <c r="AT272">
        <f t="shared" si="104"/>
        <v>2</v>
      </c>
      <c r="AU272">
        <f t="shared" ca="1" si="105"/>
        <v>1.2548856779916029</v>
      </c>
      <c r="AV272">
        <f t="shared" ca="1" si="106"/>
        <v>0.53393149369484494</v>
      </c>
      <c r="AW272">
        <f ca="1">IF(AND($AT272&lt;3,OFFSET(DATA!$C$14,$AS272,0)=AW$6),$AV272,dNULL)</f>
        <v>-99</v>
      </c>
      <c r="AX272">
        <f ca="1">IF(AND($AT272&lt;3,OFFSET(DATA!$C$14,$AS272,0)=AX$6),$AV272,dNULL)</f>
        <v>-99</v>
      </c>
      <c r="AY272">
        <f ca="1">IF(AND($AT272&lt;3,OFFSET(DATA!$C$14,$AS272,0)=AY$6),$AV272,dNULL)</f>
        <v>-99</v>
      </c>
      <c r="AZ272">
        <f ca="1">IF(AND($AT272&lt;3,OFFSET(DATA!$C$14,$AS272,0)=AZ$6),$AV272,dNULL)</f>
        <v>-99</v>
      </c>
      <c r="BA272">
        <f ca="1">IF(AND($AT272&lt;3,OFFSET(DATA!$C$14,$AS272,0)=BA$6),$AV272,dNULL)</f>
        <v>-99</v>
      </c>
      <c r="BB272">
        <f ca="1">IF(AND($AT272&lt;3,OFFSET(DATA!$C$14,$AS272,0)=BB$6),$AV272,dNULL)</f>
        <v>-99</v>
      </c>
      <c r="BC272">
        <f ca="1">IF(AND($AT272&lt;3,OFFSET(DATA!$C$14,$AS272,0)=BC$6),$AV272,dNULL)</f>
        <v>0.53393149369484494</v>
      </c>
      <c r="BD272">
        <f ca="1">IF(AND($AT272&lt;3,OFFSET(DATA!$C$14,$AS272,0)=BD$6),$AV272,dNULL)</f>
        <v>-99</v>
      </c>
      <c r="BE272">
        <f ca="1">IF(AND($AT272&lt;3,OFFSET(DATA!$C$14,$AS272,0)=BE$6),$AV272,dNULL)</f>
        <v>-99</v>
      </c>
      <c r="BF272">
        <f ca="1">IF(AND($AT272&lt;3,OFFSET(DATA!$C$14,$AS272,0)=BF$6),$AV272,dNULL)</f>
        <v>-99</v>
      </c>
      <c r="BG272">
        <f ca="1">IF(AND($AT272&lt;3,OFFSET(DATA!$C$14,$AS272,0)=BG$6),$AV272,dNULL)</f>
        <v>-99</v>
      </c>
      <c r="BH272">
        <f ca="1">IF(AND($AT272&lt;3,OFFSET(DATA!$C$14,$AS272,0)=BH$6),$AV272,dNULL)</f>
        <v>-99</v>
      </c>
    </row>
    <row r="273" spans="25:60" x14ac:dyDescent="0.25">
      <c r="Y273" s="26"/>
      <c r="Z273" s="26"/>
      <c r="AB273" s="26" t="str">
        <f t="shared" ca="1" si="96"/>
        <v/>
      </c>
      <c r="AC273">
        <f t="shared" ca="1" si="107"/>
        <v>90</v>
      </c>
      <c r="AD273" t="str">
        <f ca="1">IF(AND(AT273&lt;1,MAX(AW273:BH273)&gt;dNULL),DATA!$D281,"")</f>
        <v/>
      </c>
      <c r="AE273" s="7" t="str">
        <f ca="1">IF(LEN(DATA!D281)&gt;0,SUMPRODUCT(OFFSET(DATA!$R$6,AE$5,0,1,10),DATA!$R281:$AA281),"")</f>
        <v/>
      </c>
      <c r="AF273" s="7" t="str">
        <f ca="1">IF(LEN(DATA!E281)&gt;0,SUMPRODUCT(OFFSET(DATA!$R$6,AF$5,0,1,10),DATA!$R281:$AA281),"")</f>
        <v/>
      </c>
      <c r="AG273" s="7" t="str">
        <f ca="1">IF(LEN(DATA!F281)&gt;0,SUMPRODUCT(OFFSET(DATA!$R$6,AG$5,0,1,10),DATA!$R281:$AA281),"")</f>
        <v/>
      </c>
      <c r="AH273" s="7" t="str">
        <f ca="1">IF(LEN(DATA!G281)&gt;0,SUMPRODUCT(OFFSET(DATA!$R$6,AH$5,0,1,10),DATA!$R281:$AA281),"")</f>
        <v/>
      </c>
      <c r="AI273" s="7" t="str">
        <f ca="1">IF(LEN(DATA!H281)&gt;0,SUMPRODUCT(OFFSET(DATA!$R$6,AI$5,0,1,10),DATA!$R281:$AA281),"")</f>
        <v/>
      </c>
      <c r="AJ273" s="7" t="str">
        <f ca="1">IF(LEN(DATA!I281)&gt;0,SUMPRODUCT(OFFSET(DATA!$R$6,AJ$5,0,1,10),DATA!$R281:$AA281),"")</f>
        <v/>
      </c>
      <c r="AK273" s="7"/>
      <c r="AL273" s="7" t="e">
        <f t="shared" ca="1" si="97"/>
        <v>#DIV/0!</v>
      </c>
      <c r="AM273" s="7" t="e">
        <f t="shared" ca="1" si="98"/>
        <v>#DIV/0!</v>
      </c>
      <c r="AN273" s="7" t="e">
        <f t="shared" ca="1" si="99"/>
        <v>#DIV/0!</v>
      </c>
      <c r="AO273" s="7" t="e">
        <f t="shared" ca="1" si="100"/>
        <v>#DIV/0!</v>
      </c>
      <c r="AP273" s="7" t="e">
        <f t="shared" ca="1" si="101"/>
        <v>#DIV/0!</v>
      </c>
      <c r="AQ273" s="7" t="e">
        <f t="shared" ca="1" si="102"/>
        <v>#DIV/0!</v>
      </c>
      <c r="AS273">
        <f t="shared" si="103"/>
        <v>87</v>
      </c>
      <c r="AT273">
        <f t="shared" si="104"/>
        <v>2</v>
      </c>
      <c r="AU273">
        <f t="shared" ca="1" si="105"/>
        <v>1.2398939628085981</v>
      </c>
      <c r="AV273">
        <f t="shared" ca="1" si="106"/>
        <v>0.67797465866704609</v>
      </c>
      <c r="AW273">
        <f ca="1">IF(AND($AT273&lt;3,OFFSET(DATA!$C$14,$AS273,0)=AW$6),$AV273,dNULL)</f>
        <v>-99</v>
      </c>
      <c r="AX273">
        <f ca="1">IF(AND($AT273&lt;3,OFFSET(DATA!$C$14,$AS273,0)=AX$6),$AV273,dNULL)</f>
        <v>-99</v>
      </c>
      <c r="AY273">
        <f ca="1">IF(AND($AT273&lt;3,OFFSET(DATA!$C$14,$AS273,0)=AY$6),$AV273,dNULL)</f>
        <v>-99</v>
      </c>
      <c r="AZ273">
        <f ca="1">IF(AND($AT273&lt;3,OFFSET(DATA!$C$14,$AS273,0)=AZ$6),$AV273,dNULL)</f>
        <v>-99</v>
      </c>
      <c r="BA273">
        <f ca="1">IF(AND($AT273&lt;3,OFFSET(DATA!$C$14,$AS273,0)=BA$6),$AV273,dNULL)</f>
        <v>-99</v>
      </c>
      <c r="BB273">
        <f ca="1">IF(AND($AT273&lt;3,OFFSET(DATA!$C$14,$AS273,0)=BB$6),$AV273,dNULL)</f>
        <v>-99</v>
      </c>
      <c r="BC273">
        <f ca="1">IF(AND($AT273&lt;3,OFFSET(DATA!$C$14,$AS273,0)=BC$6),$AV273,dNULL)</f>
        <v>0.67797465866704609</v>
      </c>
      <c r="BD273">
        <f ca="1">IF(AND($AT273&lt;3,OFFSET(DATA!$C$14,$AS273,0)=BD$6),$AV273,dNULL)</f>
        <v>-99</v>
      </c>
      <c r="BE273">
        <f ca="1">IF(AND($AT273&lt;3,OFFSET(DATA!$C$14,$AS273,0)=BE$6),$AV273,dNULL)</f>
        <v>-99</v>
      </c>
      <c r="BF273">
        <f ca="1">IF(AND($AT273&lt;3,OFFSET(DATA!$C$14,$AS273,0)=BF$6),$AV273,dNULL)</f>
        <v>-99</v>
      </c>
      <c r="BG273">
        <f ca="1">IF(AND($AT273&lt;3,OFFSET(DATA!$C$14,$AS273,0)=BG$6),$AV273,dNULL)</f>
        <v>-99</v>
      </c>
      <c r="BH273">
        <f ca="1">IF(AND($AT273&lt;3,OFFSET(DATA!$C$14,$AS273,0)=BH$6),$AV273,dNULL)</f>
        <v>-99</v>
      </c>
    </row>
    <row r="274" spans="25:60" x14ac:dyDescent="0.25">
      <c r="Y274" s="26"/>
      <c r="Z274" s="26"/>
      <c r="AB274" s="26" t="str">
        <f t="shared" ca="1" si="96"/>
        <v/>
      </c>
      <c r="AC274">
        <f t="shared" ca="1" si="107"/>
        <v>90</v>
      </c>
      <c r="AD274" t="str">
        <f ca="1">IF(AND(AT274&lt;1,MAX(AW274:BH274)&gt;dNULL),DATA!$D282,"")</f>
        <v/>
      </c>
      <c r="AE274" s="7" t="str">
        <f ca="1">IF(LEN(DATA!D282)&gt;0,SUMPRODUCT(OFFSET(DATA!$R$6,AE$5,0,1,10),DATA!$R282:$AA282),"")</f>
        <v/>
      </c>
      <c r="AF274" s="7" t="str">
        <f ca="1">IF(LEN(DATA!E282)&gt;0,SUMPRODUCT(OFFSET(DATA!$R$6,AF$5,0,1,10),DATA!$R282:$AA282),"")</f>
        <v/>
      </c>
      <c r="AG274" s="7" t="str">
        <f ca="1">IF(LEN(DATA!F282)&gt;0,SUMPRODUCT(OFFSET(DATA!$R$6,AG$5,0,1,10),DATA!$R282:$AA282),"")</f>
        <v/>
      </c>
      <c r="AH274" s="7" t="str">
        <f ca="1">IF(LEN(DATA!G282)&gt;0,SUMPRODUCT(OFFSET(DATA!$R$6,AH$5,0,1,10),DATA!$R282:$AA282),"")</f>
        <v/>
      </c>
      <c r="AI274" s="7" t="str">
        <f ca="1">IF(LEN(DATA!H282)&gt;0,SUMPRODUCT(OFFSET(DATA!$R$6,AI$5,0,1,10),DATA!$R282:$AA282),"")</f>
        <v/>
      </c>
      <c r="AJ274" s="7" t="str">
        <f ca="1">IF(LEN(DATA!I282)&gt;0,SUMPRODUCT(OFFSET(DATA!$R$6,AJ$5,0,1,10),DATA!$R282:$AA282),"")</f>
        <v/>
      </c>
      <c r="AK274" s="7"/>
      <c r="AL274" s="7" t="e">
        <f t="shared" ca="1" si="97"/>
        <v>#DIV/0!</v>
      </c>
      <c r="AM274" s="7" t="e">
        <f t="shared" ca="1" si="98"/>
        <v>#DIV/0!</v>
      </c>
      <c r="AN274" s="7" t="e">
        <f t="shared" ca="1" si="99"/>
        <v>#DIV/0!</v>
      </c>
      <c r="AO274" s="7" t="e">
        <f t="shared" ca="1" si="100"/>
        <v>#DIV/0!</v>
      </c>
      <c r="AP274" s="7" t="e">
        <f t="shared" ca="1" si="101"/>
        <v>#DIV/0!</v>
      </c>
      <c r="AQ274" s="7" t="e">
        <f t="shared" ca="1" si="102"/>
        <v>#DIV/0!</v>
      </c>
      <c r="AS274">
        <f t="shared" si="103"/>
        <v>88</v>
      </c>
      <c r="AT274">
        <f t="shared" si="104"/>
        <v>2</v>
      </c>
      <c r="AU274">
        <f t="shared" ca="1" si="105"/>
        <v>1.0093851639727518</v>
      </c>
      <c r="AV274">
        <f t="shared" ca="1" si="106"/>
        <v>1.0037646110097933</v>
      </c>
      <c r="AW274">
        <f ca="1">IF(AND($AT274&lt;3,OFFSET(DATA!$C$14,$AS274,0)=AW$6),$AV274,dNULL)</f>
        <v>-99</v>
      </c>
      <c r="AX274">
        <f ca="1">IF(AND($AT274&lt;3,OFFSET(DATA!$C$14,$AS274,0)=AX$6),$AV274,dNULL)</f>
        <v>1.0037646110097933</v>
      </c>
      <c r="AY274">
        <f ca="1">IF(AND($AT274&lt;3,OFFSET(DATA!$C$14,$AS274,0)=AY$6),$AV274,dNULL)</f>
        <v>-99</v>
      </c>
      <c r="AZ274">
        <f ca="1">IF(AND($AT274&lt;3,OFFSET(DATA!$C$14,$AS274,0)=AZ$6),$AV274,dNULL)</f>
        <v>-99</v>
      </c>
      <c r="BA274">
        <f ca="1">IF(AND($AT274&lt;3,OFFSET(DATA!$C$14,$AS274,0)=BA$6),$AV274,dNULL)</f>
        <v>-99</v>
      </c>
      <c r="BB274">
        <f ca="1">IF(AND($AT274&lt;3,OFFSET(DATA!$C$14,$AS274,0)=BB$6),$AV274,dNULL)</f>
        <v>-99</v>
      </c>
      <c r="BC274">
        <f ca="1">IF(AND($AT274&lt;3,OFFSET(DATA!$C$14,$AS274,0)=BC$6),$AV274,dNULL)</f>
        <v>-99</v>
      </c>
      <c r="BD274">
        <f ca="1">IF(AND($AT274&lt;3,OFFSET(DATA!$C$14,$AS274,0)=BD$6),$AV274,dNULL)</f>
        <v>-99</v>
      </c>
      <c r="BE274">
        <f ca="1">IF(AND($AT274&lt;3,OFFSET(DATA!$C$14,$AS274,0)=BE$6),$AV274,dNULL)</f>
        <v>-99</v>
      </c>
      <c r="BF274">
        <f ca="1">IF(AND($AT274&lt;3,OFFSET(DATA!$C$14,$AS274,0)=BF$6),$AV274,dNULL)</f>
        <v>-99</v>
      </c>
      <c r="BG274">
        <f ca="1">IF(AND($AT274&lt;3,OFFSET(DATA!$C$14,$AS274,0)=BG$6),$AV274,dNULL)</f>
        <v>-99</v>
      </c>
      <c r="BH274">
        <f ca="1">IF(AND($AT274&lt;3,OFFSET(DATA!$C$14,$AS274,0)=BH$6),$AV274,dNULL)</f>
        <v>-99</v>
      </c>
    </row>
    <row r="275" spans="25:60" x14ac:dyDescent="0.25">
      <c r="Y275" s="26"/>
      <c r="Z275" s="26"/>
      <c r="AB275" s="26" t="str">
        <f t="shared" ca="1" si="96"/>
        <v/>
      </c>
      <c r="AC275">
        <f t="shared" ca="1" si="107"/>
        <v>90</v>
      </c>
      <c r="AD275" t="str">
        <f ca="1">IF(AND(AT275&lt;1,MAX(AW275:BH275)&gt;dNULL),DATA!$D283,"")</f>
        <v/>
      </c>
      <c r="AE275" s="7" t="str">
        <f ca="1">IF(LEN(DATA!D283)&gt;0,SUMPRODUCT(OFFSET(DATA!$R$6,AE$5,0,1,10),DATA!$R283:$AA283),"")</f>
        <v/>
      </c>
      <c r="AF275" s="7" t="str">
        <f ca="1">IF(LEN(DATA!E283)&gt;0,SUMPRODUCT(OFFSET(DATA!$R$6,AF$5,0,1,10),DATA!$R283:$AA283),"")</f>
        <v/>
      </c>
      <c r="AG275" s="7" t="str">
        <f ca="1">IF(LEN(DATA!F283)&gt;0,SUMPRODUCT(OFFSET(DATA!$R$6,AG$5,0,1,10),DATA!$R283:$AA283),"")</f>
        <v/>
      </c>
      <c r="AH275" s="7" t="str">
        <f ca="1">IF(LEN(DATA!G283)&gt;0,SUMPRODUCT(OFFSET(DATA!$R$6,AH$5,0,1,10),DATA!$R283:$AA283),"")</f>
        <v/>
      </c>
      <c r="AI275" s="7" t="str">
        <f ca="1">IF(LEN(DATA!H283)&gt;0,SUMPRODUCT(OFFSET(DATA!$R$6,AI$5,0,1,10),DATA!$R283:$AA283),"")</f>
        <v/>
      </c>
      <c r="AJ275" s="7" t="str">
        <f ca="1">IF(LEN(DATA!I283)&gt;0,SUMPRODUCT(OFFSET(DATA!$R$6,AJ$5,0,1,10),DATA!$R283:$AA283),"")</f>
        <v/>
      </c>
      <c r="AK275" s="7"/>
      <c r="AL275" s="7" t="e">
        <f t="shared" ca="1" si="97"/>
        <v>#DIV/0!</v>
      </c>
      <c r="AM275" s="7" t="e">
        <f t="shared" ca="1" si="98"/>
        <v>#DIV/0!</v>
      </c>
      <c r="AN275" s="7" t="e">
        <f t="shared" ca="1" si="99"/>
        <v>#DIV/0!</v>
      </c>
      <c r="AO275" s="7" t="e">
        <f t="shared" ca="1" si="100"/>
        <v>#DIV/0!</v>
      </c>
      <c r="AP275" s="7" t="e">
        <f t="shared" ca="1" si="101"/>
        <v>#DIV/0!</v>
      </c>
      <c r="AQ275" s="7" t="e">
        <f t="shared" ca="1" si="102"/>
        <v>#DIV/0!</v>
      </c>
      <c r="AS275">
        <f t="shared" si="103"/>
        <v>89</v>
      </c>
      <c r="AT275">
        <f t="shared" si="104"/>
        <v>2</v>
      </c>
      <c r="AU275">
        <f t="shared" ca="1" si="105"/>
        <v>0.97479388389350019</v>
      </c>
      <c r="AV275">
        <f t="shared" ca="1" si="106"/>
        <v>0.85469958929111933</v>
      </c>
      <c r="AW275">
        <f ca="1">IF(AND($AT275&lt;3,OFFSET(DATA!$C$14,$AS275,0)=AW$6),$AV275,dNULL)</f>
        <v>-99</v>
      </c>
      <c r="AX275">
        <f ca="1">IF(AND($AT275&lt;3,OFFSET(DATA!$C$14,$AS275,0)=AX$6),$AV275,dNULL)</f>
        <v>0.85469958929111933</v>
      </c>
      <c r="AY275">
        <f ca="1">IF(AND($AT275&lt;3,OFFSET(DATA!$C$14,$AS275,0)=AY$6),$AV275,dNULL)</f>
        <v>-99</v>
      </c>
      <c r="AZ275">
        <f ca="1">IF(AND($AT275&lt;3,OFFSET(DATA!$C$14,$AS275,0)=AZ$6),$AV275,dNULL)</f>
        <v>-99</v>
      </c>
      <c r="BA275">
        <f ca="1">IF(AND($AT275&lt;3,OFFSET(DATA!$C$14,$AS275,0)=BA$6),$AV275,dNULL)</f>
        <v>-99</v>
      </c>
      <c r="BB275">
        <f ca="1">IF(AND($AT275&lt;3,OFFSET(DATA!$C$14,$AS275,0)=BB$6),$AV275,dNULL)</f>
        <v>-99</v>
      </c>
      <c r="BC275">
        <f ca="1">IF(AND($AT275&lt;3,OFFSET(DATA!$C$14,$AS275,0)=BC$6),$AV275,dNULL)</f>
        <v>-99</v>
      </c>
      <c r="BD275">
        <f ca="1">IF(AND($AT275&lt;3,OFFSET(DATA!$C$14,$AS275,0)=BD$6),$AV275,dNULL)</f>
        <v>-99</v>
      </c>
      <c r="BE275">
        <f ca="1">IF(AND($AT275&lt;3,OFFSET(DATA!$C$14,$AS275,0)=BE$6),$AV275,dNULL)</f>
        <v>-99</v>
      </c>
      <c r="BF275">
        <f ca="1">IF(AND($AT275&lt;3,OFFSET(DATA!$C$14,$AS275,0)=BF$6),$AV275,dNULL)</f>
        <v>-99</v>
      </c>
      <c r="BG275">
        <f ca="1">IF(AND($AT275&lt;3,OFFSET(DATA!$C$14,$AS275,0)=BG$6),$AV275,dNULL)</f>
        <v>-99</v>
      </c>
      <c r="BH275">
        <f ca="1">IF(AND($AT275&lt;3,OFFSET(DATA!$C$14,$AS275,0)=BH$6),$AV275,dNULL)</f>
        <v>-99</v>
      </c>
    </row>
    <row r="276" spans="25:60" x14ac:dyDescent="0.25">
      <c r="Y276" s="26"/>
      <c r="Z276" s="26"/>
      <c r="AB276" s="26" t="str">
        <f t="shared" ca="1" si="96"/>
        <v/>
      </c>
      <c r="AC276">
        <f t="shared" ca="1" si="107"/>
        <v>90</v>
      </c>
      <c r="AD276" t="str">
        <f ca="1">IF(AND(AT276&lt;1,MAX(AW276:BH276)&gt;dNULL),DATA!$D284,"")</f>
        <v/>
      </c>
      <c r="AE276" s="7" t="str">
        <f ca="1">IF(LEN(DATA!D284)&gt;0,SUMPRODUCT(OFFSET(DATA!$R$6,AE$5,0,1,10),DATA!$R284:$AA284),"")</f>
        <v/>
      </c>
      <c r="AF276" s="7" t="str">
        <f ca="1">IF(LEN(DATA!E284)&gt;0,SUMPRODUCT(OFFSET(DATA!$R$6,AF$5,0,1,10),DATA!$R284:$AA284),"")</f>
        <v/>
      </c>
      <c r="AG276" s="7" t="str">
        <f ca="1">IF(LEN(DATA!F284)&gt;0,SUMPRODUCT(OFFSET(DATA!$R$6,AG$5,0,1,10),DATA!$R284:$AA284),"")</f>
        <v/>
      </c>
      <c r="AH276" s="7" t="str">
        <f ca="1">IF(LEN(DATA!G284)&gt;0,SUMPRODUCT(OFFSET(DATA!$R$6,AH$5,0,1,10),DATA!$R284:$AA284),"")</f>
        <v/>
      </c>
      <c r="AI276" s="7" t="str">
        <f ca="1">IF(LEN(DATA!H284)&gt;0,SUMPRODUCT(OFFSET(DATA!$R$6,AI$5,0,1,10),DATA!$R284:$AA284),"")</f>
        <v/>
      </c>
      <c r="AJ276" s="7" t="str">
        <f ca="1">IF(LEN(DATA!I284)&gt;0,SUMPRODUCT(OFFSET(DATA!$R$6,AJ$5,0,1,10),DATA!$R284:$AA284),"")</f>
        <v/>
      </c>
      <c r="AK276" s="7"/>
      <c r="AL276" s="7" t="e">
        <f t="shared" ca="1" si="97"/>
        <v>#DIV/0!</v>
      </c>
      <c r="AM276" s="7" t="e">
        <f t="shared" ca="1" si="98"/>
        <v>#DIV/0!</v>
      </c>
      <c r="AN276" s="7" t="e">
        <f t="shared" ca="1" si="99"/>
        <v>#DIV/0!</v>
      </c>
      <c r="AO276" s="7" t="e">
        <f t="shared" ca="1" si="100"/>
        <v>#DIV/0!</v>
      </c>
      <c r="AP276" s="7" t="e">
        <f t="shared" ca="1" si="101"/>
        <v>#DIV/0!</v>
      </c>
      <c r="AQ276" s="7" t="e">
        <f t="shared" ca="1" si="102"/>
        <v>#DIV/0!</v>
      </c>
      <c r="AS276">
        <f t="shared" si="103"/>
        <v>90</v>
      </c>
      <c r="AT276">
        <f t="shared" si="104"/>
        <v>2</v>
      </c>
      <c r="AU276">
        <f t="shared" ca="1" si="105"/>
        <v>0.98919861845802415</v>
      </c>
      <c r="AV276">
        <f t="shared" ca="1" si="106"/>
        <v>0.88031989288172663</v>
      </c>
      <c r="AW276">
        <f ca="1">IF(AND($AT276&lt;3,OFFSET(DATA!$C$14,$AS276,0)=AW$6),$AV276,dNULL)</f>
        <v>-99</v>
      </c>
      <c r="AX276">
        <f ca="1">IF(AND($AT276&lt;3,OFFSET(DATA!$C$14,$AS276,0)=AX$6),$AV276,dNULL)</f>
        <v>0.88031989288172663</v>
      </c>
      <c r="AY276">
        <f ca="1">IF(AND($AT276&lt;3,OFFSET(DATA!$C$14,$AS276,0)=AY$6),$AV276,dNULL)</f>
        <v>-99</v>
      </c>
      <c r="AZ276">
        <f ca="1">IF(AND($AT276&lt;3,OFFSET(DATA!$C$14,$AS276,0)=AZ$6),$AV276,dNULL)</f>
        <v>-99</v>
      </c>
      <c r="BA276">
        <f ca="1">IF(AND($AT276&lt;3,OFFSET(DATA!$C$14,$AS276,0)=BA$6),$AV276,dNULL)</f>
        <v>-99</v>
      </c>
      <c r="BB276">
        <f ca="1">IF(AND($AT276&lt;3,OFFSET(DATA!$C$14,$AS276,0)=BB$6),$AV276,dNULL)</f>
        <v>-99</v>
      </c>
      <c r="BC276">
        <f ca="1">IF(AND($AT276&lt;3,OFFSET(DATA!$C$14,$AS276,0)=BC$6),$AV276,dNULL)</f>
        <v>-99</v>
      </c>
      <c r="BD276">
        <f ca="1">IF(AND($AT276&lt;3,OFFSET(DATA!$C$14,$AS276,0)=BD$6),$AV276,dNULL)</f>
        <v>-99</v>
      </c>
      <c r="BE276">
        <f ca="1">IF(AND($AT276&lt;3,OFFSET(DATA!$C$14,$AS276,0)=BE$6),$AV276,dNULL)</f>
        <v>-99</v>
      </c>
      <c r="BF276">
        <f ca="1">IF(AND($AT276&lt;3,OFFSET(DATA!$C$14,$AS276,0)=BF$6),$AV276,dNULL)</f>
        <v>-99</v>
      </c>
      <c r="BG276">
        <f ca="1">IF(AND($AT276&lt;3,OFFSET(DATA!$C$14,$AS276,0)=BG$6),$AV276,dNULL)</f>
        <v>-99</v>
      </c>
      <c r="BH276">
        <f ca="1">IF(AND($AT276&lt;3,OFFSET(DATA!$C$14,$AS276,0)=BH$6),$AV276,dNULL)</f>
        <v>-99</v>
      </c>
    </row>
    <row r="277" spans="25:60" x14ac:dyDescent="0.25">
      <c r="Y277" s="26"/>
      <c r="Z277" s="26"/>
      <c r="AB277" s="26" t="str">
        <f t="shared" ca="1" si="96"/>
        <v/>
      </c>
      <c r="AC277">
        <f t="shared" ca="1" si="107"/>
        <v>90</v>
      </c>
      <c r="AD277" t="str">
        <f ca="1">IF(AND(AT277&lt;1,MAX(AW277:BH277)&gt;dNULL),DATA!$D285,"")</f>
        <v/>
      </c>
      <c r="AE277" s="7" t="str">
        <f ca="1">IF(LEN(DATA!D285)&gt;0,SUMPRODUCT(OFFSET(DATA!$R$6,AE$5,0,1,10),DATA!$R285:$AA285),"")</f>
        <v/>
      </c>
      <c r="AF277" s="7" t="str">
        <f ca="1">IF(LEN(DATA!E285)&gt;0,SUMPRODUCT(OFFSET(DATA!$R$6,AF$5,0,1,10),DATA!$R285:$AA285),"")</f>
        <v/>
      </c>
      <c r="AG277" s="7" t="str">
        <f ca="1">IF(LEN(DATA!F285)&gt;0,SUMPRODUCT(OFFSET(DATA!$R$6,AG$5,0,1,10),DATA!$R285:$AA285),"")</f>
        <v/>
      </c>
      <c r="AH277" s="7" t="str">
        <f ca="1">IF(LEN(DATA!G285)&gt;0,SUMPRODUCT(OFFSET(DATA!$R$6,AH$5,0,1,10),DATA!$R285:$AA285),"")</f>
        <v/>
      </c>
      <c r="AI277" s="7" t="str">
        <f ca="1">IF(LEN(DATA!H285)&gt;0,SUMPRODUCT(OFFSET(DATA!$R$6,AI$5,0,1,10),DATA!$R285:$AA285),"")</f>
        <v/>
      </c>
      <c r="AJ277" s="7" t="str">
        <f ca="1">IF(LEN(DATA!I285)&gt;0,SUMPRODUCT(OFFSET(DATA!$R$6,AJ$5,0,1,10),DATA!$R285:$AA285),"")</f>
        <v/>
      </c>
      <c r="AK277" s="7"/>
      <c r="AL277" s="7" t="e">
        <f t="shared" ca="1" si="97"/>
        <v>#DIV/0!</v>
      </c>
      <c r="AM277" s="7" t="e">
        <f t="shared" ca="1" si="98"/>
        <v>#DIV/0!</v>
      </c>
      <c r="AN277" s="7" t="e">
        <f t="shared" ca="1" si="99"/>
        <v>#DIV/0!</v>
      </c>
      <c r="AO277" s="7" t="e">
        <f t="shared" ca="1" si="100"/>
        <v>#DIV/0!</v>
      </c>
      <c r="AP277" s="7" t="e">
        <f t="shared" ca="1" si="101"/>
        <v>#DIV/0!</v>
      </c>
      <c r="AQ277" s="7" t="e">
        <f t="shared" ca="1" si="102"/>
        <v>#DIV/0!</v>
      </c>
      <c r="AS277">
        <f t="shared" si="103"/>
        <v>1</v>
      </c>
      <c r="AT277">
        <f t="shared" si="104"/>
        <v>3</v>
      </c>
      <c r="AU277">
        <f t="shared" ca="1" si="105"/>
        <v>-99</v>
      </c>
      <c r="AV277">
        <f t="shared" ca="1" si="106"/>
        <v>-99</v>
      </c>
      <c r="AW277">
        <f ca="1">IF(AND($AT277&lt;3,OFFSET(DATA!$C$14,$AS277,0)=AW$6),$AV277,dNULL)</f>
        <v>-99</v>
      </c>
      <c r="AX277">
        <f ca="1">IF(AND($AT277&lt;3,OFFSET(DATA!$C$14,$AS277,0)=AX$6),$AV277,dNULL)</f>
        <v>-99</v>
      </c>
      <c r="AY277">
        <f ca="1">IF(AND($AT277&lt;3,OFFSET(DATA!$C$14,$AS277,0)=AY$6),$AV277,dNULL)</f>
        <v>-99</v>
      </c>
      <c r="AZ277">
        <f ca="1">IF(AND($AT277&lt;3,OFFSET(DATA!$C$14,$AS277,0)=AZ$6),$AV277,dNULL)</f>
        <v>-99</v>
      </c>
      <c r="BA277">
        <f ca="1">IF(AND($AT277&lt;3,OFFSET(DATA!$C$14,$AS277,0)=BA$6),$AV277,dNULL)</f>
        <v>-99</v>
      </c>
      <c r="BB277">
        <f ca="1">IF(AND($AT277&lt;3,OFFSET(DATA!$C$14,$AS277,0)=BB$6),$AV277,dNULL)</f>
        <v>-99</v>
      </c>
      <c r="BC277">
        <f ca="1">IF(AND($AT277&lt;3,OFFSET(DATA!$C$14,$AS277,0)=BC$6),$AV277,dNULL)</f>
        <v>-99</v>
      </c>
      <c r="BD277">
        <f ca="1">IF(AND($AT277&lt;3,OFFSET(DATA!$C$14,$AS277,0)=BD$6),$AV277,dNULL)</f>
        <v>-99</v>
      </c>
      <c r="BE277">
        <f ca="1">IF(AND($AT277&lt;3,OFFSET(DATA!$C$14,$AS277,0)=BE$6),$AV277,dNULL)</f>
        <v>-99</v>
      </c>
      <c r="BF277">
        <f ca="1">IF(AND($AT277&lt;3,OFFSET(DATA!$C$14,$AS277,0)=BF$6),$AV277,dNULL)</f>
        <v>-99</v>
      </c>
      <c r="BG277">
        <f ca="1">IF(AND($AT277&lt;3,OFFSET(DATA!$C$14,$AS277,0)=BG$6),$AV277,dNULL)</f>
        <v>-99</v>
      </c>
      <c r="BH277">
        <f ca="1">IF(AND($AT277&lt;3,OFFSET(DATA!$C$14,$AS277,0)=BH$6),$AV277,dNULL)</f>
        <v>-99</v>
      </c>
    </row>
    <row r="278" spans="25:60" x14ac:dyDescent="0.25">
      <c r="Y278" s="26"/>
      <c r="Z278" s="26"/>
      <c r="AB278" s="26" t="str">
        <f t="shared" ca="1" si="96"/>
        <v/>
      </c>
      <c r="AC278">
        <f t="shared" ca="1" si="107"/>
        <v>90</v>
      </c>
      <c r="AD278" t="str">
        <f ca="1">IF(AND(AT278&lt;1,MAX(AW278:BH278)&gt;dNULL),DATA!$D286,"")</f>
        <v/>
      </c>
      <c r="AE278" s="7" t="str">
        <f ca="1">IF(LEN(DATA!D286)&gt;0,SUMPRODUCT(OFFSET(DATA!$R$6,AE$5,0,1,10),DATA!$R286:$AA286),"")</f>
        <v/>
      </c>
      <c r="AF278" s="7" t="str">
        <f ca="1">IF(LEN(DATA!E286)&gt;0,SUMPRODUCT(OFFSET(DATA!$R$6,AF$5,0,1,10),DATA!$R286:$AA286),"")</f>
        <v/>
      </c>
      <c r="AG278" s="7" t="str">
        <f ca="1">IF(LEN(DATA!F286)&gt;0,SUMPRODUCT(OFFSET(DATA!$R$6,AG$5,0,1,10),DATA!$R286:$AA286),"")</f>
        <v/>
      </c>
      <c r="AH278" s="7" t="str">
        <f ca="1">IF(LEN(DATA!G286)&gt;0,SUMPRODUCT(OFFSET(DATA!$R$6,AH$5,0,1,10),DATA!$R286:$AA286),"")</f>
        <v/>
      </c>
      <c r="AI278" s="7" t="str">
        <f ca="1">IF(LEN(DATA!H286)&gt;0,SUMPRODUCT(OFFSET(DATA!$R$6,AI$5,0,1,10),DATA!$R286:$AA286),"")</f>
        <v/>
      </c>
      <c r="AJ278" s="7" t="str">
        <f ca="1">IF(LEN(DATA!I286)&gt;0,SUMPRODUCT(OFFSET(DATA!$R$6,AJ$5,0,1,10),DATA!$R286:$AA286),"")</f>
        <v/>
      </c>
      <c r="AK278" s="7"/>
      <c r="AL278" s="7" t="e">
        <f t="shared" ca="1" si="97"/>
        <v>#DIV/0!</v>
      </c>
      <c r="AM278" s="7" t="e">
        <f t="shared" ca="1" si="98"/>
        <v>#DIV/0!</v>
      </c>
      <c r="AN278" s="7" t="e">
        <f t="shared" ca="1" si="99"/>
        <v>#DIV/0!</v>
      </c>
      <c r="AO278" s="7" t="e">
        <f t="shared" ca="1" si="100"/>
        <v>#DIV/0!</v>
      </c>
      <c r="AP278" s="7" t="e">
        <f t="shared" ca="1" si="101"/>
        <v>#DIV/0!</v>
      </c>
      <c r="AQ278" s="7" t="e">
        <f t="shared" ca="1" si="102"/>
        <v>#DIV/0!</v>
      </c>
      <c r="AS278">
        <f t="shared" si="103"/>
        <v>2</v>
      </c>
      <c r="AT278">
        <f t="shared" si="104"/>
        <v>3</v>
      </c>
      <c r="AU278">
        <f t="shared" ca="1" si="105"/>
        <v>-99</v>
      </c>
      <c r="AV278">
        <f t="shared" ca="1" si="106"/>
        <v>-99</v>
      </c>
      <c r="AW278">
        <f ca="1">IF(AND($AT278&lt;3,OFFSET(DATA!$C$14,$AS278,0)=AW$6),$AV278,dNULL)</f>
        <v>-99</v>
      </c>
      <c r="AX278">
        <f ca="1">IF(AND($AT278&lt;3,OFFSET(DATA!$C$14,$AS278,0)=AX$6),$AV278,dNULL)</f>
        <v>-99</v>
      </c>
      <c r="AY278">
        <f ca="1">IF(AND($AT278&lt;3,OFFSET(DATA!$C$14,$AS278,0)=AY$6),$AV278,dNULL)</f>
        <v>-99</v>
      </c>
      <c r="AZ278">
        <f ca="1">IF(AND($AT278&lt;3,OFFSET(DATA!$C$14,$AS278,0)=AZ$6),$AV278,dNULL)</f>
        <v>-99</v>
      </c>
      <c r="BA278">
        <f ca="1">IF(AND($AT278&lt;3,OFFSET(DATA!$C$14,$AS278,0)=BA$6),$AV278,dNULL)</f>
        <v>-99</v>
      </c>
      <c r="BB278">
        <f ca="1">IF(AND($AT278&lt;3,OFFSET(DATA!$C$14,$AS278,0)=BB$6),$AV278,dNULL)</f>
        <v>-99</v>
      </c>
      <c r="BC278">
        <f ca="1">IF(AND($AT278&lt;3,OFFSET(DATA!$C$14,$AS278,0)=BC$6),$AV278,dNULL)</f>
        <v>-99</v>
      </c>
      <c r="BD278">
        <f ca="1">IF(AND($AT278&lt;3,OFFSET(DATA!$C$14,$AS278,0)=BD$6),$AV278,dNULL)</f>
        <v>-99</v>
      </c>
      <c r="BE278">
        <f ca="1">IF(AND($AT278&lt;3,OFFSET(DATA!$C$14,$AS278,0)=BE$6),$AV278,dNULL)</f>
        <v>-99</v>
      </c>
      <c r="BF278">
        <f ca="1">IF(AND($AT278&lt;3,OFFSET(DATA!$C$14,$AS278,0)=BF$6),$AV278,dNULL)</f>
        <v>-99</v>
      </c>
      <c r="BG278">
        <f ca="1">IF(AND($AT278&lt;3,OFFSET(DATA!$C$14,$AS278,0)=BG$6),$AV278,dNULL)</f>
        <v>-99</v>
      </c>
      <c r="BH278">
        <f ca="1">IF(AND($AT278&lt;3,OFFSET(DATA!$C$14,$AS278,0)=BH$6),$AV278,dNULL)</f>
        <v>-99</v>
      </c>
    </row>
    <row r="279" spans="25:60" x14ac:dyDescent="0.25">
      <c r="Y279" s="26"/>
      <c r="Z279" s="26"/>
      <c r="AB279" s="26" t="str">
        <f t="shared" ca="1" si="96"/>
        <v/>
      </c>
      <c r="AC279">
        <f t="shared" ca="1" si="107"/>
        <v>90</v>
      </c>
      <c r="AD279" t="str">
        <f ca="1">IF(AND(AT279&lt;1,MAX(AW279:BH279)&gt;dNULL),DATA!$D287,"")</f>
        <v/>
      </c>
      <c r="AE279" s="7" t="str">
        <f ca="1">IF(LEN(DATA!D287)&gt;0,SUMPRODUCT(OFFSET(DATA!$R$6,AE$5,0,1,10),DATA!$R287:$AA287),"")</f>
        <v/>
      </c>
      <c r="AF279" s="7" t="str">
        <f ca="1">IF(LEN(DATA!E287)&gt;0,SUMPRODUCT(OFFSET(DATA!$R$6,AF$5,0,1,10),DATA!$R287:$AA287),"")</f>
        <v/>
      </c>
      <c r="AG279" s="7" t="str">
        <f ca="1">IF(LEN(DATA!F287)&gt;0,SUMPRODUCT(OFFSET(DATA!$R$6,AG$5,0,1,10),DATA!$R287:$AA287),"")</f>
        <v/>
      </c>
      <c r="AH279" s="7" t="str">
        <f ca="1">IF(LEN(DATA!G287)&gt;0,SUMPRODUCT(OFFSET(DATA!$R$6,AH$5,0,1,10),DATA!$R287:$AA287),"")</f>
        <v/>
      </c>
      <c r="AI279" s="7" t="str">
        <f ca="1">IF(LEN(DATA!H287)&gt;0,SUMPRODUCT(OFFSET(DATA!$R$6,AI$5,0,1,10),DATA!$R287:$AA287),"")</f>
        <v/>
      </c>
      <c r="AJ279" s="7" t="str">
        <f ca="1">IF(LEN(DATA!I287)&gt;0,SUMPRODUCT(OFFSET(DATA!$R$6,AJ$5,0,1,10),DATA!$R287:$AA287),"")</f>
        <v/>
      </c>
      <c r="AK279" s="7"/>
      <c r="AL279" s="7" t="e">
        <f t="shared" ca="1" si="97"/>
        <v>#DIV/0!</v>
      </c>
      <c r="AM279" s="7" t="e">
        <f t="shared" ca="1" si="98"/>
        <v>#DIV/0!</v>
      </c>
      <c r="AN279" s="7" t="e">
        <f t="shared" ca="1" si="99"/>
        <v>#DIV/0!</v>
      </c>
      <c r="AO279" s="7" t="e">
        <f t="shared" ca="1" si="100"/>
        <v>#DIV/0!</v>
      </c>
      <c r="AP279" s="7" t="e">
        <f t="shared" ca="1" si="101"/>
        <v>#DIV/0!</v>
      </c>
      <c r="AQ279" s="7" t="e">
        <f t="shared" ca="1" si="102"/>
        <v>#DIV/0!</v>
      </c>
      <c r="AS279">
        <f t="shared" si="103"/>
        <v>3</v>
      </c>
      <c r="AT279">
        <f t="shared" si="104"/>
        <v>3</v>
      </c>
      <c r="AU279">
        <f t="shared" ca="1" si="105"/>
        <v>-99</v>
      </c>
      <c r="AV279">
        <f t="shared" ca="1" si="106"/>
        <v>-99</v>
      </c>
      <c r="AW279">
        <f ca="1">IF(AND($AT279&lt;3,OFFSET(DATA!$C$14,$AS279,0)=AW$6),$AV279,dNULL)</f>
        <v>-99</v>
      </c>
      <c r="AX279">
        <f ca="1">IF(AND($AT279&lt;3,OFFSET(DATA!$C$14,$AS279,0)=AX$6),$AV279,dNULL)</f>
        <v>-99</v>
      </c>
      <c r="AY279">
        <f ca="1">IF(AND($AT279&lt;3,OFFSET(DATA!$C$14,$AS279,0)=AY$6),$AV279,dNULL)</f>
        <v>-99</v>
      </c>
      <c r="AZ279">
        <f ca="1">IF(AND($AT279&lt;3,OFFSET(DATA!$C$14,$AS279,0)=AZ$6),$AV279,dNULL)</f>
        <v>-99</v>
      </c>
      <c r="BA279">
        <f ca="1">IF(AND($AT279&lt;3,OFFSET(DATA!$C$14,$AS279,0)=BA$6),$AV279,dNULL)</f>
        <v>-99</v>
      </c>
      <c r="BB279">
        <f ca="1">IF(AND($AT279&lt;3,OFFSET(DATA!$C$14,$AS279,0)=BB$6),$AV279,dNULL)</f>
        <v>-99</v>
      </c>
      <c r="BC279">
        <f ca="1">IF(AND($AT279&lt;3,OFFSET(DATA!$C$14,$AS279,0)=BC$6),$AV279,dNULL)</f>
        <v>-99</v>
      </c>
      <c r="BD279">
        <f ca="1">IF(AND($AT279&lt;3,OFFSET(DATA!$C$14,$AS279,0)=BD$6),$AV279,dNULL)</f>
        <v>-99</v>
      </c>
      <c r="BE279">
        <f ca="1">IF(AND($AT279&lt;3,OFFSET(DATA!$C$14,$AS279,0)=BE$6),$AV279,dNULL)</f>
        <v>-99</v>
      </c>
      <c r="BF279">
        <f ca="1">IF(AND($AT279&lt;3,OFFSET(DATA!$C$14,$AS279,0)=BF$6),$AV279,dNULL)</f>
        <v>-99</v>
      </c>
      <c r="BG279">
        <f ca="1">IF(AND($AT279&lt;3,OFFSET(DATA!$C$14,$AS279,0)=BG$6),$AV279,dNULL)</f>
        <v>-99</v>
      </c>
      <c r="BH279">
        <f ca="1">IF(AND($AT279&lt;3,OFFSET(DATA!$C$14,$AS279,0)=BH$6),$AV279,dNULL)</f>
        <v>-99</v>
      </c>
    </row>
    <row r="280" spans="25:60" x14ac:dyDescent="0.25">
      <c r="Y280" s="26"/>
      <c r="Z280" s="26"/>
      <c r="AB280" s="26" t="str">
        <f t="shared" ca="1" si="96"/>
        <v/>
      </c>
      <c r="AC280">
        <f t="shared" ca="1" si="107"/>
        <v>90</v>
      </c>
      <c r="AD280" t="str">
        <f ca="1">IF(AND(AT280&lt;1,MAX(AW280:BH280)&gt;dNULL),DATA!$D288,"")</f>
        <v/>
      </c>
      <c r="AE280" s="7" t="str">
        <f ca="1">IF(LEN(DATA!D288)&gt;0,SUMPRODUCT(OFFSET(DATA!$R$6,AE$5,0,1,10),DATA!$R288:$AA288),"")</f>
        <v/>
      </c>
      <c r="AF280" s="7" t="str">
        <f ca="1">IF(LEN(DATA!E288)&gt;0,SUMPRODUCT(OFFSET(DATA!$R$6,AF$5,0,1,10),DATA!$R288:$AA288),"")</f>
        <v/>
      </c>
      <c r="AG280" s="7" t="str">
        <f ca="1">IF(LEN(DATA!F288)&gt;0,SUMPRODUCT(OFFSET(DATA!$R$6,AG$5,0,1,10),DATA!$R288:$AA288),"")</f>
        <v/>
      </c>
      <c r="AH280" s="7" t="str">
        <f ca="1">IF(LEN(DATA!G288)&gt;0,SUMPRODUCT(OFFSET(DATA!$R$6,AH$5,0,1,10),DATA!$R288:$AA288),"")</f>
        <v/>
      </c>
      <c r="AI280" s="7" t="str">
        <f ca="1">IF(LEN(DATA!H288)&gt;0,SUMPRODUCT(OFFSET(DATA!$R$6,AI$5,0,1,10),DATA!$R288:$AA288),"")</f>
        <v/>
      </c>
      <c r="AJ280" s="7" t="str">
        <f ca="1">IF(LEN(DATA!I288)&gt;0,SUMPRODUCT(OFFSET(DATA!$R$6,AJ$5,0,1,10),DATA!$R288:$AA288),"")</f>
        <v/>
      </c>
      <c r="AK280" s="7"/>
      <c r="AL280" s="7" t="e">
        <f t="shared" ca="1" si="97"/>
        <v>#DIV/0!</v>
      </c>
      <c r="AM280" s="7" t="e">
        <f t="shared" ca="1" si="98"/>
        <v>#DIV/0!</v>
      </c>
      <c r="AN280" s="7" t="e">
        <f t="shared" ca="1" si="99"/>
        <v>#DIV/0!</v>
      </c>
      <c r="AO280" s="7" t="e">
        <f t="shared" ca="1" si="100"/>
        <v>#DIV/0!</v>
      </c>
      <c r="AP280" s="7" t="e">
        <f t="shared" ca="1" si="101"/>
        <v>#DIV/0!</v>
      </c>
      <c r="AQ280" s="7" t="e">
        <f t="shared" ca="1" si="102"/>
        <v>#DIV/0!</v>
      </c>
      <c r="AS280">
        <f t="shared" si="103"/>
        <v>4</v>
      </c>
      <c r="AT280">
        <f t="shared" si="104"/>
        <v>3</v>
      </c>
      <c r="AU280">
        <f t="shared" ca="1" si="105"/>
        <v>-99</v>
      </c>
      <c r="AV280">
        <f t="shared" ca="1" si="106"/>
        <v>-99</v>
      </c>
      <c r="AW280">
        <f ca="1">IF(AND($AT280&lt;3,OFFSET(DATA!$C$14,$AS280,0)=AW$6),$AV280,dNULL)</f>
        <v>-99</v>
      </c>
      <c r="AX280">
        <f ca="1">IF(AND($AT280&lt;3,OFFSET(DATA!$C$14,$AS280,0)=AX$6),$AV280,dNULL)</f>
        <v>-99</v>
      </c>
      <c r="AY280">
        <f ca="1">IF(AND($AT280&lt;3,OFFSET(DATA!$C$14,$AS280,0)=AY$6),$AV280,dNULL)</f>
        <v>-99</v>
      </c>
      <c r="AZ280">
        <f ca="1">IF(AND($AT280&lt;3,OFFSET(DATA!$C$14,$AS280,0)=AZ$6),$AV280,dNULL)</f>
        <v>-99</v>
      </c>
      <c r="BA280">
        <f ca="1">IF(AND($AT280&lt;3,OFFSET(DATA!$C$14,$AS280,0)=BA$6),$AV280,dNULL)</f>
        <v>-99</v>
      </c>
      <c r="BB280">
        <f ca="1">IF(AND($AT280&lt;3,OFFSET(DATA!$C$14,$AS280,0)=BB$6),$AV280,dNULL)</f>
        <v>-99</v>
      </c>
      <c r="BC280">
        <f ca="1">IF(AND($AT280&lt;3,OFFSET(DATA!$C$14,$AS280,0)=BC$6),$AV280,dNULL)</f>
        <v>-99</v>
      </c>
      <c r="BD280">
        <f ca="1">IF(AND($AT280&lt;3,OFFSET(DATA!$C$14,$AS280,0)=BD$6),$AV280,dNULL)</f>
        <v>-99</v>
      </c>
      <c r="BE280">
        <f ca="1">IF(AND($AT280&lt;3,OFFSET(DATA!$C$14,$AS280,0)=BE$6),$AV280,dNULL)</f>
        <v>-99</v>
      </c>
      <c r="BF280">
        <f ca="1">IF(AND($AT280&lt;3,OFFSET(DATA!$C$14,$AS280,0)=BF$6),$AV280,dNULL)</f>
        <v>-99</v>
      </c>
      <c r="BG280">
        <f ca="1">IF(AND($AT280&lt;3,OFFSET(DATA!$C$14,$AS280,0)=BG$6),$AV280,dNULL)</f>
        <v>-99</v>
      </c>
      <c r="BH280">
        <f ca="1">IF(AND($AT280&lt;3,OFFSET(DATA!$C$14,$AS280,0)=BH$6),$AV280,dNULL)</f>
        <v>-99</v>
      </c>
    </row>
    <row r="281" spans="25:60" x14ac:dyDescent="0.25">
      <c r="Y281" s="26"/>
      <c r="Z281" s="26"/>
      <c r="AB281" s="26" t="str">
        <f t="shared" ca="1" si="96"/>
        <v/>
      </c>
      <c r="AC281">
        <f t="shared" ca="1" si="107"/>
        <v>90</v>
      </c>
      <c r="AD281" t="str">
        <f ca="1">IF(AND(AT281&lt;1,MAX(AW281:BH281)&gt;dNULL),DATA!$D289,"")</f>
        <v/>
      </c>
      <c r="AE281" s="7" t="str">
        <f ca="1">IF(LEN(DATA!D289)&gt;0,SUMPRODUCT(OFFSET(DATA!$R$6,AE$5,0,1,10),DATA!$R289:$AA289),"")</f>
        <v/>
      </c>
      <c r="AF281" s="7" t="str">
        <f ca="1">IF(LEN(DATA!E289)&gt;0,SUMPRODUCT(OFFSET(DATA!$R$6,AF$5,0,1,10),DATA!$R289:$AA289),"")</f>
        <v/>
      </c>
      <c r="AG281" s="7" t="str">
        <f ca="1">IF(LEN(DATA!F289)&gt;0,SUMPRODUCT(OFFSET(DATA!$R$6,AG$5,0,1,10),DATA!$R289:$AA289),"")</f>
        <v/>
      </c>
      <c r="AH281" s="7" t="str">
        <f ca="1">IF(LEN(DATA!G289)&gt;0,SUMPRODUCT(OFFSET(DATA!$R$6,AH$5,0,1,10),DATA!$R289:$AA289),"")</f>
        <v/>
      </c>
      <c r="AI281" s="7" t="str">
        <f ca="1">IF(LEN(DATA!H289)&gt;0,SUMPRODUCT(OFFSET(DATA!$R$6,AI$5,0,1,10),DATA!$R289:$AA289),"")</f>
        <v/>
      </c>
      <c r="AJ281" s="7" t="str">
        <f ca="1">IF(LEN(DATA!I289)&gt;0,SUMPRODUCT(OFFSET(DATA!$R$6,AJ$5,0,1,10),DATA!$R289:$AA289),"")</f>
        <v/>
      </c>
      <c r="AK281" s="7"/>
      <c r="AL281" s="7" t="e">
        <f t="shared" ca="1" si="97"/>
        <v>#DIV/0!</v>
      </c>
      <c r="AM281" s="7" t="e">
        <f t="shared" ca="1" si="98"/>
        <v>#DIV/0!</v>
      </c>
      <c r="AN281" s="7" t="e">
        <f t="shared" ca="1" si="99"/>
        <v>#DIV/0!</v>
      </c>
      <c r="AO281" s="7" t="e">
        <f t="shared" ca="1" si="100"/>
        <v>#DIV/0!</v>
      </c>
      <c r="AP281" s="7" t="e">
        <f t="shared" ca="1" si="101"/>
        <v>#DIV/0!</v>
      </c>
      <c r="AQ281" s="7" t="e">
        <f t="shared" ca="1" si="102"/>
        <v>#DIV/0!</v>
      </c>
      <c r="AS281">
        <f t="shared" si="103"/>
        <v>5</v>
      </c>
      <c r="AT281">
        <f t="shared" si="104"/>
        <v>3</v>
      </c>
      <c r="AU281">
        <f t="shared" ca="1" si="105"/>
        <v>-99</v>
      </c>
      <c r="AV281">
        <f t="shared" ca="1" si="106"/>
        <v>-99</v>
      </c>
      <c r="AW281">
        <f ca="1">IF(AND($AT281&lt;3,OFFSET(DATA!$C$14,$AS281,0)=AW$6),$AV281,dNULL)</f>
        <v>-99</v>
      </c>
      <c r="AX281">
        <f ca="1">IF(AND($AT281&lt;3,OFFSET(DATA!$C$14,$AS281,0)=AX$6),$AV281,dNULL)</f>
        <v>-99</v>
      </c>
      <c r="AY281">
        <f ca="1">IF(AND($AT281&lt;3,OFFSET(DATA!$C$14,$AS281,0)=AY$6),$AV281,dNULL)</f>
        <v>-99</v>
      </c>
      <c r="AZ281">
        <f ca="1">IF(AND($AT281&lt;3,OFFSET(DATA!$C$14,$AS281,0)=AZ$6),$AV281,dNULL)</f>
        <v>-99</v>
      </c>
      <c r="BA281">
        <f ca="1">IF(AND($AT281&lt;3,OFFSET(DATA!$C$14,$AS281,0)=BA$6),$AV281,dNULL)</f>
        <v>-99</v>
      </c>
      <c r="BB281">
        <f ca="1">IF(AND($AT281&lt;3,OFFSET(DATA!$C$14,$AS281,0)=BB$6),$AV281,dNULL)</f>
        <v>-99</v>
      </c>
      <c r="BC281">
        <f ca="1">IF(AND($AT281&lt;3,OFFSET(DATA!$C$14,$AS281,0)=BC$6),$AV281,dNULL)</f>
        <v>-99</v>
      </c>
      <c r="BD281">
        <f ca="1">IF(AND($AT281&lt;3,OFFSET(DATA!$C$14,$AS281,0)=BD$6),$AV281,dNULL)</f>
        <v>-99</v>
      </c>
      <c r="BE281">
        <f ca="1">IF(AND($AT281&lt;3,OFFSET(DATA!$C$14,$AS281,0)=BE$6),$AV281,dNULL)</f>
        <v>-99</v>
      </c>
      <c r="BF281">
        <f ca="1">IF(AND($AT281&lt;3,OFFSET(DATA!$C$14,$AS281,0)=BF$6),$AV281,dNULL)</f>
        <v>-99</v>
      </c>
      <c r="BG281">
        <f ca="1">IF(AND($AT281&lt;3,OFFSET(DATA!$C$14,$AS281,0)=BG$6),$AV281,dNULL)</f>
        <v>-99</v>
      </c>
      <c r="BH281">
        <f ca="1">IF(AND($AT281&lt;3,OFFSET(DATA!$C$14,$AS281,0)=BH$6),$AV281,dNULL)</f>
        <v>-99</v>
      </c>
    </row>
    <row r="282" spans="25:60" x14ac:dyDescent="0.25">
      <c r="Y282" s="26"/>
      <c r="Z282" s="26"/>
      <c r="AB282" s="26" t="str">
        <f t="shared" ca="1" si="96"/>
        <v/>
      </c>
      <c r="AC282">
        <f t="shared" ca="1" si="107"/>
        <v>90</v>
      </c>
      <c r="AD282" t="str">
        <f ca="1">IF(AND(AT282&lt;1,MAX(AW282:BH282)&gt;dNULL),DATA!$D290,"")</f>
        <v/>
      </c>
      <c r="AE282" s="7" t="str">
        <f ca="1">IF(LEN(DATA!D290)&gt;0,SUMPRODUCT(OFFSET(DATA!$R$6,AE$5,0,1,10),DATA!$R290:$AA290),"")</f>
        <v/>
      </c>
      <c r="AF282" s="7" t="str">
        <f ca="1">IF(LEN(DATA!E290)&gt;0,SUMPRODUCT(OFFSET(DATA!$R$6,AF$5,0,1,10),DATA!$R290:$AA290),"")</f>
        <v/>
      </c>
      <c r="AG282" s="7" t="str">
        <f ca="1">IF(LEN(DATA!F290)&gt;0,SUMPRODUCT(OFFSET(DATA!$R$6,AG$5,0,1,10),DATA!$R290:$AA290),"")</f>
        <v/>
      </c>
      <c r="AH282" s="7" t="str">
        <f ca="1">IF(LEN(DATA!G290)&gt;0,SUMPRODUCT(OFFSET(DATA!$R$6,AH$5,0,1,10),DATA!$R290:$AA290),"")</f>
        <v/>
      </c>
      <c r="AI282" s="7" t="str">
        <f ca="1">IF(LEN(DATA!H290)&gt;0,SUMPRODUCT(OFFSET(DATA!$R$6,AI$5,0,1,10),DATA!$R290:$AA290),"")</f>
        <v/>
      </c>
      <c r="AJ282" s="7" t="str">
        <f ca="1">IF(LEN(DATA!I290)&gt;0,SUMPRODUCT(OFFSET(DATA!$R$6,AJ$5,0,1,10),DATA!$R290:$AA290),"")</f>
        <v/>
      </c>
      <c r="AK282" s="7"/>
      <c r="AL282" s="7" t="e">
        <f t="shared" ca="1" si="97"/>
        <v>#DIV/0!</v>
      </c>
      <c r="AM282" s="7" t="e">
        <f t="shared" ca="1" si="98"/>
        <v>#DIV/0!</v>
      </c>
      <c r="AN282" s="7" t="e">
        <f t="shared" ca="1" si="99"/>
        <v>#DIV/0!</v>
      </c>
      <c r="AO282" s="7" t="e">
        <f t="shared" ca="1" si="100"/>
        <v>#DIV/0!</v>
      </c>
      <c r="AP282" s="7" t="e">
        <f t="shared" ca="1" si="101"/>
        <v>#DIV/0!</v>
      </c>
      <c r="AQ282" s="7" t="e">
        <f t="shared" ca="1" si="102"/>
        <v>#DIV/0!</v>
      </c>
      <c r="AS282">
        <f t="shared" si="103"/>
        <v>6</v>
      </c>
      <c r="AT282">
        <f t="shared" si="104"/>
        <v>3</v>
      </c>
      <c r="AU282">
        <f t="shared" ca="1" si="105"/>
        <v>-99</v>
      </c>
      <c r="AV282">
        <f t="shared" ca="1" si="106"/>
        <v>-99</v>
      </c>
      <c r="AW282">
        <f ca="1">IF(AND($AT282&lt;3,OFFSET(DATA!$C$14,$AS282,0)=AW$6),$AV282,dNULL)</f>
        <v>-99</v>
      </c>
      <c r="AX282">
        <f ca="1">IF(AND($AT282&lt;3,OFFSET(DATA!$C$14,$AS282,0)=AX$6),$AV282,dNULL)</f>
        <v>-99</v>
      </c>
      <c r="AY282">
        <f ca="1">IF(AND($AT282&lt;3,OFFSET(DATA!$C$14,$AS282,0)=AY$6),$AV282,dNULL)</f>
        <v>-99</v>
      </c>
      <c r="AZ282">
        <f ca="1">IF(AND($AT282&lt;3,OFFSET(DATA!$C$14,$AS282,0)=AZ$6),$AV282,dNULL)</f>
        <v>-99</v>
      </c>
      <c r="BA282">
        <f ca="1">IF(AND($AT282&lt;3,OFFSET(DATA!$C$14,$AS282,0)=BA$6),$AV282,dNULL)</f>
        <v>-99</v>
      </c>
      <c r="BB282">
        <f ca="1">IF(AND($AT282&lt;3,OFFSET(DATA!$C$14,$AS282,0)=BB$6),$AV282,dNULL)</f>
        <v>-99</v>
      </c>
      <c r="BC282">
        <f ca="1">IF(AND($AT282&lt;3,OFFSET(DATA!$C$14,$AS282,0)=BC$6),$AV282,dNULL)</f>
        <v>-99</v>
      </c>
      <c r="BD282">
        <f ca="1">IF(AND($AT282&lt;3,OFFSET(DATA!$C$14,$AS282,0)=BD$6),$AV282,dNULL)</f>
        <v>-99</v>
      </c>
      <c r="BE282">
        <f ca="1">IF(AND($AT282&lt;3,OFFSET(DATA!$C$14,$AS282,0)=BE$6),$AV282,dNULL)</f>
        <v>-99</v>
      </c>
      <c r="BF282">
        <f ca="1">IF(AND($AT282&lt;3,OFFSET(DATA!$C$14,$AS282,0)=BF$6),$AV282,dNULL)</f>
        <v>-99</v>
      </c>
      <c r="BG282">
        <f ca="1">IF(AND($AT282&lt;3,OFFSET(DATA!$C$14,$AS282,0)=BG$6),$AV282,dNULL)</f>
        <v>-99</v>
      </c>
      <c r="BH282">
        <f ca="1">IF(AND($AT282&lt;3,OFFSET(DATA!$C$14,$AS282,0)=BH$6),$AV282,dNULL)</f>
        <v>-99</v>
      </c>
    </row>
    <row r="283" spans="25:60" x14ac:dyDescent="0.25">
      <c r="Y283" s="26"/>
      <c r="Z283" s="26"/>
      <c r="AB283" s="26" t="str">
        <f t="shared" ca="1" si="96"/>
        <v/>
      </c>
      <c r="AC283">
        <f t="shared" ca="1" si="107"/>
        <v>90</v>
      </c>
      <c r="AD283" t="str">
        <f ca="1">IF(AND(AT283&lt;1,MAX(AW283:BH283)&gt;dNULL),DATA!$D291,"")</f>
        <v/>
      </c>
      <c r="AE283" s="7" t="str">
        <f ca="1">IF(LEN(DATA!D291)&gt;0,SUMPRODUCT(OFFSET(DATA!$R$6,AE$5,0,1,10),DATA!$R291:$AA291),"")</f>
        <v/>
      </c>
      <c r="AF283" s="7" t="str">
        <f ca="1">IF(LEN(DATA!E291)&gt;0,SUMPRODUCT(OFFSET(DATA!$R$6,AF$5,0,1,10),DATA!$R291:$AA291),"")</f>
        <v/>
      </c>
      <c r="AG283" s="7" t="str">
        <f ca="1">IF(LEN(DATA!F291)&gt;0,SUMPRODUCT(OFFSET(DATA!$R$6,AG$5,0,1,10),DATA!$R291:$AA291),"")</f>
        <v/>
      </c>
      <c r="AH283" s="7" t="str">
        <f ca="1">IF(LEN(DATA!G291)&gt;0,SUMPRODUCT(OFFSET(DATA!$R$6,AH$5,0,1,10),DATA!$R291:$AA291),"")</f>
        <v/>
      </c>
      <c r="AI283" s="7" t="str">
        <f ca="1">IF(LEN(DATA!H291)&gt;0,SUMPRODUCT(OFFSET(DATA!$R$6,AI$5,0,1,10),DATA!$R291:$AA291),"")</f>
        <v/>
      </c>
      <c r="AJ283" s="7" t="str">
        <f ca="1">IF(LEN(DATA!I291)&gt;0,SUMPRODUCT(OFFSET(DATA!$R$6,AJ$5,0,1,10),DATA!$R291:$AA291),"")</f>
        <v/>
      </c>
      <c r="AK283" s="7"/>
      <c r="AL283" s="7" t="e">
        <f t="shared" ca="1" si="97"/>
        <v>#DIV/0!</v>
      </c>
      <c r="AM283" s="7" t="e">
        <f t="shared" ca="1" si="98"/>
        <v>#DIV/0!</v>
      </c>
      <c r="AN283" s="7" t="e">
        <f t="shared" ca="1" si="99"/>
        <v>#DIV/0!</v>
      </c>
      <c r="AO283" s="7" t="e">
        <f t="shared" ca="1" si="100"/>
        <v>#DIV/0!</v>
      </c>
      <c r="AP283" s="7" t="e">
        <f t="shared" ca="1" si="101"/>
        <v>#DIV/0!</v>
      </c>
      <c r="AQ283" s="7" t="e">
        <f t="shared" ca="1" si="102"/>
        <v>#DIV/0!</v>
      </c>
      <c r="AS283">
        <f t="shared" si="103"/>
        <v>7</v>
      </c>
      <c r="AT283">
        <f t="shared" si="104"/>
        <v>3</v>
      </c>
      <c r="AU283">
        <f t="shared" ca="1" si="105"/>
        <v>-99</v>
      </c>
      <c r="AV283">
        <f t="shared" ca="1" si="106"/>
        <v>-99</v>
      </c>
      <c r="AW283">
        <f ca="1">IF(AND($AT283&lt;3,OFFSET(DATA!$C$14,$AS283,0)=AW$6),$AV283,dNULL)</f>
        <v>-99</v>
      </c>
      <c r="AX283">
        <f ca="1">IF(AND($AT283&lt;3,OFFSET(DATA!$C$14,$AS283,0)=AX$6),$AV283,dNULL)</f>
        <v>-99</v>
      </c>
      <c r="AY283">
        <f ca="1">IF(AND($AT283&lt;3,OFFSET(DATA!$C$14,$AS283,0)=AY$6),$AV283,dNULL)</f>
        <v>-99</v>
      </c>
      <c r="AZ283">
        <f ca="1">IF(AND($AT283&lt;3,OFFSET(DATA!$C$14,$AS283,0)=AZ$6),$AV283,dNULL)</f>
        <v>-99</v>
      </c>
      <c r="BA283">
        <f ca="1">IF(AND($AT283&lt;3,OFFSET(DATA!$C$14,$AS283,0)=BA$6),$AV283,dNULL)</f>
        <v>-99</v>
      </c>
      <c r="BB283">
        <f ca="1">IF(AND($AT283&lt;3,OFFSET(DATA!$C$14,$AS283,0)=BB$6),$AV283,dNULL)</f>
        <v>-99</v>
      </c>
      <c r="BC283">
        <f ca="1">IF(AND($AT283&lt;3,OFFSET(DATA!$C$14,$AS283,0)=BC$6),$AV283,dNULL)</f>
        <v>-99</v>
      </c>
      <c r="BD283">
        <f ca="1">IF(AND($AT283&lt;3,OFFSET(DATA!$C$14,$AS283,0)=BD$6),$AV283,dNULL)</f>
        <v>-99</v>
      </c>
      <c r="BE283">
        <f ca="1">IF(AND($AT283&lt;3,OFFSET(DATA!$C$14,$AS283,0)=BE$6),$AV283,dNULL)</f>
        <v>-99</v>
      </c>
      <c r="BF283">
        <f ca="1">IF(AND($AT283&lt;3,OFFSET(DATA!$C$14,$AS283,0)=BF$6),$AV283,dNULL)</f>
        <v>-99</v>
      </c>
      <c r="BG283">
        <f ca="1">IF(AND($AT283&lt;3,OFFSET(DATA!$C$14,$AS283,0)=BG$6),$AV283,dNULL)</f>
        <v>-99</v>
      </c>
      <c r="BH283">
        <f ca="1">IF(AND($AT283&lt;3,OFFSET(DATA!$C$14,$AS283,0)=BH$6),$AV283,dNULL)</f>
        <v>-99</v>
      </c>
    </row>
    <row r="284" spans="25:60" x14ac:dyDescent="0.25">
      <c r="Y284" s="26"/>
      <c r="Z284" s="26"/>
      <c r="AB284" s="26" t="str">
        <f t="shared" ca="1" si="96"/>
        <v/>
      </c>
      <c r="AC284">
        <f t="shared" ca="1" si="107"/>
        <v>90</v>
      </c>
      <c r="AD284" t="str">
        <f ca="1">IF(AND(AT284&lt;1,MAX(AW284:BH284)&gt;dNULL),DATA!$D292,"")</f>
        <v/>
      </c>
      <c r="AE284" s="7" t="str">
        <f ca="1">IF(LEN(DATA!D292)&gt;0,SUMPRODUCT(OFFSET(DATA!$R$6,AE$5,0,1,10),DATA!$R292:$AA292),"")</f>
        <v/>
      </c>
      <c r="AF284" s="7" t="str">
        <f ca="1">IF(LEN(DATA!E292)&gt;0,SUMPRODUCT(OFFSET(DATA!$R$6,AF$5,0,1,10),DATA!$R292:$AA292),"")</f>
        <v/>
      </c>
      <c r="AG284" s="7" t="str">
        <f ca="1">IF(LEN(DATA!F292)&gt;0,SUMPRODUCT(OFFSET(DATA!$R$6,AG$5,0,1,10),DATA!$R292:$AA292),"")</f>
        <v/>
      </c>
      <c r="AH284" s="7" t="str">
        <f ca="1">IF(LEN(DATA!G292)&gt;0,SUMPRODUCT(OFFSET(DATA!$R$6,AH$5,0,1,10),DATA!$R292:$AA292),"")</f>
        <v/>
      </c>
      <c r="AI284" s="7" t="str">
        <f ca="1">IF(LEN(DATA!H292)&gt;0,SUMPRODUCT(OFFSET(DATA!$R$6,AI$5,0,1,10),DATA!$R292:$AA292),"")</f>
        <v/>
      </c>
      <c r="AJ284" s="7" t="str">
        <f ca="1">IF(LEN(DATA!I292)&gt;0,SUMPRODUCT(OFFSET(DATA!$R$6,AJ$5,0,1,10),DATA!$R292:$AA292),"")</f>
        <v/>
      </c>
      <c r="AK284" s="7"/>
      <c r="AL284" s="7" t="e">
        <f t="shared" ca="1" si="97"/>
        <v>#DIV/0!</v>
      </c>
      <c r="AM284" s="7" t="e">
        <f t="shared" ca="1" si="98"/>
        <v>#DIV/0!</v>
      </c>
      <c r="AN284" s="7" t="e">
        <f t="shared" ca="1" si="99"/>
        <v>#DIV/0!</v>
      </c>
      <c r="AO284" s="7" t="e">
        <f t="shared" ca="1" si="100"/>
        <v>#DIV/0!</v>
      </c>
      <c r="AP284" s="7" t="e">
        <f t="shared" ca="1" si="101"/>
        <v>#DIV/0!</v>
      </c>
      <c r="AQ284" s="7" t="e">
        <f t="shared" ca="1" si="102"/>
        <v>#DIV/0!</v>
      </c>
      <c r="AS284">
        <f t="shared" si="103"/>
        <v>8</v>
      </c>
      <c r="AT284">
        <f t="shared" si="104"/>
        <v>3</v>
      </c>
      <c r="AU284">
        <f t="shared" ca="1" si="105"/>
        <v>-99</v>
      </c>
      <c r="AV284">
        <f t="shared" ca="1" si="106"/>
        <v>-99</v>
      </c>
      <c r="AW284">
        <f ca="1">IF(AND($AT284&lt;3,OFFSET(DATA!$C$14,$AS284,0)=AW$6),$AV284,dNULL)</f>
        <v>-99</v>
      </c>
      <c r="AX284">
        <f ca="1">IF(AND($AT284&lt;3,OFFSET(DATA!$C$14,$AS284,0)=AX$6),$AV284,dNULL)</f>
        <v>-99</v>
      </c>
      <c r="AY284">
        <f ca="1">IF(AND($AT284&lt;3,OFFSET(DATA!$C$14,$AS284,0)=AY$6),$AV284,dNULL)</f>
        <v>-99</v>
      </c>
      <c r="AZ284">
        <f ca="1">IF(AND($AT284&lt;3,OFFSET(DATA!$C$14,$AS284,0)=AZ$6),$AV284,dNULL)</f>
        <v>-99</v>
      </c>
      <c r="BA284">
        <f ca="1">IF(AND($AT284&lt;3,OFFSET(DATA!$C$14,$AS284,0)=BA$6),$AV284,dNULL)</f>
        <v>-99</v>
      </c>
      <c r="BB284">
        <f ca="1">IF(AND($AT284&lt;3,OFFSET(DATA!$C$14,$AS284,0)=BB$6),$AV284,dNULL)</f>
        <v>-99</v>
      </c>
      <c r="BC284">
        <f ca="1">IF(AND($AT284&lt;3,OFFSET(DATA!$C$14,$AS284,0)=BC$6),$AV284,dNULL)</f>
        <v>-99</v>
      </c>
      <c r="BD284">
        <f ca="1">IF(AND($AT284&lt;3,OFFSET(DATA!$C$14,$AS284,0)=BD$6),$AV284,dNULL)</f>
        <v>-99</v>
      </c>
      <c r="BE284">
        <f ca="1">IF(AND($AT284&lt;3,OFFSET(DATA!$C$14,$AS284,0)=BE$6),$AV284,dNULL)</f>
        <v>-99</v>
      </c>
      <c r="BF284">
        <f ca="1">IF(AND($AT284&lt;3,OFFSET(DATA!$C$14,$AS284,0)=BF$6),$AV284,dNULL)</f>
        <v>-99</v>
      </c>
      <c r="BG284">
        <f ca="1">IF(AND($AT284&lt;3,OFFSET(DATA!$C$14,$AS284,0)=BG$6),$AV284,dNULL)</f>
        <v>-99</v>
      </c>
      <c r="BH284">
        <f ca="1">IF(AND($AT284&lt;3,OFFSET(DATA!$C$14,$AS284,0)=BH$6),$AV284,dNULL)</f>
        <v>-99</v>
      </c>
    </row>
    <row r="285" spans="25:60" x14ac:dyDescent="0.25">
      <c r="Y285" s="26"/>
      <c r="Z285" s="26"/>
      <c r="AB285" s="26" t="str">
        <f t="shared" ca="1" si="96"/>
        <v/>
      </c>
      <c r="AC285">
        <f t="shared" ca="1" si="107"/>
        <v>90</v>
      </c>
      <c r="AD285" t="str">
        <f ca="1">IF(AND(AT285&lt;1,MAX(AW285:BH285)&gt;dNULL),DATA!$D293,"")</f>
        <v/>
      </c>
      <c r="AE285" s="7" t="str">
        <f ca="1">IF(LEN(DATA!D293)&gt;0,SUMPRODUCT(OFFSET(DATA!$R$6,AE$5,0,1,10),DATA!$R293:$AA293),"")</f>
        <v/>
      </c>
      <c r="AF285" s="7" t="str">
        <f ca="1">IF(LEN(DATA!E293)&gt;0,SUMPRODUCT(OFFSET(DATA!$R$6,AF$5,0,1,10),DATA!$R293:$AA293),"")</f>
        <v/>
      </c>
      <c r="AG285" s="7" t="str">
        <f ca="1">IF(LEN(DATA!F293)&gt;0,SUMPRODUCT(OFFSET(DATA!$R$6,AG$5,0,1,10),DATA!$R293:$AA293),"")</f>
        <v/>
      </c>
      <c r="AH285" s="7" t="str">
        <f ca="1">IF(LEN(DATA!G293)&gt;0,SUMPRODUCT(OFFSET(DATA!$R$6,AH$5,0,1,10),DATA!$R293:$AA293),"")</f>
        <v/>
      </c>
      <c r="AI285" s="7" t="str">
        <f ca="1">IF(LEN(DATA!H293)&gt;0,SUMPRODUCT(OFFSET(DATA!$R$6,AI$5,0,1,10),DATA!$R293:$AA293),"")</f>
        <v/>
      </c>
      <c r="AJ285" s="7" t="str">
        <f ca="1">IF(LEN(DATA!I293)&gt;0,SUMPRODUCT(OFFSET(DATA!$R$6,AJ$5,0,1,10),DATA!$R293:$AA293),"")</f>
        <v/>
      </c>
      <c r="AK285" s="7"/>
      <c r="AL285" s="7" t="e">
        <f t="shared" ca="1" si="97"/>
        <v>#DIV/0!</v>
      </c>
      <c r="AM285" s="7" t="e">
        <f t="shared" ca="1" si="98"/>
        <v>#DIV/0!</v>
      </c>
      <c r="AN285" s="7" t="e">
        <f t="shared" ca="1" si="99"/>
        <v>#DIV/0!</v>
      </c>
      <c r="AO285" s="7" t="e">
        <f t="shared" ca="1" si="100"/>
        <v>#DIV/0!</v>
      </c>
      <c r="AP285" s="7" t="e">
        <f t="shared" ca="1" si="101"/>
        <v>#DIV/0!</v>
      </c>
      <c r="AQ285" s="7" t="e">
        <f t="shared" ca="1" si="102"/>
        <v>#DIV/0!</v>
      </c>
      <c r="AS285">
        <f t="shared" si="103"/>
        <v>9</v>
      </c>
      <c r="AT285">
        <f t="shared" si="104"/>
        <v>3</v>
      </c>
      <c r="AU285">
        <f t="shared" ca="1" si="105"/>
        <v>-99</v>
      </c>
      <c r="AV285">
        <f t="shared" ca="1" si="106"/>
        <v>-99</v>
      </c>
      <c r="AW285">
        <f ca="1">IF(AND($AT285&lt;3,OFFSET(DATA!$C$14,$AS285,0)=AW$6),$AV285,dNULL)</f>
        <v>-99</v>
      </c>
      <c r="AX285">
        <f ca="1">IF(AND($AT285&lt;3,OFFSET(DATA!$C$14,$AS285,0)=AX$6),$AV285,dNULL)</f>
        <v>-99</v>
      </c>
      <c r="AY285">
        <f ca="1">IF(AND($AT285&lt;3,OFFSET(DATA!$C$14,$AS285,0)=AY$6),$AV285,dNULL)</f>
        <v>-99</v>
      </c>
      <c r="AZ285">
        <f ca="1">IF(AND($AT285&lt;3,OFFSET(DATA!$C$14,$AS285,0)=AZ$6),$AV285,dNULL)</f>
        <v>-99</v>
      </c>
      <c r="BA285">
        <f ca="1">IF(AND($AT285&lt;3,OFFSET(DATA!$C$14,$AS285,0)=BA$6),$AV285,dNULL)</f>
        <v>-99</v>
      </c>
      <c r="BB285">
        <f ca="1">IF(AND($AT285&lt;3,OFFSET(DATA!$C$14,$AS285,0)=BB$6),$AV285,dNULL)</f>
        <v>-99</v>
      </c>
      <c r="BC285">
        <f ca="1">IF(AND($AT285&lt;3,OFFSET(DATA!$C$14,$AS285,0)=BC$6),$AV285,dNULL)</f>
        <v>-99</v>
      </c>
      <c r="BD285">
        <f ca="1">IF(AND($AT285&lt;3,OFFSET(DATA!$C$14,$AS285,0)=BD$6),$AV285,dNULL)</f>
        <v>-99</v>
      </c>
      <c r="BE285">
        <f ca="1">IF(AND($AT285&lt;3,OFFSET(DATA!$C$14,$AS285,0)=BE$6),$AV285,dNULL)</f>
        <v>-99</v>
      </c>
      <c r="BF285">
        <f ca="1">IF(AND($AT285&lt;3,OFFSET(DATA!$C$14,$AS285,0)=BF$6),$AV285,dNULL)</f>
        <v>-99</v>
      </c>
      <c r="BG285">
        <f ca="1">IF(AND($AT285&lt;3,OFFSET(DATA!$C$14,$AS285,0)=BG$6),$AV285,dNULL)</f>
        <v>-99</v>
      </c>
      <c r="BH285">
        <f ca="1">IF(AND($AT285&lt;3,OFFSET(DATA!$C$14,$AS285,0)=BH$6),$AV285,dNULL)</f>
        <v>-99</v>
      </c>
    </row>
    <row r="286" spans="25:60" x14ac:dyDescent="0.25">
      <c r="Y286" s="26"/>
      <c r="Z286" s="26"/>
      <c r="AB286" s="26" t="str">
        <f t="shared" ca="1" si="96"/>
        <v/>
      </c>
      <c r="AC286">
        <f t="shared" ca="1" si="107"/>
        <v>90</v>
      </c>
      <c r="AD286" t="str">
        <f ca="1">IF(AND(AT286&lt;1,MAX(AW286:BH286)&gt;dNULL),DATA!$D294,"")</f>
        <v/>
      </c>
      <c r="AE286" s="7" t="str">
        <f ca="1">IF(LEN(DATA!D294)&gt;0,SUMPRODUCT(OFFSET(DATA!$R$6,AE$5,0,1,10),DATA!$R294:$AA294),"")</f>
        <v/>
      </c>
      <c r="AF286" s="7" t="str">
        <f ca="1">IF(LEN(DATA!E294)&gt;0,SUMPRODUCT(OFFSET(DATA!$R$6,AF$5,0,1,10),DATA!$R294:$AA294),"")</f>
        <v/>
      </c>
      <c r="AG286" s="7" t="str">
        <f ca="1">IF(LEN(DATA!F294)&gt;0,SUMPRODUCT(OFFSET(DATA!$R$6,AG$5,0,1,10),DATA!$R294:$AA294),"")</f>
        <v/>
      </c>
      <c r="AH286" s="7" t="str">
        <f ca="1">IF(LEN(DATA!G294)&gt;0,SUMPRODUCT(OFFSET(DATA!$R$6,AH$5,0,1,10),DATA!$R294:$AA294),"")</f>
        <v/>
      </c>
      <c r="AI286" s="7" t="str">
        <f ca="1">IF(LEN(DATA!H294)&gt;0,SUMPRODUCT(OFFSET(DATA!$R$6,AI$5,0,1,10),DATA!$R294:$AA294),"")</f>
        <v/>
      </c>
      <c r="AJ286" s="7" t="str">
        <f ca="1">IF(LEN(DATA!I294)&gt;0,SUMPRODUCT(OFFSET(DATA!$R$6,AJ$5,0,1,10),DATA!$R294:$AA294),"")</f>
        <v/>
      </c>
      <c r="AK286" s="7"/>
      <c r="AL286" s="7" t="e">
        <f t="shared" ca="1" si="97"/>
        <v>#DIV/0!</v>
      </c>
      <c r="AM286" s="7" t="e">
        <f t="shared" ca="1" si="98"/>
        <v>#DIV/0!</v>
      </c>
      <c r="AN286" s="7" t="e">
        <f t="shared" ca="1" si="99"/>
        <v>#DIV/0!</v>
      </c>
      <c r="AO286" s="7" t="e">
        <f t="shared" ca="1" si="100"/>
        <v>#DIV/0!</v>
      </c>
      <c r="AP286" s="7" t="e">
        <f t="shared" ca="1" si="101"/>
        <v>#DIV/0!</v>
      </c>
      <c r="AQ286" s="7" t="e">
        <f t="shared" ca="1" si="102"/>
        <v>#DIV/0!</v>
      </c>
      <c r="AS286">
        <f t="shared" si="103"/>
        <v>10</v>
      </c>
      <c r="AT286">
        <f t="shared" si="104"/>
        <v>3</v>
      </c>
      <c r="AU286">
        <f t="shared" ca="1" si="105"/>
        <v>-99</v>
      </c>
      <c r="AV286">
        <f t="shared" ca="1" si="106"/>
        <v>-99</v>
      </c>
      <c r="AW286">
        <f ca="1">IF(AND($AT286&lt;3,OFFSET(DATA!$C$14,$AS286,0)=AW$6),$AV286,dNULL)</f>
        <v>-99</v>
      </c>
      <c r="AX286">
        <f ca="1">IF(AND($AT286&lt;3,OFFSET(DATA!$C$14,$AS286,0)=AX$6),$AV286,dNULL)</f>
        <v>-99</v>
      </c>
      <c r="AY286">
        <f ca="1">IF(AND($AT286&lt;3,OFFSET(DATA!$C$14,$AS286,0)=AY$6),$AV286,dNULL)</f>
        <v>-99</v>
      </c>
      <c r="AZ286">
        <f ca="1">IF(AND($AT286&lt;3,OFFSET(DATA!$C$14,$AS286,0)=AZ$6),$AV286,dNULL)</f>
        <v>-99</v>
      </c>
      <c r="BA286">
        <f ca="1">IF(AND($AT286&lt;3,OFFSET(DATA!$C$14,$AS286,0)=BA$6),$AV286,dNULL)</f>
        <v>-99</v>
      </c>
      <c r="BB286">
        <f ca="1">IF(AND($AT286&lt;3,OFFSET(DATA!$C$14,$AS286,0)=BB$6),$AV286,dNULL)</f>
        <v>-99</v>
      </c>
      <c r="BC286">
        <f ca="1">IF(AND($AT286&lt;3,OFFSET(DATA!$C$14,$AS286,0)=BC$6),$AV286,dNULL)</f>
        <v>-99</v>
      </c>
      <c r="BD286">
        <f ca="1">IF(AND($AT286&lt;3,OFFSET(DATA!$C$14,$AS286,0)=BD$6),$AV286,dNULL)</f>
        <v>-99</v>
      </c>
      <c r="BE286">
        <f ca="1">IF(AND($AT286&lt;3,OFFSET(DATA!$C$14,$AS286,0)=BE$6),$AV286,dNULL)</f>
        <v>-99</v>
      </c>
      <c r="BF286">
        <f ca="1">IF(AND($AT286&lt;3,OFFSET(DATA!$C$14,$AS286,0)=BF$6),$AV286,dNULL)</f>
        <v>-99</v>
      </c>
      <c r="BG286">
        <f ca="1">IF(AND($AT286&lt;3,OFFSET(DATA!$C$14,$AS286,0)=BG$6),$AV286,dNULL)</f>
        <v>-99</v>
      </c>
      <c r="BH286">
        <f ca="1">IF(AND($AT286&lt;3,OFFSET(DATA!$C$14,$AS286,0)=BH$6),$AV286,dNULL)</f>
        <v>-99</v>
      </c>
    </row>
    <row r="287" spans="25:60" x14ac:dyDescent="0.25">
      <c r="Y287" s="26"/>
      <c r="Z287" s="26"/>
      <c r="AB287" s="26" t="str">
        <f t="shared" ca="1" si="96"/>
        <v/>
      </c>
      <c r="AC287">
        <f t="shared" ca="1" si="107"/>
        <v>90</v>
      </c>
      <c r="AD287" t="str">
        <f ca="1">IF(AND(AT287&lt;1,MAX(AW287:BH287)&gt;dNULL),DATA!$D295,"")</f>
        <v/>
      </c>
      <c r="AE287" s="7" t="str">
        <f ca="1">IF(LEN(DATA!D295)&gt;0,SUMPRODUCT(OFFSET(DATA!$R$6,AE$5,0,1,10),DATA!$R295:$AA295),"")</f>
        <v/>
      </c>
      <c r="AF287" s="7" t="str">
        <f ca="1">IF(LEN(DATA!E295)&gt;0,SUMPRODUCT(OFFSET(DATA!$R$6,AF$5,0,1,10),DATA!$R295:$AA295),"")</f>
        <v/>
      </c>
      <c r="AG287" s="7" t="str">
        <f ca="1">IF(LEN(DATA!F295)&gt;0,SUMPRODUCT(OFFSET(DATA!$R$6,AG$5,0,1,10),DATA!$R295:$AA295),"")</f>
        <v/>
      </c>
      <c r="AH287" s="7" t="str">
        <f ca="1">IF(LEN(DATA!G295)&gt;0,SUMPRODUCT(OFFSET(DATA!$R$6,AH$5,0,1,10),DATA!$R295:$AA295),"")</f>
        <v/>
      </c>
      <c r="AI287" s="7" t="str">
        <f ca="1">IF(LEN(DATA!H295)&gt;0,SUMPRODUCT(OFFSET(DATA!$R$6,AI$5,0,1,10),DATA!$R295:$AA295),"")</f>
        <v/>
      </c>
      <c r="AJ287" s="7" t="str">
        <f ca="1">IF(LEN(DATA!I295)&gt;0,SUMPRODUCT(OFFSET(DATA!$R$6,AJ$5,0,1,10),DATA!$R295:$AA295),"")</f>
        <v/>
      </c>
      <c r="AK287" s="7"/>
      <c r="AL287" s="7" t="e">
        <f t="shared" ca="1" si="97"/>
        <v>#DIV/0!</v>
      </c>
      <c r="AM287" s="7" t="e">
        <f t="shared" ca="1" si="98"/>
        <v>#DIV/0!</v>
      </c>
      <c r="AN287" s="7" t="e">
        <f t="shared" ca="1" si="99"/>
        <v>#DIV/0!</v>
      </c>
      <c r="AO287" s="7" t="e">
        <f t="shared" ca="1" si="100"/>
        <v>#DIV/0!</v>
      </c>
      <c r="AP287" s="7" t="e">
        <f t="shared" ca="1" si="101"/>
        <v>#DIV/0!</v>
      </c>
      <c r="AQ287" s="7" t="e">
        <f t="shared" ca="1" si="102"/>
        <v>#DIV/0!</v>
      </c>
      <c r="AS287">
        <f t="shared" si="103"/>
        <v>11</v>
      </c>
      <c r="AT287">
        <f t="shared" si="104"/>
        <v>3</v>
      </c>
      <c r="AU287">
        <f t="shared" ca="1" si="105"/>
        <v>-99</v>
      </c>
      <c r="AV287">
        <f t="shared" ca="1" si="106"/>
        <v>-99</v>
      </c>
      <c r="AW287">
        <f ca="1">IF(AND($AT287&lt;3,OFFSET(DATA!$C$14,$AS287,0)=AW$6),$AV287,dNULL)</f>
        <v>-99</v>
      </c>
      <c r="AX287">
        <f ca="1">IF(AND($AT287&lt;3,OFFSET(DATA!$C$14,$AS287,0)=AX$6),$AV287,dNULL)</f>
        <v>-99</v>
      </c>
      <c r="AY287">
        <f ca="1">IF(AND($AT287&lt;3,OFFSET(DATA!$C$14,$AS287,0)=AY$6),$AV287,dNULL)</f>
        <v>-99</v>
      </c>
      <c r="AZ287">
        <f ca="1">IF(AND($AT287&lt;3,OFFSET(DATA!$C$14,$AS287,0)=AZ$6),$AV287,dNULL)</f>
        <v>-99</v>
      </c>
      <c r="BA287">
        <f ca="1">IF(AND($AT287&lt;3,OFFSET(DATA!$C$14,$AS287,0)=BA$6),$AV287,dNULL)</f>
        <v>-99</v>
      </c>
      <c r="BB287">
        <f ca="1">IF(AND($AT287&lt;3,OFFSET(DATA!$C$14,$AS287,0)=BB$6),$AV287,dNULL)</f>
        <v>-99</v>
      </c>
      <c r="BC287">
        <f ca="1">IF(AND($AT287&lt;3,OFFSET(DATA!$C$14,$AS287,0)=BC$6),$AV287,dNULL)</f>
        <v>-99</v>
      </c>
      <c r="BD287">
        <f ca="1">IF(AND($AT287&lt;3,OFFSET(DATA!$C$14,$AS287,0)=BD$6),$AV287,dNULL)</f>
        <v>-99</v>
      </c>
      <c r="BE287">
        <f ca="1">IF(AND($AT287&lt;3,OFFSET(DATA!$C$14,$AS287,0)=BE$6),$AV287,dNULL)</f>
        <v>-99</v>
      </c>
      <c r="BF287">
        <f ca="1">IF(AND($AT287&lt;3,OFFSET(DATA!$C$14,$AS287,0)=BF$6),$AV287,dNULL)</f>
        <v>-99</v>
      </c>
      <c r="BG287">
        <f ca="1">IF(AND($AT287&lt;3,OFFSET(DATA!$C$14,$AS287,0)=BG$6),$AV287,dNULL)</f>
        <v>-99</v>
      </c>
      <c r="BH287">
        <f ca="1">IF(AND($AT287&lt;3,OFFSET(DATA!$C$14,$AS287,0)=BH$6),$AV287,dNULL)</f>
        <v>-99</v>
      </c>
    </row>
    <row r="288" spans="25:60" x14ac:dyDescent="0.25">
      <c r="Y288" s="26"/>
      <c r="Z288" s="26"/>
      <c r="AB288" s="26" t="str">
        <f t="shared" ca="1" si="96"/>
        <v/>
      </c>
      <c r="AC288">
        <f t="shared" ca="1" si="107"/>
        <v>90</v>
      </c>
      <c r="AD288" t="str">
        <f ca="1">IF(AND(AT288&lt;1,MAX(AW288:BH288)&gt;dNULL),DATA!$D296,"")</f>
        <v/>
      </c>
      <c r="AE288" s="7" t="str">
        <f ca="1">IF(LEN(DATA!D296)&gt;0,SUMPRODUCT(OFFSET(DATA!$R$6,AE$5,0,1,10),DATA!$R296:$AA296),"")</f>
        <v/>
      </c>
      <c r="AF288" s="7" t="str">
        <f ca="1">IF(LEN(DATA!E296)&gt;0,SUMPRODUCT(OFFSET(DATA!$R$6,AF$5,0,1,10),DATA!$R296:$AA296),"")</f>
        <v/>
      </c>
      <c r="AG288" s="7" t="str">
        <f ca="1">IF(LEN(DATA!F296)&gt;0,SUMPRODUCT(OFFSET(DATA!$R$6,AG$5,0,1,10),DATA!$R296:$AA296),"")</f>
        <v/>
      </c>
      <c r="AH288" s="7" t="str">
        <f ca="1">IF(LEN(DATA!G296)&gt;0,SUMPRODUCT(OFFSET(DATA!$R$6,AH$5,0,1,10),DATA!$R296:$AA296),"")</f>
        <v/>
      </c>
      <c r="AI288" s="7" t="str">
        <f ca="1">IF(LEN(DATA!H296)&gt;0,SUMPRODUCT(OFFSET(DATA!$R$6,AI$5,0,1,10),DATA!$R296:$AA296),"")</f>
        <v/>
      </c>
      <c r="AJ288" s="7" t="str">
        <f ca="1">IF(LEN(DATA!I296)&gt;0,SUMPRODUCT(OFFSET(DATA!$R$6,AJ$5,0,1,10),DATA!$R296:$AA296),"")</f>
        <v/>
      </c>
      <c r="AK288" s="7"/>
      <c r="AL288" s="7" t="e">
        <f t="shared" ca="1" si="97"/>
        <v>#DIV/0!</v>
      </c>
      <c r="AM288" s="7" t="e">
        <f t="shared" ca="1" si="98"/>
        <v>#DIV/0!</v>
      </c>
      <c r="AN288" s="7" t="e">
        <f t="shared" ca="1" si="99"/>
        <v>#DIV/0!</v>
      </c>
      <c r="AO288" s="7" t="e">
        <f t="shared" ca="1" si="100"/>
        <v>#DIV/0!</v>
      </c>
      <c r="AP288" s="7" t="e">
        <f t="shared" ca="1" si="101"/>
        <v>#DIV/0!</v>
      </c>
      <c r="AQ288" s="7" t="e">
        <f t="shared" ca="1" si="102"/>
        <v>#DIV/0!</v>
      </c>
      <c r="AS288">
        <f t="shared" si="103"/>
        <v>12</v>
      </c>
      <c r="AT288">
        <f t="shared" si="104"/>
        <v>3</v>
      </c>
      <c r="AU288">
        <f t="shared" ca="1" si="105"/>
        <v>-99</v>
      </c>
      <c r="AV288">
        <f t="shared" ca="1" si="106"/>
        <v>-99</v>
      </c>
      <c r="AW288">
        <f ca="1">IF(AND($AT288&lt;3,OFFSET(DATA!$C$14,$AS288,0)=AW$6),$AV288,dNULL)</f>
        <v>-99</v>
      </c>
      <c r="AX288">
        <f ca="1">IF(AND($AT288&lt;3,OFFSET(DATA!$C$14,$AS288,0)=AX$6),$AV288,dNULL)</f>
        <v>-99</v>
      </c>
      <c r="AY288">
        <f ca="1">IF(AND($AT288&lt;3,OFFSET(DATA!$C$14,$AS288,0)=AY$6),$AV288,dNULL)</f>
        <v>-99</v>
      </c>
      <c r="AZ288">
        <f ca="1">IF(AND($AT288&lt;3,OFFSET(DATA!$C$14,$AS288,0)=AZ$6),$AV288,dNULL)</f>
        <v>-99</v>
      </c>
      <c r="BA288">
        <f ca="1">IF(AND($AT288&lt;3,OFFSET(DATA!$C$14,$AS288,0)=BA$6),$AV288,dNULL)</f>
        <v>-99</v>
      </c>
      <c r="BB288">
        <f ca="1">IF(AND($AT288&lt;3,OFFSET(DATA!$C$14,$AS288,0)=BB$6),$AV288,dNULL)</f>
        <v>-99</v>
      </c>
      <c r="BC288">
        <f ca="1">IF(AND($AT288&lt;3,OFFSET(DATA!$C$14,$AS288,0)=BC$6),$AV288,dNULL)</f>
        <v>-99</v>
      </c>
      <c r="BD288">
        <f ca="1">IF(AND($AT288&lt;3,OFFSET(DATA!$C$14,$AS288,0)=BD$6),$AV288,dNULL)</f>
        <v>-99</v>
      </c>
      <c r="BE288">
        <f ca="1">IF(AND($AT288&lt;3,OFFSET(DATA!$C$14,$AS288,0)=BE$6),$AV288,dNULL)</f>
        <v>-99</v>
      </c>
      <c r="BF288">
        <f ca="1">IF(AND($AT288&lt;3,OFFSET(DATA!$C$14,$AS288,0)=BF$6),$AV288,dNULL)</f>
        <v>-99</v>
      </c>
      <c r="BG288">
        <f ca="1">IF(AND($AT288&lt;3,OFFSET(DATA!$C$14,$AS288,0)=BG$6),$AV288,dNULL)</f>
        <v>-99</v>
      </c>
      <c r="BH288">
        <f ca="1">IF(AND($AT288&lt;3,OFFSET(DATA!$C$14,$AS288,0)=BH$6),$AV288,dNULL)</f>
        <v>-99</v>
      </c>
    </row>
    <row r="289" spans="25:60" x14ac:dyDescent="0.25">
      <c r="Y289" s="26"/>
      <c r="Z289" s="26"/>
      <c r="AB289" s="26" t="str">
        <f t="shared" ca="1" si="96"/>
        <v/>
      </c>
      <c r="AC289">
        <f t="shared" ca="1" si="107"/>
        <v>90</v>
      </c>
      <c r="AD289" t="str">
        <f ca="1">IF(AND(AT289&lt;1,MAX(AW289:BH289)&gt;dNULL),DATA!$D297,"")</f>
        <v/>
      </c>
      <c r="AE289" s="7" t="str">
        <f ca="1">IF(LEN(DATA!D297)&gt;0,SUMPRODUCT(OFFSET(DATA!$R$6,AE$5,0,1,10),DATA!$R297:$AA297),"")</f>
        <v/>
      </c>
      <c r="AF289" s="7" t="str">
        <f ca="1">IF(LEN(DATA!E297)&gt;0,SUMPRODUCT(OFFSET(DATA!$R$6,AF$5,0,1,10),DATA!$R297:$AA297),"")</f>
        <v/>
      </c>
      <c r="AG289" s="7" t="str">
        <f ca="1">IF(LEN(DATA!F297)&gt;0,SUMPRODUCT(OFFSET(DATA!$R$6,AG$5,0,1,10),DATA!$R297:$AA297),"")</f>
        <v/>
      </c>
      <c r="AH289" s="7" t="str">
        <f ca="1">IF(LEN(DATA!G297)&gt;0,SUMPRODUCT(OFFSET(DATA!$R$6,AH$5,0,1,10),DATA!$R297:$AA297),"")</f>
        <v/>
      </c>
      <c r="AI289" s="7" t="str">
        <f ca="1">IF(LEN(DATA!H297)&gt;0,SUMPRODUCT(OFFSET(DATA!$R$6,AI$5,0,1,10),DATA!$R297:$AA297),"")</f>
        <v/>
      </c>
      <c r="AJ289" s="7" t="str">
        <f ca="1">IF(LEN(DATA!I297)&gt;0,SUMPRODUCT(OFFSET(DATA!$R$6,AJ$5,0,1,10),DATA!$R297:$AA297),"")</f>
        <v/>
      </c>
      <c r="AK289" s="7"/>
      <c r="AL289" s="7" t="e">
        <f t="shared" ca="1" si="97"/>
        <v>#DIV/0!</v>
      </c>
      <c r="AM289" s="7" t="e">
        <f t="shared" ca="1" si="98"/>
        <v>#DIV/0!</v>
      </c>
      <c r="AN289" s="7" t="e">
        <f t="shared" ca="1" si="99"/>
        <v>#DIV/0!</v>
      </c>
      <c r="AO289" s="7" t="e">
        <f t="shared" ca="1" si="100"/>
        <v>#DIV/0!</v>
      </c>
      <c r="AP289" s="7" t="e">
        <f t="shared" ca="1" si="101"/>
        <v>#DIV/0!</v>
      </c>
      <c r="AQ289" s="7" t="e">
        <f t="shared" ca="1" si="102"/>
        <v>#DIV/0!</v>
      </c>
      <c r="AS289">
        <f t="shared" si="103"/>
        <v>13</v>
      </c>
      <c r="AT289">
        <f t="shared" si="104"/>
        <v>3</v>
      </c>
      <c r="AU289">
        <f t="shared" ca="1" si="105"/>
        <v>-99</v>
      </c>
      <c r="AV289">
        <f t="shared" ca="1" si="106"/>
        <v>-99</v>
      </c>
      <c r="AW289">
        <f ca="1">IF(AND($AT289&lt;3,OFFSET(DATA!$C$14,$AS289,0)=AW$6),$AV289,dNULL)</f>
        <v>-99</v>
      </c>
      <c r="AX289">
        <f ca="1">IF(AND($AT289&lt;3,OFFSET(DATA!$C$14,$AS289,0)=AX$6),$AV289,dNULL)</f>
        <v>-99</v>
      </c>
      <c r="AY289">
        <f ca="1">IF(AND($AT289&lt;3,OFFSET(DATA!$C$14,$AS289,0)=AY$6),$AV289,dNULL)</f>
        <v>-99</v>
      </c>
      <c r="AZ289">
        <f ca="1">IF(AND($AT289&lt;3,OFFSET(DATA!$C$14,$AS289,0)=AZ$6),$AV289,dNULL)</f>
        <v>-99</v>
      </c>
      <c r="BA289">
        <f ca="1">IF(AND($AT289&lt;3,OFFSET(DATA!$C$14,$AS289,0)=BA$6),$AV289,dNULL)</f>
        <v>-99</v>
      </c>
      <c r="BB289">
        <f ca="1">IF(AND($AT289&lt;3,OFFSET(DATA!$C$14,$AS289,0)=BB$6),$AV289,dNULL)</f>
        <v>-99</v>
      </c>
      <c r="BC289">
        <f ca="1">IF(AND($AT289&lt;3,OFFSET(DATA!$C$14,$AS289,0)=BC$6),$AV289,dNULL)</f>
        <v>-99</v>
      </c>
      <c r="BD289">
        <f ca="1">IF(AND($AT289&lt;3,OFFSET(DATA!$C$14,$AS289,0)=BD$6),$AV289,dNULL)</f>
        <v>-99</v>
      </c>
      <c r="BE289">
        <f ca="1">IF(AND($AT289&lt;3,OFFSET(DATA!$C$14,$AS289,0)=BE$6),$AV289,dNULL)</f>
        <v>-99</v>
      </c>
      <c r="BF289">
        <f ca="1">IF(AND($AT289&lt;3,OFFSET(DATA!$C$14,$AS289,0)=BF$6),$AV289,dNULL)</f>
        <v>-99</v>
      </c>
      <c r="BG289">
        <f ca="1">IF(AND($AT289&lt;3,OFFSET(DATA!$C$14,$AS289,0)=BG$6),$AV289,dNULL)</f>
        <v>-99</v>
      </c>
      <c r="BH289">
        <f ca="1">IF(AND($AT289&lt;3,OFFSET(DATA!$C$14,$AS289,0)=BH$6),$AV289,dNULL)</f>
        <v>-99</v>
      </c>
    </row>
    <row r="290" spans="25:60" x14ac:dyDescent="0.25">
      <c r="Y290" s="26"/>
      <c r="Z290" s="26"/>
      <c r="AB290" s="26" t="str">
        <f t="shared" ca="1" si="96"/>
        <v/>
      </c>
      <c r="AC290">
        <f t="shared" ca="1" si="107"/>
        <v>90</v>
      </c>
      <c r="AD290" t="str">
        <f ca="1">IF(AND(AT290&lt;1,MAX(AW290:BH290)&gt;dNULL),DATA!$D298,"")</f>
        <v/>
      </c>
      <c r="AE290" s="7" t="str">
        <f ca="1">IF(LEN(DATA!D298)&gt;0,SUMPRODUCT(OFFSET(DATA!$R$6,AE$5,0,1,10),DATA!$R298:$AA298),"")</f>
        <v/>
      </c>
      <c r="AF290" s="7" t="str">
        <f ca="1">IF(LEN(DATA!E298)&gt;0,SUMPRODUCT(OFFSET(DATA!$R$6,AF$5,0,1,10),DATA!$R298:$AA298),"")</f>
        <v/>
      </c>
      <c r="AG290" s="7" t="str">
        <f ca="1">IF(LEN(DATA!F298)&gt;0,SUMPRODUCT(OFFSET(DATA!$R$6,AG$5,0,1,10),DATA!$R298:$AA298),"")</f>
        <v/>
      </c>
      <c r="AH290" s="7" t="str">
        <f ca="1">IF(LEN(DATA!G298)&gt;0,SUMPRODUCT(OFFSET(DATA!$R$6,AH$5,0,1,10),DATA!$R298:$AA298),"")</f>
        <v/>
      </c>
      <c r="AI290" s="7" t="str">
        <f ca="1">IF(LEN(DATA!H298)&gt;0,SUMPRODUCT(OFFSET(DATA!$R$6,AI$5,0,1,10),DATA!$R298:$AA298),"")</f>
        <v/>
      </c>
      <c r="AJ290" s="7" t="str">
        <f ca="1">IF(LEN(DATA!I298)&gt;0,SUMPRODUCT(OFFSET(DATA!$R$6,AJ$5,0,1,10),DATA!$R298:$AA298),"")</f>
        <v/>
      </c>
      <c r="AK290" s="7"/>
      <c r="AL290" s="7" t="e">
        <f t="shared" ca="1" si="97"/>
        <v>#DIV/0!</v>
      </c>
      <c r="AM290" s="7" t="e">
        <f t="shared" ca="1" si="98"/>
        <v>#DIV/0!</v>
      </c>
      <c r="AN290" s="7" t="e">
        <f t="shared" ca="1" si="99"/>
        <v>#DIV/0!</v>
      </c>
      <c r="AO290" s="7" t="e">
        <f t="shared" ca="1" si="100"/>
        <v>#DIV/0!</v>
      </c>
      <c r="AP290" s="7" t="e">
        <f t="shared" ca="1" si="101"/>
        <v>#DIV/0!</v>
      </c>
      <c r="AQ290" s="7" t="e">
        <f t="shared" ca="1" si="102"/>
        <v>#DIV/0!</v>
      </c>
      <c r="AS290">
        <f t="shared" si="103"/>
        <v>14</v>
      </c>
      <c r="AT290">
        <f t="shared" si="104"/>
        <v>3</v>
      </c>
      <c r="AU290">
        <f t="shared" ca="1" si="105"/>
        <v>-99</v>
      </c>
      <c r="AV290">
        <f t="shared" ca="1" si="106"/>
        <v>-99</v>
      </c>
      <c r="AW290">
        <f ca="1">IF(AND($AT290&lt;3,OFFSET(DATA!$C$14,$AS290,0)=AW$6),$AV290,dNULL)</f>
        <v>-99</v>
      </c>
      <c r="AX290">
        <f ca="1">IF(AND($AT290&lt;3,OFFSET(DATA!$C$14,$AS290,0)=AX$6),$AV290,dNULL)</f>
        <v>-99</v>
      </c>
      <c r="AY290">
        <f ca="1">IF(AND($AT290&lt;3,OFFSET(DATA!$C$14,$AS290,0)=AY$6),$AV290,dNULL)</f>
        <v>-99</v>
      </c>
      <c r="AZ290">
        <f ca="1">IF(AND($AT290&lt;3,OFFSET(DATA!$C$14,$AS290,0)=AZ$6),$AV290,dNULL)</f>
        <v>-99</v>
      </c>
      <c r="BA290">
        <f ca="1">IF(AND($AT290&lt;3,OFFSET(DATA!$C$14,$AS290,0)=BA$6),$AV290,dNULL)</f>
        <v>-99</v>
      </c>
      <c r="BB290">
        <f ca="1">IF(AND($AT290&lt;3,OFFSET(DATA!$C$14,$AS290,0)=BB$6),$AV290,dNULL)</f>
        <v>-99</v>
      </c>
      <c r="BC290">
        <f ca="1">IF(AND($AT290&lt;3,OFFSET(DATA!$C$14,$AS290,0)=BC$6),$AV290,dNULL)</f>
        <v>-99</v>
      </c>
      <c r="BD290">
        <f ca="1">IF(AND($AT290&lt;3,OFFSET(DATA!$C$14,$AS290,0)=BD$6),$AV290,dNULL)</f>
        <v>-99</v>
      </c>
      <c r="BE290">
        <f ca="1">IF(AND($AT290&lt;3,OFFSET(DATA!$C$14,$AS290,0)=BE$6),$AV290,dNULL)</f>
        <v>-99</v>
      </c>
      <c r="BF290">
        <f ca="1">IF(AND($AT290&lt;3,OFFSET(DATA!$C$14,$AS290,0)=BF$6),$AV290,dNULL)</f>
        <v>-99</v>
      </c>
      <c r="BG290">
        <f ca="1">IF(AND($AT290&lt;3,OFFSET(DATA!$C$14,$AS290,0)=BG$6),$AV290,dNULL)</f>
        <v>-99</v>
      </c>
      <c r="BH290">
        <f ca="1">IF(AND($AT290&lt;3,OFFSET(DATA!$C$14,$AS290,0)=BH$6),$AV290,dNULL)</f>
        <v>-99</v>
      </c>
    </row>
    <row r="291" spans="25:60" x14ac:dyDescent="0.25">
      <c r="Y291" s="26"/>
      <c r="Z291" s="26"/>
      <c r="AB291" s="26" t="str">
        <f t="shared" ca="1" si="96"/>
        <v/>
      </c>
      <c r="AC291">
        <f t="shared" ca="1" si="107"/>
        <v>90</v>
      </c>
      <c r="AD291" t="str">
        <f ca="1">IF(AND(AT291&lt;1,MAX(AW291:BH291)&gt;dNULL),DATA!$D299,"")</f>
        <v/>
      </c>
      <c r="AE291" s="7" t="str">
        <f ca="1">IF(LEN(DATA!D299)&gt;0,SUMPRODUCT(OFFSET(DATA!$R$6,AE$5,0,1,10),DATA!$R299:$AA299),"")</f>
        <v/>
      </c>
      <c r="AF291" s="7" t="str">
        <f ca="1">IF(LEN(DATA!E299)&gt;0,SUMPRODUCT(OFFSET(DATA!$R$6,AF$5,0,1,10),DATA!$R299:$AA299),"")</f>
        <v/>
      </c>
      <c r="AG291" s="7" t="str">
        <f ca="1">IF(LEN(DATA!F299)&gt;0,SUMPRODUCT(OFFSET(DATA!$R$6,AG$5,0,1,10),DATA!$R299:$AA299),"")</f>
        <v/>
      </c>
      <c r="AH291" s="7" t="str">
        <f ca="1">IF(LEN(DATA!G299)&gt;0,SUMPRODUCT(OFFSET(DATA!$R$6,AH$5,0,1,10),DATA!$R299:$AA299),"")</f>
        <v/>
      </c>
      <c r="AI291" s="7" t="str">
        <f ca="1">IF(LEN(DATA!H299)&gt;0,SUMPRODUCT(OFFSET(DATA!$R$6,AI$5,0,1,10),DATA!$R299:$AA299),"")</f>
        <v/>
      </c>
      <c r="AJ291" s="7" t="str">
        <f ca="1">IF(LEN(DATA!I299)&gt;0,SUMPRODUCT(OFFSET(DATA!$R$6,AJ$5,0,1,10),DATA!$R299:$AA299),"")</f>
        <v/>
      </c>
      <c r="AK291" s="7"/>
      <c r="AL291" s="7" t="e">
        <f t="shared" ca="1" si="97"/>
        <v>#DIV/0!</v>
      </c>
      <c r="AM291" s="7" t="e">
        <f t="shared" ca="1" si="98"/>
        <v>#DIV/0!</v>
      </c>
      <c r="AN291" s="7" t="e">
        <f t="shared" ca="1" si="99"/>
        <v>#DIV/0!</v>
      </c>
      <c r="AO291" s="7" t="e">
        <f t="shared" ca="1" si="100"/>
        <v>#DIV/0!</v>
      </c>
      <c r="AP291" s="7" t="e">
        <f t="shared" ca="1" si="101"/>
        <v>#DIV/0!</v>
      </c>
      <c r="AQ291" s="7" t="e">
        <f t="shared" ca="1" si="102"/>
        <v>#DIV/0!</v>
      </c>
      <c r="AS291">
        <f t="shared" si="103"/>
        <v>15</v>
      </c>
      <c r="AT291">
        <f t="shared" si="104"/>
        <v>3</v>
      </c>
      <c r="AU291">
        <f t="shared" ca="1" si="105"/>
        <v>-99</v>
      </c>
      <c r="AV291">
        <f t="shared" ca="1" si="106"/>
        <v>-99</v>
      </c>
      <c r="AW291">
        <f ca="1">IF(AND($AT291&lt;3,OFFSET(DATA!$C$14,$AS291,0)=AW$6),$AV291,dNULL)</f>
        <v>-99</v>
      </c>
      <c r="AX291">
        <f ca="1">IF(AND($AT291&lt;3,OFFSET(DATA!$C$14,$AS291,0)=AX$6),$AV291,dNULL)</f>
        <v>-99</v>
      </c>
      <c r="AY291">
        <f ca="1">IF(AND($AT291&lt;3,OFFSET(DATA!$C$14,$AS291,0)=AY$6),$AV291,dNULL)</f>
        <v>-99</v>
      </c>
      <c r="AZ291">
        <f ca="1">IF(AND($AT291&lt;3,OFFSET(DATA!$C$14,$AS291,0)=AZ$6),$AV291,dNULL)</f>
        <v>-99</v>
      </c>
      <c r="BA291">
        <f ca="1">IF(AND($AT291&lt;3,OFFSET(DATA!$C$14,$AS291,0)=BA$6),$AV291,dNULL)</f>
        <v>-99</v>
      </c>
      <c r="BB291">
        <f ca="1">IF(AND($AT291&lt;3,OFFSET(DATA!$C$14,$AS291,0)=BB$6),$AV291,dNULL)</f>
        <v>-99</v>
      </c>
      <c r="BC291">
        <f ca="1">IF(AND($AT291&lt;3,OFFSET(DATA!$C$14,$AS291,0)=BC$6),$AV291,dNULL)</f>
        <v>-99</v>
      </c>
      <c r="BD291">
        <f ca="1">IF(AND($AT291&lt;3,OFFSET(DATA!$C$14,$AS291,0)=BD$6),$AV291,dNULL)</f>
        <v>-99</v>
      </c>
      <c r="BE291">
        <f ca="1">IF(AND($AT291&lt;3,OFFSET(DATA!$C$14,$AS291,0)=BE$6),$AV291,dNULL)</f>
        <v>-99</v>
      </c>
      <c r="BF291">
        <f ca="1">IF(AND($AT291&lt;3,OFFSET(DATA!$C$14,$AS291,0)=BF$6),$AV291,dNULL)</f>
        <v>-99</v>
      </c>
      <c r="BG291">
        <f ca="1">IF(AND($AT291&lt;3,OFFSET(DATA!$C$14,$AS291,0)=BG$6),$AV291,dNULL)</f>
        <v>-99</v>
      </c>
      <c r="BH291">
        <f ca="1">IF(AND($AT291&lt;3,OFFSET(DATA!$C$14,$AS291,0)=BH$6),$AV291,dNULL)</f>
        <v>-99</v>
      </c>
    </row>
    <row r="292" spans="25:60" x14ac:dyDescent="0.25">
      <c r="Y292" s="26"/>
      <c r="Z292" s="26"/>
      <c r="AB292" s="26" t="str">
        <f t="shared" ca="1" si="96"/>
        <v/>
      </c>
      <c r="AC292">
        <f t="shared" ca="1" si="107"/>
        <v>90</v>
      </c>
      <c r="AD292" t="str">
        <f ca="1">IF(AND(AT292&lt;1,MAX(AW292:BH292)&gt;dNULL),DATA!$D300,"")</f>
        <v/>
      </c>
      <c r="AE292" s="7" t="str">
        <f ca="1">IF(LEN(DATA!D300)&gt;0,SUMPRODUCT(OFFSET(DATA!$R$6,AE$5,0,1,10),DATA!$R300:$AA300),"")</f>
        <v/>
      </c>
      <c r="AF292" s="7" t="str">
        <f ca="1">IF(LEN(DATA!E300)&gt;0,SUMPRODUCT(OFFSET(DATA!$R$6,AF$5,0,1,10),DATA!$R300:$AA300),"")</f>
        <v/>
      </c>
      <c r="AG292" s="7" t="str">
        <f ca="1">IF(LEN(DATA!F300)&gt;0,SUMPRODUCT(OFFSET(DATA!$R$6,AG$5,0,1,10),DATA!$R300:$AA300),"")</f>
        <v/>
      </c>
      <c r="AH292" s="7" t="str">
        <f ca="1">IF(LEN(DATA!G300)&gt;0,SUMPRODUCT(OFFSET(DATA!$R$6,AH$5,0,1,10),DATA!$R300:$AA300),"")</f>
        <v/>
      </c>
      <c r="AI292" s="7" t="str">
        <f ca="1">IF(LEN(DATA!H300)&gt;0,SUMPRODUCT(OFFSET(DATA!$R$6,AI$5,0,1,10),DATA!$R300:$AA300),"")</f>
        <v/>
      </c>
      <c r="AJ292" s="7" t="str">
        <f ca="1">IF(LEN(DATA!I300)&gt;0,SUMPRODUCT(OFFSET(DATA!$R$6,AJ$5,0,1,10),DATA!$R300:$AA300),"")</f>
        <v/>
      </c>
      <c r="AK292" s="7"/>
      <c r="AL292" s="7" t="e">
        <f t="shared" ca="1" si="97"/>
        <v>#DIV/0!</v>
      </c>
      <c r="AM292" s="7" t="e">
        <f t="shared" ca="1" si="98"/>
        <v>#DIV/0!</v>
      </c>
      <c r="AN292" s="7" t="e">
        <f t="shared" ca="1" si="99"/>
        <v>#DIV/0!</v>
      </c>
      <c r="AO292" s="7" t="e">
        <f t="shared" ca="1" si="100"/>
        <v>#DIV/0!</v>
      </c>
      <c r="AP292" s="7" t="e">
        <f t="shared" ca="1" si="101"/>
        <v>#DIV/0!</v>
      </c>
      <c r="AQ292" s="7" t="e">
        <f t="shared" ca="1" si="102"/>
        <v>#DIV/0!</v>
      </c>
      <c r="AS292">
        <f t="shared" si="103"/>
        <v>16</v>
      </c>
      <c r="AT292">
        <f t="shared" si="104"/>
        <v>3</v>
      </c>
      <c r="AU292">
        <f t="shared" ca="1" si="105"/>
        <v>-99</v>
      </c>
      <c r="AV292">
        <f t="shared" ca="1" si="106"/>
        <v>-99</v>
      </c>
      <c r="AW292">
        <f ca="1">IF(AND($AT292&lt;3,OFFSET(DATA!$C$14,$AS292,0)=AW$6),$AV292,dNULL)</f>
        <v>-99</v>
      </c>
      <c r="AX292">
        <f ca="1">IF(AND($AT292&lt;3,OFFSET(DATA!$C$14,$AS292,0)=AX$6),$AV292,dNULL)</f>
        <v>-99</v>
      </c>
      <c r="AY292">
        <f ca="1">IF(AND($AT292&lt;3,OFFSET(DATA!$C$14,$AS292,0)=AY$6),$AV292,dNULL)</f>
        <v>-99</v>
      </c>
      <c r="AZ292">
        <f ca="1">IF(AND($AT292&lt;3,OFFSET(DATA!$C$14,$AS292,0)=AZ$6),$AV292,dNULL)</f>
        <v>-99</v>
      </c>
      <c r="BA292">
        <f ca="1">IF(AND($AT292&lt;3,OFFSET(DATA!$C$14,$AS292,0)=BA$6),$AV292,dNULL)</f>
        <v>-99</v>
      </c>
      <c r="BB292">
        <f ca="1">IF(AND($AT292&lt;3,OFFSET(DATA!$C$14,$AS292,0)=BB$6),$AV292,dNULL)</f>
        <v>-99</v>
      </c>
      <c r="BC292">
        <f ca="1">IF(AND($AT292&lt;3,OFFSET(DATA!$C$14,$AS292,0)=BC$6),$AV292,dNULL)</f>
        <v>-99</v>
      </c>
      <c r="BD292">
        <f ca="1">IF(AND($AT292&lt;3,OFFSET(DATA!$C$14,$AS292,0)=BD$6),$AV292,dNULL)</f>
        <v>-99</v>
      </c>
      <c r="BE292">
        <f ca="1">IF(AND($AT292&lt;3,OFFSET(DATA!$C$14,$AS292,0)=BE$6),$AV292,dNULL)</f>
        <v>-99</v>
      </c>
      <c r="BF292">
        <f ca="1">IF(AND($AT292&lt;3,OFFSET(DATA!$C$14,$AS292,0)=BF$6),$AV292,dNULL)</f>
        <v>-99</v>
      </c>
      <c r="BG292">
        <f ca="1">IF(AND($AT292&lt;3,OFFSET(DATA!$C$14,$AS292,0)=BG$6),$AV292,dNULL)</f>
        <v>-99</v>
      </c>
      <c r="BH292">
        <f ca="1">IF(AND($AT292&lt;3,OFFSET(DATA!$C$14,$AS292,0)=BH$6),$AV292,dNULL)</f>
        <v>-99</v>
      </c>
    </row>
    <row r="293" spans="25:60" x14ac:dyDescent="0.25">
      <c r="Y293" s="26"/>
      <c r="Z293" s="26"/>
      <c r="AB293" s="26" t="str">
        <f t="shared" ca="1" si="96"/>
        <v/>
      </c>
      <c r="AC293">
        <f t="shared" ca="1" si="107"/>
        <v>90</v>
      </c>
      <c r="AD293" t="str">
        <f ca="1">IF(AND(AT293&lt;1,MAX(AW293:BH293)&gt;dNULL),DATA!$D301,"")</f>
        <v/>
      </c>
      <c r="AE293" s="7" t="str">
        <f ca="1">IF(LEN(DATA!D301)&gt;0,SUMPRODUCT(OFFSET(DATA!$R$6,AE$5,0,1,10),DATA!$R301:$AA301),"")</f>
        <v/>
      </c>
      <c r="AF293" s="7" t="str">
        <f ca="1">IF(LEN(DATA!E301)&gt;0,SUMPRODUCT(OFFSET(DATA!$R$6,AF$5,0,1,10),DATA!$R301:$AA301),"")</f>
        <v/>
      </c>
      <c r="AG293" s="7" t="str">
        <f ca="1">IF(LEN(DATA!F301)&gt;0,SUMPRODUCT(OFFSET(DATA!$R$6,AG$5,0,1,10),DATA!$R301:$AA301),"")</f>
        <v/>
      </c>
      <c r="AH293" s="7" t="str">
        <f ca="1">IF(LEN(DATA!G301)&gt;0,SUMPRODUCT(OFFSET(DATA!$R$6,AH$5,0,1,10),DATA!$R301:$AA301),"")</f>
        <v/>
      </c>
      <c r="AI293" s="7" t="str">
        <f ca="1">IF(LEN(DATA!H301)&gt;0,SUMPRODUCT(OFFSET(DATA!$R$6,AI$5,0,1,10),DATA!$R301:$AA301),"")</f>
        <v/>
      </c>
      <c r="AJ293" s="7" t="str">
        <f ca="1">IF(LEN(DATA!I301)&gt;0,SUMPRODUCT(OFFSET(DATA!$R$6,AJ$5,0,1,10),DATA!$R301:$AA301),"")</f>
        <v/>
      </c>
      <c r="AK293" s="7"/>
      <c r="AL293" s="7" t="e">
        <f t="shared" ca="1" si="97"/>
        <v>#DIV/0!</v>
      </c>
      <c r="AM293" s="7" t="e">
        <f t="shared" ca="1" si="98"/>
        <v>#DIV/0!</v>
      </c>
      <c r="AN293" s="7" t="e">
        <f t="shared" ca="1" si="99"/>
        <v>#DIV/0!</v>
      </c>
      <c r="AO293" s="7" t="e">
        <f t="shared" ca="1" si="100"/>
        <v>#DIV/0!</v>
      </c>
      <c r="AP293" s="7" t="e">
        <f t="shared" ca="1" si="101"/>
        <v>#DIV/0!</v>
      </c>
      <c r="AQ293" s="7" t="e">
        <f t="shared" ca="1" si="102"/>
        <v>#DIV/0!</v>
      </c>
      <c r="AS293">
        <f t="shared" si="103"/>
        <v>17</v>
      </c>
      <c r="AT293">
        <f t="shared" si="104"/>
        <v>3</v>
      </c>
      <c r="AU293">
        <f t="shared" ca="1" si="105"/>
        <v>-99</v>
      </c>
      <c r="AV293">
        <f t="shared" ca="1" si="106"/>
        <v>-99</v>
      </c>
      <c r="AW293">
        <f ca="1">IF(AND($AT293&lt;3,OFFSET(DATA!$C$14,$AS293,0)=AW$6),$AV293,dNULL)</f>
        <v>-99</v>
      </c>
      <c r="AX293">
        <f ca="1">IF(AND($AT293&lt;3,OFFSET(DATA!$C$14,$AS293,0)=AX$6),$AV293,dNULL)</f>
        <v>-99</v>
      </c>
      <c r="AY293">
        <f ca="1">IF(AND($AT293&lt;3,OFFSET(DATA!$C$14,$AS293,0)=AY$6),$AV293,dNULL)</f>
        <v>-99</v>
      </c>
      <c r="AZ293">
        <f ca="1">IF(AND($AT293&lt;3,OFFSET(DATA!$C$14,$AS293,0)=AZ$6),$AV293,dNULL)</f>
        <v>-99</v>
      </c>
      <c r="BA293">
        <f ca="1">IF(AND($AT293&lt;3,OFFSET(DATA!$C$14,$AS293,0)=BA$6),$AV293,dNULL)</f>
        <v>-99</v>
      </c>
      <c r="BB293">
        <f ca="1">IF(AND($AT293&lt;3,OFFSET(DATA!$C$14,$AS293,0)=BB$6),$AV293,dNULL)</f>
        <v>-99</v>
      </c>
      <c r="BC293">
        <f ca="1">IF(AND($AT293&lt;3,OFFSET(DATA!$C$14,$AS293,0)=BC$6),$AV293,dNULL)</f>
        <v>-99</v>
      </c>
      <c r="BD293">
        <f ca="1">IF(AND($AT293&lt;3,OFFSET(DATA!$C$14,$AS293,0)=BD$6),$AV293,dNULL)</f>
        <v>-99</v>
      </c>
      <c r="BE293">
        <f ca="1">IF(AND($AT293&lt;3,OFFSET(DATA!$C$14,$AS293,0)=BE$6),$AV293,dNULL)</f>
        <v>-99</v>
      </c>
      <c r="BF293">
        <f ca="1">IF(AND($AT293&lt;3,OFFSET(DATA!$C$14,$AS293,0)=BF$6),$AV293,dNULL)</f>
        <v>-99</v>
      </c>
      <c r="BG293">
        <f ca="1">IF(AND($AT293&lt;3,OFFSET(DATA!$C$14,$AS293,0)=BG$6),$AV293,dNULL)</f>
        <v>-99</v>
      </c>
      <c r="BH293">
        <f ca="1">IF(AND($AT293&lt;3,OFFSET(DATA!$C$14,$AS293,0)=BH$6),$AV293,dNULL)</f>
        <v>-99</v>
      </c>
    </row>
    <row r="294" spans="25:60" x14ac:dyDescent="0.25">
      <c r="Y294" s="26"/>
      <c r="Z294" s="26"/>
      <c r="AB294" s="26" t="str">
        <f t="shared" ca="1" si="96"/>
        <v/>
      </c>
      <c r="AC294">
        <f t="shared" ca="1" si="107"/>
        <v>90</v>
      </c>
      <c r="AD294" t="str">
        <f ca="1">IF(AND(AT294&lt;1,MAX(AW294:BH294)&gt;dNULL),DATA!$D302,"")</f>
        <v/>
      </c>
      <c r="AE294" s="7" t="str">
        <f ca="1">IF(LEN(DATA!D302)&gt;0,SUMPRODUCT(OFFSET(DATA!$R$6,AE$5,0,1,10),DATA!$R302:$AA302),"")</f>
        <v/>
      </c>
      <c r="AF294" s="7" t="str">
        <f ca="1">IF(LEN(DATA!E302)&gt;0,SUMPRODUCT(OFFSET(DATA!$R$6,AF$5,0,1,10),DATA!$R302:$AA302),"")</f>
        <v/>
      </c>
      <c r="AG294" s="7" t="str">
        <f ca="1">IF(LEN(DATA!F302)&gt;0,SUMPRODUCT(OFFSET(DATA!$R$6,AG$5,0,1,10),DATA!$R302:$AA302),"")</f>
        <v/>
      </c>
      <c r="AH294" s="7" t="str">
        <f ca="1">IF(LEN(DATA!G302)&gt;0,SUMPRODUCT(OFFSET(DATA!$R$6,AH$5,0,1,10),DATA!$R302:$AA302),"")</f>
        <v/>
      </c>
      <c r="AI294" s="7" t="str">
        <f ca="1">IF(LEN(DATA!H302)&gt;0,SUMPRODUCT(OFFSET(DATA!$R$6,AI$5,0,1,10),DATA!$R302:$AA302),"")</f>
        <v/>
      </c>
      <c r="AJ294" s="7" t="str">
        <f ca="1">IF(LEN(DATA!I302)&gt;0,SUMPRODUCT(OFFSET(DATA!$R$6,AJ$5,0,1,10),DATA!$R302:$AA302),"")</f>
        <v/>
      </c>
      <c r="AK294" s="7"/>
      <c r="AL294" s="7" t="e">
        <f t="shared" ca="1" si="97"/>
        <v>#DIV/0!</v>
      </c>
      <c r="AM294" s="7" t="e">
        <f t="shared" ca="1" si="98"/>
        <v>#DIV/0!</v>
      </c>
      <c r="AN294" s="7" t="e">
        <f t="shared" ca="1" si="99"/>
        <v>#DIV/0!</v>
      </c>
      <c r="AO294" s="7" t="e">
        <f t="shared" ca="1" si="100"/>
        <v>#DIV/0!</v>
      </c>
      <c r="AP294" s="7" t="e">
        <f t="shared" ca="1" si="101"/>
        <v>#DIV/0!</v>
      </c>
      <c r="AQ294" s="7" t="e">
        <f t="shared" ca="1" si="102"/>
        <v>#DIV/0!</v>
      </c>
      <c r="AS294">
        <f t="shared" si="103"/>
        <v>18</v>
      </c>
      <c r="AT294">
        <f t="shared" si="104"/>
        <v>3</v>
      </c>
      <c r="AU294">
        <f t="shared" ca="1" si="105"/>
        <v>-99</v>
      </c>
      <c r="AV294">
        <f t="shared" ca="1" si="106"/>
        <v>-99</v>
      </c>
      <c r="AW294">
        <f ca="1">IF(AND($AT294&lt;3,OFFSET(DATA!$C$14,$AS294,0)=AW$6),$AV294,dNULL)</f>
        <v>-99</v>
      </c>
      <c r="AX294">
        <f ca="1">IF(AND($AT294&lt;3,OFFSET(DATA!$C$14,$AS294,0)=AX$6),$AV294,dNULL)</f>
        <v>-99</v>
      </c>
      <c r="AY294">
        <f ca="1">IF(AND($AT294&lt;3,OFFSET(DATA!$C$14,$AS294,0)=AY$6),$AV294,dNULL)</f>
        <v>-99</v>
      </c>
      <c r="AZ294">
        <f ca="1">IF(AND($AT294&lt;3,OFFSET(DATA!$C$14,$AS294,0)=AZ$6),$AV294,dNULL)</f>
        <v>-99</v>
      </c>
      <c r="BA294">
        <f ca="1">IF(AND($AT294&lt;3,OFFSET(DATA!$C$14,$AS294,0)=BA$6),$AV294,dNULL)</f>
        <v>-99</v>
      </c>
      <c r="BB294">
        <f ca="1">IF(AND($AT294&lt;3,OFFSET(DATA!$C$14,$AS294,0)=BB$6),$AV294,dNULL)</f>
        <v>-99</v>
      </c>
      <c r="BC294">
        <f ca="1">IF(AND($AT294&lt;3,OFFSET(DATA!$C$14,$AS294,0)=BC$6),$AV294,dNULL)</f>
        <v>-99</v>
      </c>
      <c r="BD294">
        <f ca="1">IF(AND($AT294&lt;3,OFFSET(DATA!$C$14,$AS294,0)=BD$6),$AV294,dNULL)</f>
        <v>-99</v>
      </c>
      <c r="BE294">
        <f ca="1">IF(AND($AT294&lt;3,OFFSET(DATA!$C$14,$AS294,0)=BE$6),$AV294,dNULL)</f>
        <v>-99</v>
      </c>
      <c r="BF294">
        <f ca="1">IF(AND($AT294&lt;3,OFFSET(DATA!$C$14,$AS294,0)=BF$6),$AV294,dNULL)</f>
        <v>-99</v>
      </c>
      <c r="BG294">
        <f ca="1">IF(AND($AT294&lt;3,OFFSET(DATA!$C$14,$AS294,0)=BG$6),$AV294,dNULL)</f>
        <v>-99</v>
      </c>
      <c r="BH294">
        <f ca="1">IF(AND($AT294&lt;3,OFFSET(DATA!$C$14,$AS294,0)=BH$6),$AV294,dNULL)</f>
        <v>-99</v>
      </c>
    </row>
    <row r="295" spans="25:60" x14ac:dyDescent="0.25">
      <c r="Y295" s="26"/>
      <c r="Z295" s="26"/>
      <c r="AB295" s="26" t="str">
        <f t="shared" ca="1" si="96"/>
        <v/>
      </c>
      <c r="AC295">
        <f t="shared" ca="1" si="107"/>
        <v>90</v>
      </c>
      <c r="AD295" t="str">
        <f ca="1">IF(AND(AT295&lt;1,MAX(AW295:BH295)&gt;dNULL),DATA!$D303,"")</f>
        <v/>
      </c>
      <c r="AE295" s="7" t="str">
        <f ca="1">IF(LEN(DATA!D303)&gt;0,SUMPRODUCT(OFFSET(DATA!$R$6,AE$5,0,1,10),DATA!$R303:$AA303),"")</f>
        <v/>
      </c>
      <c r="AF295" s="7" t="str">
        <f ca="1">IF(LEN(DATA!E303)&gt;0,SUMPRODUCT(OFFSET(DATA!$R$6,AF$5,0,1,10),DATA!$R303:$AA303),"")</f>
        <v/>
      </c>
      <c r="AG295" s="7" t="str">
        <f ca="1">IF(LEN(DATA!F303)&gt;0,SUMPRODUCT(OFFSET(DATA!$R$6,AG$5,0,1,10),DATA!$R303:$AA303),"")</f>
        <v/>
      </c>
      <c r="AH295" s="7" t="str">
        <f ca="1">IF(LEN(DATA!G303)&gt;0,SUMPRODUCT(OFFSET(DATA!$R$6,AH$5,0,1,10),DATA!$R303:$AA303),"")</f>
        <v/>
      </c>
      <c r="AI295" s="7" t="str">
        <f ca="1">IF(LEN(DATA!H303)&gt;0,SUMPRODUCT(OFFSET(DATA!$R$6,AI$5,0,1,10),DATA!$R303:$AA303),"")</f>
        <v/>
      </c>
      <c r="AJ295" s="7" t="str">
        <f ca="1">IF(LEN(DATA!I303)&gt;0,SUMPRODUCT(OFFSET(DATA!$R$6,AJ$5,0,1,10),DATA!$R303:$AA303),"")</f>
        <v/>
      </c>
      <c r="AK295" s="7"/>
      <c r="AL295" s="7" t="e">
        <f t="shared" ca="1" si="97"/>
        <v>#DIV/0!</v>
      </c>
      <c r="AM295" s="7" t="e">
        <f t="shared" ca="1" si="98"/>
        <v>#DIV/0!</v>
      </c>
      <c r="AN295" s="7" t="e">
        <f t="shared" ca="1" si="99"/>
        <v>#DIV/0!</v>
      </c>
      <c r="AO295" s="7" t="e">
        <f t="shared" ca="1" si="100"/>
        <v>#DIV/0!</v>
      </c>
      <c r="AP295" s="7" t="e">
        <f t="shared" ca="1" si="101"/>
        <v>#DIV/0!</v>
      </c>
      <c r="AQ295" s="7" t="e">
        <f t="shared" ca="1" si="102"/>
        <v>#DIV/0!</v>
      </c>
      <c r="AS295">
        <f t="shared" si="103"/>
        <v>19</v>
      </c>
      <c r="AT295">
        <f t="shared" si="104"/>
        <v>3</v>
      </c>
      <c r="AU295">
        <f t="shared" ca="1" si="105"/>
        <v>-99</v>
      </c>
      <c r="AV295">
        <f t="shared" ca="1" si="106"/>
        <v>-99</v>
      </c>
      <c r="AW295">
        <f ca="1">IF(AND($AT295&lt;3,OFFSET(DATA!$C$14,$AS295,0)=AW$6),$AV295,dNULL)</f>
        <v>-99</v>
      </c>
      <c r="AX295">
        <f ca="1">IF(AND($AT295&lt;3,OFFSET(DATA!$C$14,$AS295,0)=AX$6),$AV295,dNULL)</f>
        <v>-99</v>
      </c>
      <c r="AY295">
        <f ca="1">IF(AND($AT295&lt;3,OFFSET(DATA!$C$14,$AS295,0)=AY$6),$AV295,dNULL)</f>
        <v>-99</v>
      </c>
      <c r="AZ295">
        <f ca="1">IF(AND($AT295&lt;3,OFFSET(DATA!$C$14,$AS295,0)=AZ$6),$AV295,dNULL)</f>
        <v>-99</v>
      </c>
      <c r="BA295">
        <f ca="1">IF(AND($AT295&lt;3,OFFSET(DATA!$C$14,$AS295,0)=BA$6),$AV295,dNULL)</f>
        <v>-99</v>
      </c>
      <c r="BB295">
        <f ca="1">IF(AND($AT295&lt;3,OFFSET(DATA!$C$14,$AS295,0)=BB$6),$AV295,dNULL)</f>
        <v>-99</v>
      </c>
      <c r="BC295">
        <f ca="1">IF(AND($AT295&lt;3,OFFSET(DATA!$C$14,$AS295,0)=BC$6),$AV295,dNULL)</f>
        <v>-99</v>
      </c>
      <c r="BD295">
        <f ca="1">IF(AND($AT295&lt;3,OFFSET(DATA!$C$14,$AS295,0)=BD$6),$AV295,dNULL)</f>
        <v>-99</v>
      </c>
      <c r="BE295">
        <f ca="1">IF(AND($AT295&lt;3,OFFSET(DATA!$C$14,$AS295,0)=BE$6),$AV295,dNULL)</f>
        <v>-99</v>
      </c>
      <c r="BF295">
        <f ca="1">IF(AND($AT295&lt;3,OFFSET(DATA!$C$14,$AS295,0)=BF$6),$AV295,dNULL)</f>
        <v>-99</v>
      </c>
      <c r="BG295">
        <f ca="1">IF(AND($AT295&lt;3,OFFSET(DATA!$C$14,$AS295,0)=BG$6),$AV295,dNULL)</f>
        <v>-99</v>
      </c>
      <c r="BH295">
        <f ca="1">IF(AND($AT295&lt;3,OFFSET(DATA!$C$14,$AS295,0)=BH$6),$AV295,dNULL)</f>
        <v>-99</v>
      </c>
    </row>
    <row r="296" spans="25:60" x14ac:dyDescent="0.25">
      <c r="Y296" s="26"/>
      <c r="Z296" s="26"/>
      <c r="AB296" s="26" t="str">
        <f t="shared" ca="1" si="96"/>
        <v/>
      </c>
      <c r="AC296">
        <f t="shared" ca="1" si="107"/>
        <v>90</v>
      </c>
      <c r="AD296" t="str">
        <f ca="1">IF(AND(AT296&lt;1,MAX(AW296:BH296)&gt;dNULL),DATA!$D304,"")</f>
        <v/>
      </c>
      <c r="AE296" s="7" t="str">
        <f ca="1">IF(LEN(DATA!D304)&gt;0,SUMPRODUCT(OFFSET(DATA!$R$6,AE$5,0,1,10),DATA!$R304:$AA304),"")</f>
        <v/>
      </c>
      <c r="AF296" s="7" t="str">
        <f ca="1">IF(LEN(DATA!E304)&gt;0,SUMPRODUCT(OFFSET(DATA!$R$6,AF$5,0,1,10),DATA!$R304:$AA304),"")</f>
        <v/>
      </c>
      <c r="AG296" s="7" t="str">
        <f ca="1">IF(LEN(DATA!F304)&gt;0,SUMPRODUCT(OFFSET(DATA!$R$6,AG$5,0,1,10),DATA!$R304:$AA304),"")</f>
        <v/>
      </c>
      <c r="AH296" s="7" t="str">
        <f ca="1">IF(LEN(DATA!G304)&gt;0,SUMPRODUCT(OFFSET(DATA!$R$6,AH$5,0,1,10),DATA!$R304:$AA304),"")</f>
        <v/>
      </c>
      <c r="AI296" s="7" t="str">
        <f ca="1">IF(LEN(DATA!H304)&gt;0,SUMPRODUCT(OFFSET(DATA!$R$6,AI$5,0,1,10),DATA!$R304:$AA304),"")</f>
        <v/>
      </c>
      <c r="AJ296" s="7" t="str">
        <f ca="1">IF(LEN(DATA!I304)&gt;0,SUMPRODUCT(OFFSET(DATA!$R$6,AJ$5,0,1,10),DATA!$R304:$AA304),"")</f>
        <v/>
      </c>
      <c r="AK296" s="7"/>
      <c r="AL296" s="7" t="e">
        <f t="shared" ca="1" si="97"/>
        <v>#DIV/0!</v>
      </c>
      <c r="AM296" s="7" t="e">
        <f t="shared" ca="1" si="98"/>
        <v>#DIV/0!</v>
      </c>
      <c r="AN296" s="7" t="e">
        <f t="shared" ca="1" si="99"/>
        <v>#DIV/0!</v>
      </c>
      <c r="AO296" s="7" t="e">
        <f t="shared" ca="1" si="100"/>
        <v>#DIV/0!</v>
      </c>
      <c r="AP296" s="7" t="e">
        <f t="shared" ca="1" si="101"/>
        <v>#DIV/0!</v>
      </c>
      <c r="AQ296" s="7" t="e">
        <f t="shared" ca="1" si="102"/>
        <v>#DIV/0!</v>
      </c>
      <c r="AS296">
        <f t="shared" si="103"/>
        <v>20</v>
      </c>
      <c r="AT296">
        <f t="shared" si="104"/>
        <v>3</v>
      </c>
      <c r="AU296">
        <f t="shared" ca="1" si="105"/>
        <v>-99</v>
      </c>
      <c r="AV296">
        <f t="shared" ca="1" si="106"/>
        <v>-99</v>
      </c>
      <c r="AW296">
        <f ca="1">IF(AND($AT296&lt;3,OFFSET(DATA!$C$14,$AS296,0)=AW$6),$AV296,dNULL)</f>
        <v>-99</v>
      </c>
      <c r="AX296">
        <f ca="1">IF(AND($AT296&lt;3,OFFSET(DATA!$C$14,$AS296,0)=AX$6),$AV296,dNULL)</f>
        <v>-99</v>
      </c>
      <c r="AY296">
        <f ca="1">IF(AND($AT296&lt;3,OFFSET(DATA!$C$14,$AS296,0)=AY$6),$AV296,dNULL)</f>
        <v>-99</v>
      </c>
      <c r="AZ296">
        <f ca="1">IF(AND($AT296&lt;3,OFFSET(DATA!$C$14,$AS296,0)=AZ$6),$AV296,dNULL)</f>
        <v>-99</v>
      </c>
      <c r="BA296">
        <f ca="1">IF(AND($AT296&lt;3,OFFSET(DATA!$C$14,$AS296,0)=BA$6),$AV296,dNULL)</f>
        <v>-99</v>
      </c>
      <c r="BB296">
        <f ca="1">IF(AND($AT296&lt;3,OFFSET(DATA!$C$14,$AS296,0)=BB$6),$AV296,dNULL)</f>
        <v>-99</v>
      </c>
      <c r="BC296">
        <f ca="1">IF(AND($AT296&lt;3,OFFSET(DATA!$C$14,$AS296,0)=BC$6),$AV296,dNULL)</f>
        <v>-99</v>
      </c>
      <c r="BD296">
        <f ca="1">IF(AND($AT296&lt;3,OFFSET(DATA!$C$14,$AS296,0)=BD$6),$AV296,dNULL)</f>
        <v>-99</v>
      </c>
      <c r="BE296">
        <f ca="1">IF(AND($AT296&lt;3,OFFSET(DATA!$C$14,$AS296,0)=BE$6),$AV296,dNULL)</f>
        <v>-99</v>
      </c>
      <c r="BF296">
        <f ca="1">IF(AND($AT296&lt;3,OFFSET(DATA!$C$14,$AS296,0)=BF$6),$AV296,dNULL)</f>
        <v>-99</v>
      </c>
      <c r="BG296">
        <f ca="1">IF(AND($AT296&lt;3,OFFSET(DATA!$C$14,$AS296,0)=BG$6),$AV296,dNULL)</f>
        <v>-99</v>
      </c>
      <c r="BH296">
        <f ca="1">IF(AND($AT296&lt;3,OFFSET(DATA!$C$14,$AS296,0)=BH$6),$AV296,dNULL)</f>
        <v>-99</v>
      </c>
    </row>
    <row r="297" spans="25:60" x14ac:dyDescent="0.25">
      <c r="Y297" s="26"/>
      <c r="Z297" s="26"/>
      <c r="AB297" s="26" t="str">
        <f t="shared" ca="1" si="96"/>
        <v/>
      </c>
      <c r="AC297">
        <f t="shared" ca="1" si="107"/>
        <v>90</v>
      </c>
      <c r="AD297" t="str">
        <f ca="1">IF(AND(AT297&lt;1,MAX(AW297:BH297)&gt;dNULL),DATA!$D305,"")</f>
        <v/>
      </c>
      <c r="AE297" s="7" t="str">
        <f ca="1">IF(LEN(DATA!D305)&gt;0,SUMPRODUCT(OFFSET(DATA!$R$6,AE$5,0,1,10),DATA!$R305:$AA305),"")</f>
        <v/>
      </c>
      <c r="AF297" s="7" t="str">
        <f ca="1">IF(LEN(DATA!E305)&gt;0,SUMPRODUCT(OFFSET(DATA!$R$6,AF$5,0,1,10),DATA!$R305:$AA305),"")</f>
        <v/>
      </c>
      <c r="AG297" s="7" t="str">
        <f ca="1">IF(LEN(DATA!F305)&gt;0,SUMPRODUCT(OFFSET(DATA!$R$6,AG$5,0,1,10),DATA!$R305:$AA305),"")</f>
        <v/>
      </c>
      <c r="AH297" s="7" t="str">
        <f ca="1">IF(LEN(DATA!G305)&gt;0,SUMPRODUCT(OFFSET(DATA!$R$6,AH$5,0,1,10),DATA!$R305:$AA305),"")</f>
        <v/>
      </c>
      <c r="AI297" s="7" t="str">
        <f ca="1">IF(LEN(DATA!H305)&gt;0,SUMPRODUCT(OFFSET(DATA!$R$6,AI$5,0,1,10),DATA!$R305:$AA305),"")</f>
        <v/>
      </c>
      <c r="AJ297" s="7" t="str">
        <f ca="1">IF(LEN(DATA!I305)&gt;0,SUMPRODUCT(OFFSET(DATA!$R$6,AJ$5,0,1,10),DATA!$R305:$AA305),"")</f>
        <v/>
      </c>
      <c r="AK297" s="7"/>
      <c r="AL297" s="7" t="e">
        <f t="shared" ca="1" si="97"/>
        <v>#DIV/0!</v>
      </c>
      <c r="AM297" s="7" t="e">
        <f t="shared" ca="1" si="98"/>
        <v>#DIV/0!</v>
      </c>
      <c r="AN297" s="7" t="e">
        <f t="shared" ca="1" si="99"/>
        <v>#DIV/0!</v>
      </c>
      <c r="AO297" s="7" t="e">
        <f t="shared" ca="1" si="100"/>
        <v>#DIV/0!</v>
      </c>
      <c r="AP297" s="7" t="e">
        <f t="shared" ca="1" si="101"/>
        <v>#DIV/0!</v>
      </c>
      <c r="AQ297" s="7" t="e">
        <f t="shared" ca="1" si="102"/>
        <v>#DIV/0!</v>
      </c>
      <c r="AS297">
        <f t="shared" si="103"/>
        <v>21</v>
      </c>
      <c r="AT297">
        <f t="shared" si="104"/>
        <v>3</v>
      </c>
      <c r="AU297">
        <f t="shared" ca="1" si="105"/>
        <v>-99</v>
      </c>
      <c r="AV297">
        <f t="shared" ca="1" si="106"/>
        <v>-99</v>
      </c>
      <c r="AW297">
        <f ca="1">IF(AND($AT297&lt;3,OFFSET(DATA!$C$14,$AS297,0)=AW$6),$AV297,dNULL)</f>
        <v>-99</v>
      </c>
      <c r="AX297">
        <f ca="1">IF(AND($AT297&lt;3,OFFSET(DATA!$C$14,$AS297,0)=AX$6),$AV297,dNULL)</f>
        <v>-99</v>
      </c>
      <c r="AY297">
        <f ca="1">IF(AND($AT297&lt;3,OFFSET(DATA!$C$14,$AS297,0)=AY$6),$AV297,dNULL)</f>
        <v>-99</v>
      </c>
      <c r="AZ297">
        <f ca="1">IF(AND($AT297&lt;3,OFFSET(DATA!$C$14,$AS297,0)=AZ$6),$AV297,dNULL)</f>
        <v>-99</v>
      </c>
      <c r="BA297">
        <f ca="1">IF(AND($AT297&lt;3,OFFSET(DATA!$C$14,$AS297,0)=BA$6),$AV297,dNULL)</f>
        <v>-99</v>
      </c>
      <c r="BB297">
        <f ca="1">IF(AND($AT297&lt;3,OFFSET(DATA!$C$14,$AS297,0)=BB$6),$AV297,dNULL)</f>
        <v>-99</v>
      </c>
      <c r="BC297">
        <f ca="1">IF(AND($AT297&lt;3,OFFSET(DATA!$C$14,$AS297,0)=BC$6),$AV297,dNULL)</f>
        <v>-99</v>
      </c>
      <c r="BD297">
        <f ca="1">IF(AND($AT297&lt;3,OFFSET(DATA!$C$14,$AS297,0)=BD$6),$AV297,dNULL)</f>
        <v>-99</v>
      </c>
      <c r="BE297">
        <f ca="1">IF(AND($AT297&lt;3,OFFSET(DATA!$C$14,$AS297,0)=BE$6),$AV297,dNULL)</f>
        <v>-99</v>
      </c>
      <c r="BF297">
        <f ca="1">IF(AND($AT297&lt;3,OFFSET(DATA!$C$14,$AS297,0)=BF$6),$AV297,dNULL)</f>
        <v>-99</v>
      </c>
      <c r="BG297">
        <f ca="1">IF(AND($AT297&lt;3,OFFSET(DATA!$C$14,$AS297,0)=BG$6),$AV297,dNULL)</f>
        <v>-99</v>
      </c>
      <c r="BH297">
        <f ca="1">IF(AND($AT297&lt;3,OFFSET(DATA!$C$14,$AS297,0)=BH$6),$AV297,dNULL)</f>
        <v>-99</v>
      </c>
    </row>
    <row r="298" spans="25:60" x14ac:dyDescent="0.25">
      <c r="Y298" s="26"/>
      <c r="Z298" s="26"/>
      <c r="AB298" s="26" t="str">
        <f t="shared" ca="1" si="96"/>
        <v/>
      </c>
      <c r="AC298">
        <f t="shared" ca="1" si="107"/>
        <v>90</v>
      </c>
      <c r="AD298" t="str">
        <f ca="1">IF(AND(AT298&lt;1,MAX(AW298:BH298)&gt;dNULL),DATA!$D306,"")</f>
        <v/>
      </c>
      <c r="AE298" s="7" t="str">
        <f ca="1">IF(LEN(DATA!D306)&gt;0,SUMPRODUCT(OFFSET(DATA!$R$6,AE$5,0,1,10),DATA!$R306:$AA306),"")</f>
        <v/>
      </c>
      <c r="AF298" s="7" t="str">
        <f ca="1">IF(LEN(DATA!E306)&gt;0,SUMPRODUCT(OFFSET(DATA!$R$6,AF$5,0,1,10),DATA!$R306:$AA306),"")</f>
        <v/>
      </c>
      <c r="AG298" s="7" t="str">
        <f ca="1">IF(LEN(DATA!F306)&gt;0,SUMPRODUCT(OFFSET(DATA!$R$6,AG$5,0,1,10),DATA!$R306:$AA306),"")</f>
        <v/>
      </c>
      <c r="AH298" s="7" t="str">
        <f ca="1">IF(LEN(DATA!G306)&gt;0,SUMPRODUCT(OFFSET(DATA!$R$6,AH$5,0,1,10),DATA!$R306:$AA306),"")</f>
        <v/>
      </c>
      <c r="AI298" s="7" t="str">
        <f ca="1">IF(LEN(DATA!H306)&gt;0,SUMPRODUCT(OFFSET(DATA!$R$6,AI$5,0,1,10),DATA!$R306:$AA306),"")</f>
        <v/>
      </c>
      <c r="AJ298" s="7" t="str">
        <f ca="1">IF(LEN(DATA!I306)&gt;0,SUMPRODUCT(OFFSET(DATA!$R$6,AJ$5,0,1,10),DATA!$R306:$AA306),"")</f>
        <v/>
      </c>
      <c r="AK298" s="7"/>
      <c r="AL298" s="7" t="e">
        <f t="shared" ca="1" si="97"/>
        <v>#DIV/0!</v>
      </c>
      <c r="AM298" s="7" t="e">
        <f t="shared" ca="1" si="98"/>
        <v>#DIV/0!</v>
      </c>
      <c r="AN298" s="7" t="e">
        <f t="shared" ca="1" si="99"/>
        <v>#DIV/0!</v>
      </c>
      <c r="AO298" s="7" t="e">
        <f t="shared" ca="1" si="100"/>
        <v>#DIV/0!</v>
      </c>
      <c r="AP298" s="7" t="e">
        <f t="shared" ca="1" si="101"/>
        <v>#DIV/0!</v>
      </c>
      <c r="AQ298" s="7" t="e">
        <f t="shared" ca="1" si="102"/>
        <v>#DIV/0!</v>
      </c>
      <c r="AS298">
        <f t="shared" si="103"/>
        <v>22</v>
      </c>
      <c r="AT298">
        <f t="shared" si="104"/>
        <v>3</v>
      </c>
      <c r="AU298">
        <f t="shared" ca="1" si="105"/>
        <v>-99</v>
      </c>
      <c r="AV298">
        <f t="shared" ca="1" si="106"/>
        <v>-99</v>
      </c>
      <c r="AW298">
        <f ca="1">IF(AND($AT298&lt;3,OFFSET(DATA!$C$14,$AS298,0)=AW$6),$AV298,dNULL)</f>
        <v>-99</v>
      </c>
      <c r="AX298">
        <f ca="1">IF(AND($AT298&lt;3,OFFSET(DATA!$C$14,$AS298,0)=AX$6),$AV298,dNULL)</f>
        <v>-99</v>
      </c>
      <c r="AY298">
        <f ca="1">IF(AND($AT298&lt;3,OFFSET(DATA!$C$14,$AS298,0)=AY$6),$AV298,dNULL)</f>
        <v>-99</v>
      </c>
      <c r="AZ298">
        <f ca="1">IF(AND($AT298&lt;3,OFFSET(DATA!$C$14,$AS298,0)=AZ$6),$AV298,dNULL)</f>
        <v>-99</v>
      </c>
      <c r="BA298">
        <f ca="1">IF(AND($AT298&lt;3,OFFSET(DATA!$C$14,$AS298,0)=BA$6),$AV298,dNULL)</f>
        <v>-99</v>
      </c>
      <c r="BB298">
        <f ca="1">IF(AND($AT298&lt;3,OFFSET(DATA!$C$14,$AS298,0)=BB$6),$AV298,dNULL)</f>
        <v>-99</v>
      </c>
      <c r="BC298">
        <f ca="1">IF(AND($AT298&lt;3,OFFSET(DATA!$C$14,$AS298,0)=BC$6),$AV298,dNULL)</f>
        <v>-99</v>
      </c>
      <c r="BD298">
        <f ca="1">IF(AND($AT298&lt;3,OFFSET(DATA!$C$14,$AS298,0)=BD$6),$AV298,dNULL)</f>
        <v>-99</v>
      </c>
      <c r="BE298">
        <f ca="1">IF(AND($AT298&lt;3,OFFSET(DATA!$C$14,$AS298,0)=BE$6),$AV298,dNULL)</f>
        <v>-99</v>
      </c>
      <c r="BF298">
        <f ca="1">IF(AND($AT298&lt;3,OFFSET(DATA!$C$14,$AS298,0)=BF$6),$AV298,dNULL)</f>
        <v>-99</v>
      </c>
      <c r="BG298">
        <f ca="1">IF(AND($AT298&lt;3,OFFSET(DATA!$C$14,$AS298,0)=BG$6),$AV298,dNULL)</f>
        <v>-99</v>
      </c>
      <c r="BH298">
        <f ca="1">IF(AND($AT298&lt;3,OFFSET(DATA!$C$14,$AS298,0)=BH$6),$AV298,dNULL)</f>
        <v>-99</v>
      </c>
    </row>
    <row r="299" spans="25:60" x14ac:dyDescent="0.25">
      <c r="Y299" s="26"/>
      <c r="Z299" s="26"/>
      <c r="AB299" s="26" t="str">
        <f t="shared" ca="1" si="96"/>
        <v/>
      </c>
      <c r="AC299">
        <f t="shared" ca="1" si="107"/>
        <v>90</v>
      </c>
      <c r="AD299" t="str">
        <f ca="1">IF(AND(AT299&lt;1,MAX(AW299:BH299)&gt;dNULL),DATA!$D307,"")</f>
        <v/>
      </c>
      <c r="AE299" s="7" t="str">
        <f ca="1">IF(LEN(DATA!D307)&gt;0,SUMPRODUCT(OFFSET(DATA!$R$6,AE$5,0,1,10),DATA!$R307:$AA307),"")</f>
        <v/>
      </c>
      <c r="AF299" s="7" t="str">
        <f ca="1">IF(LEN(DATA!E307)&gt;0,SUMPRODUCT(OFFSET(DATA!$R$6,AF$5,0,1,10),DATA!$R307:$AA307),"")</f>
        <v/>
      </c>
      <c r="AG299" s="7" t="str">
        <f ca="1">IF(LEN(DATA!F307)&gt;0,SUMPRODUCT(OFFSET(DATA!$R$6,AG$5,0,1,10),DATA!$R307:$AA307),"")</f>
        <v/>
      </c>
      <c r="AH299" s="7" t="str">
        <f ca="1">IF(LEN(DATA!G307)&gt;0,SUMPRODUCT(OFFSET(DATA!$R$6,AH$5,0,1,10),DATA!$R307:$AA307),"")</f>
        <v/>
      </c>
      <c r="AI299" s="7" t="str">
        <f ca="1">IF(LEN(DATA!H307)&gt;0,SUMPRODUCT(OFFSET(DATA!$R$6,AI$5,0,1,10),DATA!$R307:$AA307),"")</f>
        <v/>
      </c>
      <c r="AJ299" s="7" t="str">
        <f ca="1">IF(LEN(DATA!I307)&gt;0,SUMPRODUCT(OFFSET(DATA!$R$6,AJ$5,0,1,10),DATA!$R307:$AA307),"")</f>
        <v/>
      </c>
      <c r="AK299" s="7"/>
      <c r="AL299" s="7" t="e">
        <f t="shared" ca="1" si="97"/>
        <v>#DIV/0!</v>
      </c>
      <c r="AM299" s="7" t="e">
        <f t="shared" ca="1" si="98"/>
        <v>#DIV/0!</v>
      </c>
      <c r="AN299" s="7" t="e">
        <f t="shared" ca="1" si="99"/>
        <v>#DIV/0!</v>
      </c>
      <c r="AO299" s="7" t="e">
        <f t="shared" ca="1" si="100"/>
        <v>#DIV/0!</v>
      </c>
      <c r="AP299" s="7" t="e">
        <f t="shared" ca="1" si="101"/>
        <v>#DIV/0!</v>
      </c>
      <c r="AQ299" s="7" t="e">
        <f t="shared" ca="1" si="102"/>
        <v>#DIV/0!</v>
      </c>
      <c r="AS299">
        <f t="shared" si="103"/>
        <v>23</v>
      </c>
      <c r="AT299">
        <f t="shared" si="104"/>
        <v>3</v>
      </c>
      <c r="AU299">
        <f t="shared" ca="1" si="105"/>
        <v>-99</v>
      </c>
      <c r="AV299">
        <f t="shared" ca="1" si="106"/>
        <v>-99</v>
      </c>
      <c r="AW299">
        <f ca="1">IF(AND($AT299&lt;3,OFFSET(DATA!$C$14,$AS299,0)=AW$6),$AV299,dNULL)</f>
        <v>-99</v>
      </c>
      <c r="AX299">
        <f ca="1">IF(AND($AT299&lt;3,OFFSET(DATA!$C$14,$AS299,0)=AX$6),$AV299,dNULL)</f>
        <v>-99</v>
      </c>
      <c r="AY299">
        <f ca="1">IF(AND($AT299&lt;3,OFFSET(DATA!$C$14,$AS299,0)=AY$6),$AV299,dNULL)</f>
        <v>-99</v>
      </c>
      <c r="AZ299">
        <f ca="1">IF(AND($AT299&lt;3,OFFSET(DATA!$C$14,$AS299,0)=AZ$6),$AV299,dNULL)</f>
        <v>-99</v>
      </c>
      <c r="BA299">
        <f ca="1">IF(AND($AT299&lt;3,OFFSET(DATA!$C$14,$AS299,0)=BA$6),$AV299,dNULL)</f>
        <v>-99</v>
      </c>
      <c r="BB299">
        <f ca="1">IF(AND($AT299&lt;3,OFFSET(DATA!$C$14,$AS299,0)=BB$6),$AV299,dNULL)</f>
        <v>-99</v>
      </c>
      <c r="BC299">
        <f ca="1">IF(AND($AT299&lt;3,OFFSET(DATA!$C$14,$AS299,0)=BC$6),$AV299,dNULL)</f>
        <v>-99</v>
      </c>
      <c r="BD299">
        <f ca="1">IF(AND($AT299&lt;3,OFFSET(DATA!$C$14,$AS299,0)=BD$6),$AV299,dNULL)</f>
        <v>-99</v>
      </c>
      <c r="BE299">
        <f ca="1">IF(AND($AT299&lt;3,OFFSET(DATA!$C$14,$AS299,0)=BE$6),$AV299,dNULL)</f>
        <v>-99</v>
      </c>
      <c r="BF299">
        <f ca="1">IF(AND($AT299&lt;3,OFFSET(DATA!$C$14,$AS299,0)=BF$6),$AV299,dNULL)</f>
        <v>-99</v>
      </c>
      <c r="BG299">
        <f ca="1">IF(AND($AT299&lt;3,OFFSET(DATA!$C$14,$AS299,0)=BG$6),$AV299,dNULL)</f>
        <v>-99</v>
      </c>
      <c r="BH299">
        <f ca="1">IF(AND($AT299&lt;3,OFFSET(DATA!$C$14,$AS299,0)=BH$6),$AV299,dNULL)</f>
        <v>-99</v>
      </c>
    </row>
    <row r="300" spans="25:60" x14ac:dyDescent="0.25">
      <c r="Y300" s="26"/>
      <c r="Z300" s="26"/>
      <c r="AB300" s="26" t="str">
        <f t="shared" ca="1" si="96"/>
        <v/>
      </c>
      <c r="AC300">
        <f t="shared" ca="1" si="107"/>
        <v>90</v>
      </c>
      <c r="AD300" t="str">
        <f ca="1">IF(AND(AT300&lt;1,MAX(AW300:BH300)&gt;dNULL),DATA!$D308,"")</f>
        <v/>
      </c>
      <c r="AE300" s="7" t="str">
        <f ca="1">IF(LEN(DATA!D308)&gt;0,SUMPRODUCT(OFFSET(DATA!$R$6,AE$5,0,1,10),DATA!$R308:$AA308),"")</f>
        <v/>
      </c>
      <c r="AF300" s="7" t="str">
        <f ca="1">IF(LEN(DATA!E308)&gt;0,SUMPRODUCT(OFFSET(DATA!$R$6,AF$5,0,1,10),DATA!$R308:$AA308),"")</f>
        <v/>
      </c>
      <c r="AG300" s="7" t="str">
        <f ca="1">IF(LEN(DATA!F308)&gt;0,SUMPRODUCT(OFFSET(DATA!$R$6,AG$5,0,1,10),DATA!$R308:$AA308),"")</f>
        <v/>
      </c>
      <c r="AH300" s="7" t="str">
        <f ca="1">IF(LEN(DATA!G308)&gt;0,SUMPRODUCT(OFFSET(DATA!$R$6,AH$5,0,1,10),DATA!$R308:$AA308),"")</f>
        <v/>
      </c>
      <c r="AI300" s="7" t="str">
        <f ca="1">IF(LEN(DATA!H308)&gt;0,SUMPRODUCT(OFFSET(DATA!$R$6,AI$5,0,1,10),DATA!$R308:$AA308),"")</f>
        <v/>
      </c>
      <c r="AJ300" s="7" t="str">
        <f ca="1">IF(LEN(DATA!I308)&gt;0,SUMPRODUCT(OFFSET(DATA!$R$6,AJ$5,0,1,10),DATA!$R308:$AA308),"")</f>
        <v/>
      </c>
      <c r="AK300" s="7"/>
      <c r="AL300" s="7" t="e">
        <f t="shared" ca="1" si="97"/>
        <v>#DIV/0!</v>
      </c>
      <c r="AM300" s="7" t="e">
        <f t="shared" ca="1" si="98"/>
        <v>#DIV/0!</v>
      </c>
      <c r="AN300" s="7" t="e">
        <f t="shared" ca="1" si="99"/>
        <v>#DIV/0!</v>
      </c>
      <c r="AO300" s="7" t="e">
        <f t="shared" ca="1" si="100"/>
        <v>#DIV/0!</v>
      </c>
      <c r="AP300" s="7" t="e">
        <f t="shared" ca="1" si="101"/>
        <v>#DIV/0!</v>
      </c>
      <c r="AQ300" s="7" t="e">
        <f t="shared" ca="1" si="102"/>
        <v>#DIV/0!</v>
      </c>
      <c r="AS300">
        <f t="shared" si="103"/>
        <v>24</v>
      </c>
      <c r="AT300">
        <f t="shared" si="104"/>
        <v>3</v>
      </c>
      <c r="AU300">
        <f t="shared" ca="1" si="105"/>
        <v>-99</v>
      </c>
      <c r="AV300">
        <f t="shared" ca="1" si="106"/>
        <v>-99</v>
      </c>
      <c r="AW300">
        <f ca="1">IF(AND($AT300&lt;3,OFFSET(DATA!$C$14,$AS300,0)=AW$6),$AV300,dNULL)</f>
        <v>-99</v>
      </c>
      <c r="AX300">
        <f ca="1">IF(AND($AT300&lt;3,OFFSET(DATA!$C$14,$AS300,0)=AX$6),$AV300,dNULL)</f>
        <v>-99</v>
      </c>
      <c r="AY300">
        <f ca="1">IF(AND($AT300&lt;3,OFFSET(DATA!$C$14,$AS300,0)=AY$6),$AV300,dNULL)</f>
        <v>-99</v>
      </c>
      <c r="AZ300">
        <f ca="1">IF(AND($AT300&lt;3,OFFSET(DATA!$C$14,$AS300,0)=AZ$6),$AV300,dNULL)</f>
        <v>-99</v>
      </c>
      <c r="BA300">
        <f ca="1">IF(AND($AT300&lt;3,OFFSET(DATA!$C$14,$AS300,0)=BA$6),$AV300,dNULL)</f>
        <v>-99</v>
      </c>
      <c r="BB300">
        <f ca="1">IF(AND($AT300&lt;3,OFFSET(DATA!$C$14,$AS300,0)=BB$6),$AV300,dNULL)</f>
        <v>-99</v>
      </c>
      <c r="BC300">
        <f ca="1">IF(AND($AT300&lt;3,OFFSET(DATA!$C$14,$AS300,0)=BC$6),$AV300,dNULL)</f>
        <v>-99</v>
      </c>
      <c r="BD300">
        <f ca="1">IF(AND($AT300&lt;3,OFFSET(DATA!$C$14,$AS300,0)=BD$6),$AV300,dNULL)</f>
        <v>-99</v>
      </c>
      <c r="BE300">
        <f ca="1">IF(AND($AT300&lt;3,OFFSET(DATA!$C$14,$AS300,0)=BE$6),$AV300,dNULL)</f>
        <v>-99</v>
      </c>
      <c r="BF300">
        <f ca="1">IF(AND($AT300&lt;3,OFFSET(DATA!$C$14,$AS300,0)=BF$6),$AV300,dNULL)</f>
        <v>-99</v>
      </c>
      <c r="BG300">
        <f ca="1">IF(AND($AT300&lt;3,OFFSET(DATA!$C$14,$AS300,0)=BG$6),$AV300,dNULL)</f>
        <v>-99</v>
      </c>
      <c r="BH300">
        <f ca="1">IF(AND($AT300&lt;3,OFFSET(DATA!$C$14,$AS300,0)=BH$6),$AV300,dNULL)</f>
        <v>-99</v>
      </c>
    </row>
    <row r="301" spans="25:60" x14ac:dyDescent="0.25">
      <c r="Y301" s="26"/>
      <c r="Z301" s="26"/>
      <c r="AB301" s="26" t="str">
        <f t="shared" ca="1" si="96"/>
        <v/>
      </c>
      <c r="AC301">
        <f t="shared" ca="1" si="107"/>
        <v>90</v>
      </c>
      <c r="AD301" t="str">
        <f ca="1">IF(AND(AT301&lt;1,MAX(AW301:BH301)&gt;dNULL),DATA!$D309,"")</f>
        <v/>
      </c>
      <c r="AE301" s="7" t="str">
        <f ca="1">IF(LEN(DATA!D309)&gt;0,SUMPRODUCT(OFFSET(DATA!$R$6,AE$5,0,1,10),DATA!$R309:$AA309),"")</f>
        <v/>
      </c>
      <c r="AF301" s="7" t="str">
        <f ca="1">IF(LEN(DATA!E309)&gt;0,SUMPRODUCT(OFFSET(DATA!$R$6,AF$5,0,1,10),DATA!$R309:$AA309),"")</f>
        <v/>
      </c>
      <c r="AG301" s="7" t="str">
        <f ca="1">IF(LEN(DATA!F309)&gt;0,SUMPRODUCT(OFFSET(DATA!$R$6,AG$5,0,1,10),DATA!$R309:$AA309),"")</f>
        <v/>
      </c>
      <c r="AH301" s="7" t="str">
        <f ca="1">IF(LEN(DATA!G309)&gt;0,SUMPRODUCT(OFFSET(DATA!$R$6,AH$5,0,1,10),DATA!$R309:$AA309),"")</f>
        <v/>
      </c>
      <c r="AI301" s="7" t="str">
        <f ca="1">IF(LEN(DATA!H309)&gt;0,SUMPRODUCT(OFFSET(DATA!$R$6,AI$5,0,1,10),DATA!$R309:$AA309),"")</f>
        <v/>
      </c>
      <c r="AJ301" s="7" t="str">
        <f ca="1">IF(LEN(DATA!I309)&gt;0,SUMPRODUCT(OFFSET(DATA!$R$6,AJ$5,0,1,10),DATA!$R309:$AA309),"")</f>
        <v/>
      </c>
      <c r="AK301" s="7"/>
      <c r="AL301" s="7" t="e">
        <f t="shared" ca="1" si="97"/>
        <v>#DIV/0!</v>
      </c>
      <c r="AM301" s="7" t="e">
        <f t="shared" ca="1" si="98"/>
        <v>#DIV/0!</v>
      </c>
      <c r="AN301" s="7" t="e">
        <f t="shared" ca="1" si="99"/>
        <v>#DIV/0!</v>
      </c>
      <c r="AO301" s="7" t="e">
        <f t="shared" ca="1" si="100"/>
        <v>#DIV/0!</v>
      </c>
      <c r="AP301" s="7" t="e">
        <f t="shared" ca="1" si="101"/>
        <v>#DIV/0!</v>
      </c>
      <c r="AQ301" s="7" t="e">
        <f t="shared" ca="1" si="102"/>
        <v>#DIV/0!</v>
      </c>
      <c r="AS301">
        <f t="shared" si="103"/>
        <v>25</v>
      </c>
      <c r="AT301">
        <f t="shared" si="104"/>
        <v>3</v>
      </c>
      <c r="AU301">
        <f t="shared" ca="1" si="105"/>
        <v>-99</v>
      </c>
      <c r="AV301">
        <f t="shared" ca="1" si="106"/>
        <v>-99</v>
      </c>
      <c r="AW301">
        <f ca="1">IF(AND($AT301&lt;3,OFFSET(DATA!$C$14,$AS301,0)=AW$6),$AV301,dNULL)</f>
        <v>-99</v>
      </c>
      <c r="AX301">
        <f ca="1">IF(AND($AT301&lt;3,OFFSET(DATA!$C$14,$AS301,0)=AX$6),$AV301,dNULL)</f>
        <v>-99</v>
      </c>
      <c r="AY301">
        <f ca="1">IF(AND($AT301&lt;3,OFFSET(DATA!$C$14,$AS301,0)=AY$6),$AV301,dNULL)</f>
        <v>-99</v>
      </c>
      <c r="AZ301">
        <f ca="1">IF(AND($AT301&lt;3,OFFSET(DATA!$C$14,$AS301,0)=AZ$6),$AV301,dNULL)</f>
        <v>-99</v>
      </c>
      <c r="BA301">
        <f ca="1">IF(AND($AT301&lt;3,OFFSET(DATA!$C$14,$AS301,0)=BA$6),$AV301,dNULL)</f>
        <v>-99</v>
      </c>
      <c r="BB301">
        <f ca="1">IF(AND($AT301&lt;3,OFFSET(DATA!$C$14,$AS301,0)=BB$6),$AV301,dNULL)</f>
        <v>-99</v>
      </c>
      <c r="BC301">
        <f ca="1">IF(AND($AT301&lt;3,OFFSET(DATA!$C$14,$AS301,0)=BC$6),$AV301,dNULL)</f>
        <v>-99</v>
      </c>
      <c r="BD301">
        <f ca="1">IF(AND($AT301&lt;3,OFFSET(DATA!$C$14,$AS301,0)=BD$6),$AV301,dNULL)</f>
        <v>-99</v>
      </c>
      <c r="BE301">
        <f ca="1">IF(AND($AT301&lt;3,OFFSET(DATA!$C$14,$AS301,0)=BE$6),$AV301,dNULL)</f>
        <v>-99</v>
      </c>
      <c r="BF301">
        <f ca="1">IF(AND($AT301&lt;3,OFFSET(DATA!$C$14,$AS301,0)=BF$6),$AV301,dNULL)</f>
        <v>-99</v>
      </c>
      <c r="BG301">
        <f ca="1">IF(AND($AT301&lt;3,OFFSET(DATA!$C$14,$AS301,0)=BG$6),$AV301,dNULL)</f>
        <v>-99</v>
      </c>
      <c r="BH301">
        <f ca="1">IF(AND($AT301&lt;3,OFFSET(DATA!$C$14,$AS301,0)=BH$6),$AV301,dNULL)</f>
        <v>-99</v>
      </c>
    </row>
    <row r="302" spans="25:60" x14ac:dyDescent="0.25">
      <c r="Y302" s="26"/>
      <c r="Z302" s="26"/>
      <c r="AB302" s="26" t="str">
        <f t="shared" ca="1" si="96"/>
        <v/>
      </c>
      <c r="AC302">
        <f t="shared" ca="1" si="107"/>
        <v>90</v>
      </c>
      <c r="AD302" t="str">
        <f ca="1">IF(AND(AT302&lt;1,MAX(AW302:BH302)&gt;dNULL),DATA!$D310,"")</f>
        <v/>
      </c>
      <c r="AE302" s="7" t="str">
        <f ca="1">IF(LEN(DATA!D310)&gt;0,SUMPRODUCT(OFFSET(DATA!$R$6,AE$5,0,1,10),DATA!$R310:$AA310),"")</f>
        <v/>
      </c>
      <c r="AF302" s="7" t="str">
        <f ca="1">IF(LEN(DATA!E310)&gt;0,SUMPRODUCT(OFFSET(DATA!$R$6,AF$5,0,1,10),DATA!$R310:$AA310),"")</f>
        <v/>
      </c>
      <c r="AG302" s="7" t="str">
        <f ca="1">IF(LEN(DATA!F310)&gt;0,SUMPRODUCT(OFFSET(DATA!$R$6,AG$5,0,1,10),DATA!$R310:$AA310),"")</f>
        <v/>
      </c>
      <c r="AH302" s="7" t="str">
        <f ca="1">IF(LEN(DATA!G310)&gt;0,SUMPRODUCT(OFFSET(DATA!$R$6,AH$5,0,1,10),DATA!$R310:$AA310),"")</f>
        <v/>
      </c>
      <c r="AI302" s="7" t="str">
        <f ca="1">IF(LEN(DATA!H310)&gt;0,SUMPRODUCT(OFFSET(DATA!$R$6,AI$5,0,1,10),DATA!$R310:$AA310),"")</f>
        <v/>
      </c>
      <c r="AJ302" s="7" t="str">
        <f ca="1">IF(LEN(DATA!I310)&gt;0,SUMPRODUCT(OFFSET(DATA!$R$6,AJ$5,0,1,10),DATA!$R310:$AA310),"")</f>
        <v/>
      </c>
      <c r="AK302" s="7"/>
      <c r="AL302" s="7" t="e">
        <f t="shared" ca="1" si="97"/>
        <v>#DIV/0!</v>
      </c>
      <c r="AM302" s="7" t="e">
        <f t="shared" ca="1" si="98"/>
        <v>#DIV/0!</v>
      </c>
      <c r="AN302" s="7" t="e">
        <f t="shared" ca="1" si="99"/>
        <v>#DIV/0!</v>
      </c>
      <c r="AO302" s="7" t="e">
        <f t="shared" ca="1" si="100"/>
        <v>#DIV/0!</v>
      </c>
      <c r="AP302" s="7" t="e">
        <f t="shared" ca="1" si="101"/>
        <v>#DIV/0!</v>
      </c>
      <c r="AQ302" s="7" t="e">
        <f t="shared" ca="1" si="102"/>
        <v>#DIV/0!</v>
      </c>
      <c r="AS302">
        <f t="shared" si="103"/>
        <v>26</v>
      </c>
      <c r="AT302">
        <f t="shared" si="104"/>
        <v>3</v>
      </c>
      <c r="AU302">
        <f t="shared" ca="1" si="105"/>
        <v>-99</v>
      </c>
      <c r="AV302">
        <f t="shared" ca="1" si="106"/>
        <v>-99</v>
      </c>
      <c r="AW302">
        <f ca="1">IF(AND($AT302&lt;3,OFFSET(DATA!$C$14,$AS302,0)=AW$6),$AV302,dNULL)</f>
        <v>-99</v>
      </c>
      <c r="AX302">
        <f ca="1">IF(AND($AT302&lt;3,OFFSET(DATA!$C$14,$AS302,0)=AX$6),$AV302,dNULL)</f>
        <v>-99</v>
      </c>
      <c r="AY302">
        <f ca="1">IF(AND($AT302&lt;3,OFFSET(DATA!$C$14,$AS302,0)=AY$6),$AV302,dNULL)</f>
        <v>-99</v>
      </c>
      <c r="AZ302">
        <f ca="1">IF(AND($AT302&lt;3,OFFSET(DATA!$C$14,$AS302,0)=AZ$6),$AV302,dNULL)</f>
        <v>-99</v>
      </c>
      <c r="BA302">
        <f ca="1">IF(AND($AT302&lt;3,OFFSET(DATA!$C$14,$AS302,0)=BA$6),$AV302,dNULL)</f>
        <v>-99</v>
      </c>
      <c r="BB302">
        <f ca="1">IF(AND($AT302&lt;3,OFFSET(DATA!$C$14,$AS302,0)=BB$6),$AV302,dNULL)</f>
        <v>-99</v>
      </c>
      <c r="BC302">
        <f ca="1">IF(AND($AT302&lt;3,OFFSET(DATA!$C$14,$AS302,0)=BC$6),$AV302,dNULL)</f>
        <v>-99</v>
      </c>
      <c r="BD302">
        <f ca="1">IF(AND($AT302&lt;3,OFFSET(DATA!$C$14,$AS302,0)=BD$6),$AV302,dNULL)</f>
        <v>-99</v>
      </c>
      <c r="BE302">
        <f ca="1">IF(AND($AT302&lt;3,OFFSET(DATA!$C$14,$AS302,0)=BE$6),$AV302,dNULL)</f>
        <v>-99</v>
      </c>
      <c r="BF302">
        <f ca="1">IF(AND($AT302&lt;3,OFFSET(DATA!$C$14,$AS302,0)=BF$6),$AV302,dNULL)</f>
        <v>-99</v>
      </c>
      <c r="BG302">
        <f ca="1">IF(AND($AT302&lt;3,OFFSET(DATA!$C$14,$AS302,0)=BG$6),$AV302,dNULL)</f>
        <v>-99</v>
      </c>
      <c r="BH302">
        <f ca="1">IF(AND($AT302&lt;3,OFFSET(DATA!$C$14,$AS302,0)=BH$6),$AV302,dNULL)</f>
        <v>-99</v>
      </c>
    </row>
    <row r="303" spans="25:60" x14ac:dyDescent="0.25">
      <c r="Y303" s="26"/>
      <c r="Z303" s="26"/>
      <c r="AB303" s="26" t="str">
        <f t="shared" ca="1" si="96"/>
        <v/>
      </c>
      <c r="AC303">
        <f t="shared" ca="1" si="107"/>
        <v>90</v>
      </c>
      <c r="AD303" t="str">
        <f ca="1">IF(AND(AT303&lt;1,MAX(AW303:BH303)&gt;dNULL),DATA!$D311,"")</f>
        <v/>
      </c>
      <c r="AE303" s="7" t="str">
        <f ca="1">IF(LEN(DATA!D311)&gt;0,SUMPRODUCT(OFFSET(DATA!$R$6,AE$5,0,1,10),DATA!$R311:$AA311),"")</f>
        <v/>
      </c>
      <c r="AF303" s="7" t="str">
        <f ca="1">IF(LEN(DATA!E311)&gt;0,SUMPRODUCT(OFFSET(DATA!$R$6,AF$5,0,1,10),DATA!$R311:$AA311),"")</f>
        <v/>
      </c>
      <c r="AG303" s="7" t="str">
        <f ca="1">IF(LEN(DATA!F311)&gt;0,SUMPRODUCT(OFFSET(DATA!$R$6,AG$5,0,1,10),DATA!$R311:$AA311),"")</f>
        <v/>
      </c>
      <c r="AH303" s="7" t="str">
        <f ca="1">IF(LEN(DATA!G311)&gt;0,SUMPRODUCT(OFFSET(DATA!$R$6,AH$5,0,1,10),DATA!$R311:$AA311),"")</f>
        <v/>
      </c>
      <c r="AI303" s="7" t="str">
        <f ca="1">IF(LEN(DATA!H311)&gt;0,SUMPRODUCT(OFFSET(DATA!$R$6,AI$5,0,1,10),DATA!$R311:$AA311),"")</f>
        <v/>
      </c>
      <c r="AJ303" s="7" t="str">
        <f ca="1">IF(LEN(DATA!I311)&gt;0,SUMPRODUCT(OFFSET(DATA!$R$6,AJ$5,0,1,10),DATA!$R311:$AA311),"")</f>
        <v/>
      </c>
      <c r="AK303" s="7"/>
      <c r="AL303" s="7" t="e">
        <f t="shared" ca="1" si="97"/>
        <v>#DIV/0!</v>
      </c>
      <c r="AM303" s="7" t="e">
        <f t="shared" ca="1" si="98"/>
        <v>#DIV/0!</v>
      </c>
      <c r="AN303" s="7" t="e">
        <f t="shared" ca="1" si="99"/>
        <v>#DIV/0!</v>
      </c>
      <c r="AO303" s="7" t="e">
        <f t="shared" ca="1" si="100"/>
        <v>#DIV/0!</v>
      </c>
      <c r="AP303" s="7" t="e">
        <f t="shared" ca="1" si="101"/>
        <v>#DIV/0!</v>
      </c>
      <c r="AQ303" s="7" t="e">
        <f t="shared" ca="1" si="102"/>
        <v>#DIV/0!</v>
      </c>
      <c r="AS303">
        <f t="shared" si="103"/>
        <v>27</v>
      </c>
      <c r="AT303">
        <f t="shared" si="104"/>
        <v>3</v>
      </c>
      <c r="AU303">
        <f t="shared" ca="1" si="105"/>
        <v>-99</v>
      </c>
      <c r="AV303">
        <f t="shared" ca="1" si="106"/>
        <v>-99</v>
      </c>
      <c r="AW303">
        <f ca="1">IF(AND($AT303&lt;3,OFFSET(DATA!$C$14,$AS303,0)=AW$6),$AV303,dNULL)</f>
        <v>-99</v>
      </c>
      <c r="AX303">
        <f ca="1">IF(AND($AT303&lt;3,OFFSET(DATA!$C$14,$AS303,0)=AX$6),$AV303,dNULL)</f>
        <v>-99</v>
      </c>
      <c r="AY303">
        <f ca="1">IF(AND($AT303&lt;3,OFFSET(DATA!$C$14,$AS303,0)=AY$6),$AV303,dNULL)</f>
        <v>-99</v>
      </c>
      <c r="AZ303">
        <f ca="1">IF(AND($AT303&lt;3,OFFSET(DATA!$C$14,$AS303,0)=AZ$6),$AV303,dNULL)</f>
        <v>-99</v>
      </c>
      <c r="BA303">
        <f ca="1">IF(AND($AT303&lt;3,OFFSET(DATA!$C$14,$AS303,0)=BA$6),$AV303,dNULL)</f>
        <v>-99</v>
      </c>
      <c r="BB303">
        <f ca="1">IF(AND($AT303&lt;3,OFFSET(DATA!$C$14,$AS303,0)=BB$6),$AV303,dNULL)</f>
        <v>-99</v>
      </c>
      <c r="BC303">
        <f ca="1">IF(AND($AT303&lt;3,OFFSET(DATA!$C$14,$AS303,0)=BC$6),$AV303,dNULL)</f>
        <v>-99</v>
      </c>
      <c r="BD303">
        <f ca="1">IF(AND($AT303&lt;3,OFFSET(DATA!$C$14,$AS303,0)=BD$6),$AV303,dNULL)</f>
        <v>-99</v>
      </c>
      <c r="BE303">
        <f ca="1">IF(AND($AT303&lt;3,OFFSET(DATA!$C$14,$AS303,0)=BE$6),$AV303,dNULL)</f>
        <v>-99</v>
      </c>
      <c r="BF303">
        <f ca="1">IF(AND($AT303&lt;3,OFFSET(DATA!$C$14,$AS303,0)=BF$6),$AV303,dNULL)</f>
        <v>-99</v>
      </c>
      <c r="BG303">
        <f ca="1">IF(AND($AT303&lt;3,OFFSET(DATA!$C$14,$AS303,0)=BG$6),$AV303,dNULL)</f>
        <v>-99</v>
      </c>
      <c r="BH303">
        <f ca="1">IF(AND($AT303&lt;3,OFFSET(DATA!$C$14,$AS303,0)=BH$6),$AV303,dNULL)</f>
        <v>-99</v>
      </c>
    </row>
    <row r="304" spans="25:60" x14ac:dyDescent="0.25">
      <c r="Y304" s="26"/>
      <c r="Z304" s="26"/>
      <c r="AB304" s="26" t="str">
        <f t="shared" ca="1" si="96"/>
        <v/>
      </c>
      <c r="AC304">
        <f t="shared" ca="1" si="107"/>
        <v>90</v>
      </c>
      <c r="AD304" t="str">
        <f ca="1">IF(AND(AT304&lt;1,MAX(AW304:BH304)&gt;dNULL),DATA!$D312,"")</f>
        <v/>
      </c>
      <c r="AE304" s="7" t="str">
        <f ca="1">IF(LEN(DATA!D312)&gt;0,SUMPRODUCT(OFFSET(DATA!$R$6,AE$5,0,1,10),DATA!$R312:$AA312),"")</f>
        <v/>
      </c>
      <c r="AF304" s="7" t="str">
        <f ca="1">IF(LEN(DATA!E312)&gt;0,SUMPRODUCT(OFFSET(DATA!$R$6,AF$5,0,1,10),DATA!$R312:$AA312),"")</f>
        <v/>
      </c>
      <c r="AG304" s="7" t="str">
        <f ca="1">IF(LEN(DATA!F312)&gt;0,SUMPRODUCT(OFFSET(DATA!$R$6,AG$5,0,1,10),DATA!$R312:$AA312),"")</f>
        <v/>
      </c>
      <c r="AH304" s="7" t="str">
        <f ca="1">IF(LEN(DATA!G312)&gt;0,SUMPRODUCT(OFFSET(DATA!$R$6,AH$5,0,1,10),DATA!$R312:$AA312),"")</f>
        <v/>
      </c>
      <c r="AI304" s="7" t="str">
        <f ca="1">IF(LEN(DATA!H312)&gt;0,SUMPRODUCT(OFFSET(DATA!$R$6,AI$5,0,1,10),DATA!$R312:$AA312),"")</f>
        <v/>
      </c>
      <c r="AJ304" s="7" t="str">
        <f ca="1">IF(LEN(DATA!I312)&gt;0,SUMPRODUCT(OFFSET(DATA!$R$6,AJ$5,0,1,10),DATA!$R312:$AA312),"")</f>
        <v/>
      </c>
      <c r="AK304" s="7"/>
      <c r="AL304" s="7" t="e">
        <f t="shared" ca="1" si="97"/>
        <v>#DIV/0!</v>
      </c>
      <c r="AM304" s="7" t="e">
        <f t="shared" ca="1" si="98"/>
        <v>#DIV/0!</v>
      </c>
      <c r="AN304" s="7" t="e">
        <f t="shared" ca="1" si="99"/>
        <v>#DIV/0!</v>
      </c>
      <c r="AO304" s="7" t="e">
        <f t="shared" ca="1" si="100"/>
        <v>#DIV/0!</v>
      </c>
      <c r="AP304" s="7" t="e">
        <f t="shared" ca="1" si="101"/>
        <v>#DIV/0!</v>
      </c>
      <c r="AQ304" s="7" t="e">
        <f t="shared" ca="1" si="102"/>
        <v>#DIV/0!</v>
      </c>
      <c r="AS304">
        <f t="shared" si="103"/>
        <v>28</v>
      </c>
      <c r="AT304">
        <f t="shared" si="104"/>
        <v>3</v>
      </c>
      <c r="AU304">
        <f t="shared" ca="1" si="105"/>
        <v>-99</v>
      </c>
      <c r="AV304">
        <f t="shared" ca="1" si="106"/>
        <v>-99</v>
      </c>
      <c r="AW304">
        <f ca="1">IF(AND($AT304&lt;3,OFFSET(DATA!$C$14,$AS304,0)=AW$6),$AV304,dNULL)</f>
        <v>-99</v>
      </c>
      <c r="AX304">
        <f ca="1">IF(AND($AT304&lt;3,OFFSET(DATA!$C$14,$AS304,0)=AX$6),$AV304,dNULL)</f>
        <v>-99</v>
      </c>
      <c r="AY304">
        <f ca="1">IF(AND($AT304&lt;3,OFFSET(DATA!$C$14,$AS304,0)=AY$6),$AV304,dNULL)</f>
        <v>-99</v>
      </c>
      <c r="AZ304">
        <f ca="1">IF(AND($AT304&lt;3,OFFSET(DATA!$C$14,$AS304,0)=AZ$6),$AV304,dNULL)</f>
        <v>-99</v>
      </c>
      <c r="BA304">
        <f ca="1">IF(AND($AT304&lt;3,OFFSET(DATA!$C$14,$AS304,0)=BA$6),$AV304,dNULL)</f>
        <v>-99</v>
      </c>
      <c r="BB304">
        <f ca="1">IF(AND($AT304&lt;3,OFFSET(DATA!$C$14,$AS304,0)=BB$6),$AV304,dNULL)</f>
        <v>-99</v>
      </c>
      <c r="BC304">
        <f ca="1">IF(AND($AT304&lt;3,OFFSET(DATA!$C$14,$AS304,0)=BC$6),$AV304,dNULL)</f>
        <v>-99</v>
      </c>
      <c r="BD304">
        <f ca="1">IF(AND($AT304&lt;3,OFFSET(DATA!$C$14,$AS304,0)=BD$6),$AV304,dNULL)</f>
        <v>-99</v>
      </c>
      <c r="BE304">
        <f ca="1">IF(AND($AT304&lt;3,OFFSET(DATA!$C$14,$AS304,0)=BE$6),$AV304,dNULL)</f>
        <v>-99</v>
      </c>
      <c r="BF304">
        <f ca="1">IF(AND($AT304&lt;3,OFFSET(DATA!$C$14,$AS304,0)=BF$6),$AV304,dNULL)</f>
        <v>-99</v>
      </c>
      <c r="BG304">
        <f ca="1">IF(AND($AT304&lt;3,OFFSET(DATA!$C$14,$AS304,0)=BG$6),$AV304,dNULL)</f>
        <v>-99</v>
      </c>
      <c r="BH304">
        <f ca="1">IF(AND($AT304&lt;3,OFFSET(DATA!$C$14,$AS304,0)=BH$6),$AV304,dNULL)</f>
        <v>-99</v>
      </c>
    </row>
    <row r="305" spans="25:60" x14ac:dyDescent="0.25">
      <c r="Y305" s="26"/>
      <c r="Z305" s="26"/>
      <c r="AB305" s="26" t="str">
        <f t="shared" ca="1" si="96"/>
        <v/>
      </c>
      <c r="AC305">
        <f t="shared" ca="1" si="107"/>
        <v>90</v>
      </c>
      <c r="AD305" t="str">
        <f ca="1">IF(AND(AT305&lt;1,MAX(AW305:BH305)&gt;dNULL),DATA!$D313,"")</f>
        <v/>
      </c>
      <c r="AE305" s="7" t="str">
        <f ca="1">IF(LEN(DATA!D313)&gt;0,SUMPRODUCT(OFFSET(DATA!$R$6,AE$5,0,1,10),DATA!$R313:$AA313),"")</f>
        <v/>
      </c>
      <c r="AF305" s="7" t="str">
        <f ca="1">IF(LEN(DATA!E313)&gt;0,SUMPRODUCT(OFFSET(DATA!$R$6,AF$5,0,1,10),DATA!$R313:$AA313),"")</f>
        <v/>
      </c>
      <c r="AG305" s="7" t="str">
        <f ca="1">IF(LEN(DATA!F313)&gt;0,SUMPRODUCT(OFFSET(DATA!$R$6,AG$5,0,1,10),DATA!$R313:$AA313),"")</f>
        <v/>
      </c>
      <c r="AH305" s="7" t="str">
        <f ca="1">IF(LEN(DATA!G313)&gt;0,SUMPRODUCT(OFFSET(DATA!$R$6,AH$5,0,1,10),DATA!$R313:$AA313),"")</f>
        <v/>
      </c>
      <c r="AI305" s="7" t="str">
        <f ca="1">IF(LEN(DATA!H313)&gt;0,SUMPRODUCT(OFFSET(DATA!$R$6,AI$5,0,1,10),DATA!$R313:$AA313),"")</f>
        <v/>
      </c>
      <c r="AJ305" s="7" t="str">
        <f ca="1">IF(LEN(DATA!I313)&gt;0,SUMPRODUCT(OFFSET(DATA!$R$6,AJ$5,0,1,10),DATA!$R313:$AA313),"")</f>
        <v/>
      </c>
      <c r="AK305" s="7"/>
      <c r="AL305" s="7" t="e">
        <f t="shared" ca="1" si="97"/>
        <v>#DIV/0!</v>
      </c>
      <c r="AM305" s="7" t="e">
        <f t="shared" ca="1" si="98"/>
        <v>#DIV/0!</v>
      </c>
      <c r="AN305" s="7" t="e">
        <f t="shared" ca="1" si="99"/>
        <v>#DIV/0!</v>
      </c>
      <c r="AO305" s="7" t="e">
        <f t="shared" ca="1" si="100"/>
        <v>#DIV/0!</v>
      </c>
      <c r="AP305" s="7" t="e">
        <f t="shared" ca="1" si="101"/>
        <v>#DIV/0!</v>
      </c>
      <c r="AQ305" s="7" t="e">
        <f t="shared" ca="1" si="102"/>
        <v>#DIV/0!</v>
      </c>
      <c r="AS305">
        <f t="shared" si="103"/>
        <v>29</v>
      </c>
      <c r="AT305">
        <f t="shared" si="104"/>
        <v>3</v>
      </c>
      <c r="AU305">
        <f t="shared" ca="1" si="105"/>
        <v>-99</v>
      </c>
      <c r="AV305">
        <f t="shared" ca="1" si="106"/>
        <v>-99</v>
      </c>
      <c r="AW305">
        <f ca="1">IF(AND($AT305&lt;3,OFFSET(DATA!$C$14,$AS305,0)=AW$6),$AV305,dNULL)</f>
        <v>-99</v>
      </c>
      <c r="AX305">
        <f ca="1">IF(AND($AT305&lt;3,OFFSET(DATA!$C$14,$AS305,0)=AX$6),$AV305,dNULL)</f>
        <v>-99</v>
      </c>
      <c r="AY305">
        <f ca="1">IF(AND($AT305&lt;3,OFFSET(DATA!$C$14,$AS305,0)=AY$6),$AV305,dNULL)</f>
        <v>-99</v>
      </c>
      <c r="AZ305">
        <f ca="1">IF(AND($AT305&lt;3,OFFSET(DATA!$C$14,$AS305,0)=AZ$6),$AV305,dNULL)</f>
        <v>-99</v>
      </c>
      <c r="BA305">
        <f ca="1">IF(AND($AT305&lt;3,OFFSET(DATA!$C$14,$AS305,0)=BA$6),$AV305,dNULL)</f>
        <v>-99</v>
      </c>
      <c r="BB305">
        <f ca="1">IF(AND($AT305&lt;3,OFFSET(DATA!$C$14,$AS305,0)=BB$6),$AV305,dNULL)</f>
        <v>-99</v>
      </c>
      <c r="BC305">
        <f ca="1">IF(AND($AT305&lt;3,OFFSET(DATA!$C$14,$AS305,0)=BC$6),$AV305,dNULL)</f>
        <v>-99</v>
      </c>
      <c r="BD305">
        <f ca="1">IF(AND($AT305&lt;3,OFFSET(DATA!$C$14,$AS305,0)=BD$6),$AV305,dNULL)</f>
        <v>-99</v>
      </c>
      <c r="BE305">
        <f ca="1">IF(AND($AT305&lt;3,OFFSET(DATA!$C$14,$AS305,0)=BE$6),$AV305,dNULL)</f>
        <v>-99</v>
      </c>
      <c r="BF305">
        <f ca="1">IF(AND($AT305&lt;3,OFFSET(DATA!$C$14,$AS305,0)=BF$6),$AV305,dNULL)</f>
        <v>-99</v>
      </c>
      <c r="BG305">
        <f ca="1">IF(AND($AT305&lt;3,OFFSET(DATA!$C$14,$AS305,0)=BG$6),$AV305,dNULL)</f>
        <v>-99</v>
      </c>
      <c r="BH305">
        <f ca="1">IF(AND($AT305&lt;3,OFFSET(DATA!$C$14,$AS305,0)=BH$6),$AV305,dNULL)</f>
        <v>-99</v>
      </c>
    </row>
    <row r="306" spans="25:60" x14ac:dyDescent="0.25">
      <c r="Y306" s="26"/>
      <c r="Z306" s="26"/>
      <c r="AB306" s="26" t="str">
        <f t="shared" ca="1" si="96"/>
        <v/>
      </c>
      <c r="AC306">
        <f t="shared" ca="1" si="107"/>
        <v>90</v>
      </c>
      <c r="AD306" t="str">
        <f ca="1">IF(AND(AT306&lt;1,MAX(AW306:BH306)&gt;dNULL),DATA!$D314,"")</f>
        <v/>
      </c>
      <c r="AE306" s="7" t="str">
        <f ca="1">IF(LEN(DATA!D314)&gt;0,SUMPRODUCT(OFFSET(DATA!$R$6,AE$5,0,1,10),DATA!$R314:$AA314),"")</f>
        <v/>
      </c>
      <c r="AF306" s="7" t="str">
        <f ca="1">IF(LEN(DATA!E314)&gt;0,SUMPRODUCT(OFFSET(DATA!$R$6,AF$5,0,1,10),DATA!$R314:$AA314),"")</f>
        <v/>
      </c>
      <c r="AG306" s="7" t="str">
        <f ca="1">IF(LEN(DATA!F314)&gt;0,SUMPRODUCT(OFFSET(DATA!$R$6,AG$5,0,1,10),DATA!$R314:$AA314),"")</f>
        <v/>
      </c>
      <c r="AH306" s="7" t="str">
        <f ca="1">IF(LEN(DATA!G314)&gt;0,SUMPRODUCT(OFFSET(DATA!$R$6,AH$5,0,1,10),DATA!$R314:$AA314),"")</f>
        <v/>
      </c>
      <c r="AI306" s="7" t="str">
        <f ca="1">IF(LEN(DATA!H314)&gt;0,SUMPRODUCT(OFFSET(DATA!$R$6,AI$5,0,1,10),DATA!$R314:$AA314),"")</f>
        <v/>
      </c>
      <c r="AJ306" s="7" t="str">
        <f ca="1">IF(LEN(DATA!I314)&gt;0,SUMPRODUCT(OFFSET(DATA!$R$6,AJ$5,0,1,10),DATA!$R314:$AA314),"")</f>
        <v/>
      </c>
      <c r="AK306" s="7"/>
      <c r="AL306" s="7" t="e">
        <f t="shared" ca="1" si="97"/>
        <v>#DIV/0!</v>
      </c>
      <c r="AM306" s="7" t="e">
        <f t="shared" ca="1" si="98"/>
        <v>#DIV/0!</v>
      </c>
      <c r="AN306" s="7" t="e">
        <f t="shared" ca="1" si="99"/>
        <v>#DIV/0!</v>
      </c>
      <c r="AO306" s="7" t="e">
        <f t="shared" ca="1" si="100"/>
        <v>#DIV/0!</v>
      </c>
      <c r="AP306" s="7" t="e">
        <f t="shared" ca="1" si="101"/>
        <v>#DIV/0!</v>
      </c>
      <c r="AQ306" s="7" t="e">
        <f t="shared" ca="1" si="102"/>
        <v>#DIV/0!</v>
      </c>
      <c r="AS306">
        <f t="shared" si="103"/>
        <v>30</v>
      </c>
      <c r="AT306">
        <f t="shared" si="104"/>
        <v>3</v>
      </c>
      <c r="AU306">
        <f t="shared" ca="1" si="105"/>
        <v>-99</v>
      </c>
      <c r="AV306">
        <f t="shared" ca="1" si="106"/>
        <v>-99</v>
      </c>
      <c r="AW306">
        <f ca="1">IF(AND($AT306&lt;3,OFFSET(DATA!$C$14,$AS306,0)=AW$6),$AV306,dNULL)</f>
        <v>-99</v>
      </c>
      <c r="AX306">
        <f ca="1">IF(AND($AT306&lt;3,OFFSET(DATA!$C$14,$AS306,0)=AX$6),$AV306,dNULL)</f>
        <v>-99</v>
      </c>
      <c r="AY306">
        <f ca="1">IF(AND($AT306&lt;3,OFFSET(DATA!$C$14,$AS306,0)=AY$6),$AV306,dNULL)</f>
        <v>-99</v>
      </c>
      <c r="AZ306">
        <f ca="1">IF(AND($AT306&lt;3,OFFSET(DATA!$C$14,$AS306,0)=AZ$6),$AV306,dNULL)</f>
        <v>-99</v>
      </c>
      <c r="BA306">
        <f ca="1">IF(AND($AT306&lt;3,OFFSET(DATA!$C$14,$AS306,0)=BA$6),$AV306,dNULL)</f>
        <v>-99</v>
      </c>
      <c r="BB306">
        <f ca="1">IF(AND($AT306&lt;3,OFFSET(DATA!$C$14,$AS306,0)=BB$6),$AV306,dNULL)</f>
        <v>-99</v>
      </c>
      <c r="BC306">
        <f ca="1">IF(AND($AT306&lt;3,OFFSET(DATA!$C$14,$AS306,0)=BC$6),$AV306,dNULL)</f>
        <v>-99</v>
      </c>
      <c r="BD306">
        <f ca="1">IF(AND($AT306&lt;3,OFFSET(DATA!$C$14,$AS306,0)=BD$6),$AV306,dNULL)</f>
        <v>-99</v>
      </c>
      <c r="BE306">
        <f ca="1">IF(AND($AT306&lt;3,OFFSET(DATA!$C$14,$AS306,0)=BE$6),$AV306,dNULL)</f>
        <v>-99</v>
      </c>
      <c r="BF306">
        <f ca="1">IF(AND($AT306&lt;3,OFFSET(DATA!$C$14,$AS306,0)=BF$6),$AV306,dNULL)</f>
        <v>-99</v>
      </c>
      <c r="BG306">
        <f ca="1">IF(AND($AT306&lt;3,OFFSET(DATA!$C$14,$AS306,0)=BG$6),$AV306,dNULL)</f>
        <v>-99</v>
      </c>
      <c r="BH306">
        <f ca="1">IF(AND($AT306&lt;3,OFFSET(DATA!$C$14,$AS306,0)=BH$6),$AV306,dNULL)</f>
        <v>-99</v>
      </c>
    </row>
    <row r="307" spans="25:60" x14ac:dyDescent="0.25">
      <c r="Y307" s="26"/>
      <c r="Z307" s="26"/>
      <c r="AB307" s="26" t="str">
        <f t="shared" ca="1" si="96"/>
        <v/>
      </c>
      <c r="AE307" s="7" t="str">
        <f ca="1">IF(LEN(DATA!D315)&gt;0,SUMPRODUCT(OFFSET(DATA!$R$6,AE$5,0,1,10),DATA!$R315:$AA315),"")</f>
        <v/>
      </c>
      <c r="AF307" s="7" t="str">
        <f ca="1">IF(LEN(DATA!E315)&gt;0,SUMPRODUCT(OFFSET(DATA!$R$6,AF$5,0,1,10),DATA!$R315:$AA315),"")</f>
        <v/>
      </c>
      <c r="AG307" s="7" t="str">
        <f ca="1">IF(LEN(DATA!F315)&gt;0,SUMPRODUCT(OFFSET(DATA!$R$6,AG$5,0,1,10),DATA!$R315:$AA315),"")</f>
        <v/>
      </c>
      <c r="AH307" s="7" t="str">
        <f ca="1">IF(LEN(DATA!G315)&gt;0,SUMPRODUCT(OFFSET(DATA!$R$6,AH$5,0,1,10),DATA!$R315:$AA315),"")</f>
        <v/>
      </c>
      <c r="AI307" s="7" t="str">
        <f ca="1">IF(LEN(DATA!H315)&gt;0,SUMPRODUCT(OFFSET(DATA!$R$6,AI$5,0,1,10),DATA!$R315:$AA315),"")</f>
        <v/>
      </c>
      <c r="AJ307" s="7" t="str">
        <f ca="1">IF(LEN(DATA!I315)&gt;0,SUMPRODUCT(OFFSET(DATA!$R$6,AJ$5,0,1,10),DATA!$R315:$AA315),"")</f>
        <v/>
      </c>
      <c r="AK307" s="7"/>
      <c r="AL307" s="7"/>
      <c r="AM307" s="7"/>
      <c r="AN307" s="7"/>
      <c r="AO307" s="7"/>
      <c r="AP307" s="7"/>
      <c r="AS307">
        <f t="shared" si="103"/>
        <v>31</v>
      </c>
      <c r="AT307">
        <f t="shared" si="104"/>
        <v>3</v>
      </c>
      <c r="AU307">
        <f t="shared" ca="1" si="105"/>
        <v>-99</v>
      </c>
      <c r="AV307">
        <f t="shared" ca="1" si="106"/>
        <v>-99</v>
      </c>
      <c r="AW307">
        <f ca="1">IF(AND($AT307&lt;3,OFFSET(DATA!$C$14,$AS307,0)=AW$6),$AV307,dNULL)</f>
        <v>-99</v>
      </c>
      <c r="AX307">
        <f ca="1">IF(AND($AT307&lt;3,OFFSET(DATA!$C$14,$AS307,0)=AX$6),$AV307,dNULL)</f>
        <v>-99</v>
      </c>
      <c r="AY307">
        <f ca="1">IF(AND($AT307&lt;3,OFFSET(DATA!$C$14,$AS307,0)=AY$6),$AV307,dNULL)</f>
        <v>-99</v>
      </c>
      <c r="AZ307">
        <f ca="1">IF(AND($AT307&lt;3,OFFSET(DATA!$C$14,$AS307,0)=AZ$6),$AV307,dNULL)</f>
        <v>-99</v>
      </c>
      <c r="BA307">
        <f ca="1">IF(AND($AT307&lt;3,OFFSET(DATA!$C$14,$AS307,0)=BA$6),$AV307,dNULL)</f>
        <v>-99</v>
      </c>
      <c r="BB307">
        <f ca="1">IF(AND($AT307&lt;3,OFFSET(DATA!$C$14,$AS307,0)=BB$6),$AV307,dNULL)</f>
        <v>-99</v>
      </c>
      <c r="BC307">
        <f ca="1">IF(AND($AT307&lt;3,OFFSET(DATA!$C$14,$AS307,0)=BC$6),$AV307,dNULL)</f>
        <v>-99</v>
      </c>
      <c r="BD307">
        <f ca="1">IF(AND($AT307&lt;3,OFFSET(DATA!$C$14,$AS307,0)=BD$6),$AV307,dNULL)</f>
        <v>-99</v>
      </c>
      <c r="BE307">
        <f ca="1">IF(AND($AT307&lt;3,OFFSET(DATA!$C$14,$AS307,0)=BE$6),$AV307,dNULL)</f>
        <v>-99</v>
      </c>
      <c r="BF307">
        <f ca="1">IF(AND($AT307&lt;3,OFFSET(DATA!$C$14,$AS307,0)=BF$6),$AV307,dNULL)</f>
        <v>-99</v>
      </c>
      <c r="BG307">
        <f ca="1">IF(AND($AT307&lt;3,OFFSET(DATA!$C$14,$AS307,0)=BG$6),$AV307,dNULL)</f>
        <v>-99</v>
      </c>
      <c r="BH307">
        <f ca="1">IF(AND($AT307&lt;3,OFFSET(DATA!$C$14,$AS307,0)=BH$6),$AV307,dNULL)</f>
        <v>-99</v>
      </c>
    </row>
    <row r="308" spans="25:60" x14ac:dyDescent="0.25">
      <c r="Y308" s="26"/>
      <c r="Z308" s="26"/>
      <c r="AB308" s="26" t="str">
        <f t="shared" ca="1" si="96"/>
        <v/>
      </c>
      <c r="AE308" s="7" t="str">
        <f ca="1">IF(LEN(DATA!D316)&gt;0,SUMPRODUCT(OFFSET(DATA!$R$6,AE$5,0,1,10),DATA!$R316:$AA316),"")</f>
        <v/>
      </c>
      <c r="AF308" s="7" t="str">
        <f ca="1">IF(LEN(DATA!E316)&gt;0,SUMPRODUCT(OFFSET(DATA!$R$6,AF$5,0,1,10),DATA!$R316:$AA316),"")</f>
        <v/>
      </c>
      <c r="AG308" s="7" t="str">
        <f ca="1">IF(LEN(DATA!F316)&gt;0,SUMPRODUCT(OFFSET(DATA!$R$6,AG$5,0,1,10),DATA!$R316:$AA316),"")</f>
        <v/>
      </c>
      <c r="AH308" s="7" t="str">
        <f ca="1">IF(LEN(DATA!G316)&gt;0,SUMPRODUCT(OFFSET(DATA!$R$6,AH$5,0,1,10),DATA!$R316:$AA316),"")</f>
        <v/>
      </c>
      <c r="AI308" s="7" t="str">
        <f ca="1">IF(LEN(DATA!H316)&gt;0,SUMPRODUCT(OFFSET(DATA!$R$6,AI$5,0,1,10),DATA!$R316:$AA316),"")</f>
        <v/>
      </c>
      <c r="AJ308" s="7" t="str">
        <f ca="1">IF(LEN(DATA!I316)&gt;0,SUMPRODUCT(OFFSET(DATA!$R$6,AJ$5,0,1,10),DATA!$R316:$AA316),"")</f>
        <v/>
      </c>
      <c r="AK308" s="7"/>
      <c r="AL308" s="7"/>
      <c r="AM308" s="7"/>
      <c r="AN308" s="7"/>
      <c r="AO308" s="7"/>
      <c r="AP308" s="7"/>
      <c r="AS308">
        <f t="shared" si="103"/>
        <v>32</v>
      </c>
      <c r="AT308">
        <f t="shared" si="104"/>
        <v>3</v>
      </c>
      <c r="AU308">
        <f t="shared" ca="1" si="105"/>
        <v>-99</v>
      </c>
      <c r="AV308">
        <f t="shared" ca="1" si="106"/>
        <v>-99</v>
      </c>
      <c r="AW308">
        <f ca="1">IF(AND($AT308&lt;3,OFFSET(DATA!$C$14,$AS308,0)=AW$6),$AV308,dNULL)</f>
        <v>-99</v>
      </c>
      <c r="AX308">
        <f ca="1">IF(AND($AT308&lt;3,OFFSET(DATA!$C$14,$AS308,0)=AX$6),$AV308,dNULL)</f>
        <v>-99</v>
      </c>
      <c r="AY308">
        <f ca="1">IF(AND($AT308&lt;3,OFFSET(DATA!$C$14,$AS308,0)=AY$6),$AV308,dNULL)</f>
        <v>-99</v>
      </c>
      <c r="AZ308">
        <f ca="1">IF(AND($AT308&lt;3,OFFSET(DATA!$C$14,$AS308,0)=AZ$6),$AV308,dNULL)</f>
        <v>-99</v>
      </c>
      <c r="BA308">
        <f ca="1">IF(AND($AT308&lt;3,OFFSET(DATA!$C$14,$AS308,0)=BA$6),$AV308,dNULL)</f>
        <v>-99</v>
      </c>
      <c r="BB308">
        <f ca="1">IF(AND($AT308&lt;3,OFFSET(DATA!$C$14,$AS308,0)=BB$6),$AV308,dNULL)</f>
        <v>-99</v>
      </c>
      <c r="BC308">
        <f ca="1">IF(AND($AT308&lt;3,OFFSET(DATA!$C$14,$AS308,0)=BC$6),$AV308,dNULL)</f>
        <v>-99</v>
      </c>
      <c r="BD308">
        <f ca="1">IF(AND($AT308&lt;3,OFFSET(DATA!$C$14,$AS308,0)=BD$6),$AV308,dNULL)</f>
        <v>-99</v>
      </c>
      <c r="BE308">
        <f ca="1">IF(AND($AT308&lt;3,OFFSET(DATA!$C$14,$AS308,0)=BE$6),$AV308,dNULL)</f>
        <v>-99</v>
      </c>
      <c r="BF308">
        <f ca="1">IF(AND($AT308&lt;3,OFFSET(DATA!$C$14,$AS308,0)=BF$6),$AV308,dNULL)</f>
        <v>-99</v>
      </c>
      <c r="BG308">
        <f ca="1">IF(AND($AT308&lt;3,OFFSET(DATA!$C$14,$AS308,0)=BG$6),$AV308,dNULL)</f>
        <v>-99</v>
      </c>
      <c r="BH308">
        <f ca="1">IF(AND($AT308&lt;3,OFFSET(DATA!$C$14,$AS308,0)=BH$6),$AV308,dNULL)</f>
        <v>-99</v>
      </c>
    </row>
    <row r="309" spans="25:60" x14ac:dyDescent="0.25">
      <c r="Y309" s="26"/>
      <c r="Z309" s="26"/>
      <c r="AB309" s="26" t="str">
        <f t="shared" ca="1" si="96"/>
        <v/>
      </c>
      <c r="AE309" s="7" t="str">
        <f ca="1">IF(LEN(DATA!D317)&gt;0,SUMPRODUCT(OFFSET(DATA!$R$6,AE$5,0,1,10),DATA!$R317:$AA317),"")</f>
        <v/>
      </c>
      <c r="AF309" s="7" t="str">
        <f ca="1">IF(LEN(DATA!E317)&gt;0,SUMPRODUCT(OFFSET(DATA!$R$6,AF$5,0,1,10),DATA!$R317:$AA317),"")</f>
        <v/>
      </c>
      <c r="AG309" s="7" t="str">
        <f ca="1">IF(LEN(DATA!F317)&gt;0,SUMPRODUCT(OFFSET(DATA!$R$6,AG$5,0,1,10),DATA!$R317:$AA317),"")</f>
        <v/>
      </c>
      <c r="AH309" s="7" t="str">
        <f ca="1">IF(LEN(DATA!G317)&gt;0,SUMPRODUCT(OFFSET(DATA!$R$6,AH$5,0,1,10),DATA!$R317:$AA317),"")</f>
        <v/>
      </c>
      <c r="AI309" s="7" t="str">
        <f ca="1">IF(LEN(DATA!H317)&gt;0,SUMPRODUCT(OFFSET(DATA!$R$6,AI$5,0,1,10),DATA!$R317:$AA317),"")</f>
        <v/>
      </c>
      <c r="AJ309" s="7" t="str">
        <f ca="1">IF(LEN(DATA!I317)&gt;0,SUMPRODUCT(OFFSET(DATA!$R$6,AJ$5,0,1,10),DATA!$R317:$AA317),"")</f>
        <v/>
      </c>
      <c r="AK309" s="7"/>
      <c r="AL309" s="7"/>
      <c r="AM309" s="7"/>
      <c r="AN309" s="7"/>
      <c r="AO309" s="7"/>
      <c r="AP309" s="7"/>
      <c r="AS309">
        <f t="shared" si="103"/>
        <v>33</v>
      </c>
      <c r="AT309">
        <f t="shared" si="104"/>
        <v>3</v>
      </c>
      <c r="AU309">
        <f t="shared" ca="1" si="105"/>
        <v>-99</v>
      </c>
      <c r="AV309">
        <f t="shared" ca="1" si="106"/>
        <v>-99</v>
      </c>
      <c r="AW309">
        <f ca="1">IF(AND($AT309&lt;3,OFFSET(DATA!$C$14,$AS309,0)=AW$6),$AV309,dNULL)</f>
        <v>-99</v>
      </c>
      <c r="AX309">
        <f ca="1">IF(AND($AT309&lt;3,OFFSET(DATA!$C$14,$AS309,0)=AX$6),$AV309,dNULL)</f>
        <v>-99</v>
      </c>
      <c r="AY309">
        <f ca="1">IF(AND($AT309&lt;3,OFFSET(DATA!$C$14,$AS309,0)=AY$6),$AV309,dNULL)</f>
        <v>-99</v>
      </c>
      <c r="AZ309">
        <f ca="1">IF(AND($AT309&lt;3,OFFSET(DATA!$C$14,$AS309,0)=AZ$6),$AV309,dNULL)</f>
        <v>-99</v>
      </c>
      <c r="BA309">
        <f ca="1">IF(AND($AT309&lt;3,OFFSET(DATA!$C$14,$AS309,0)=BA$6),$AV309,dNULL)</f>
        <v>-99</v>
      </c>
      <c r="BB309">
        <f ca="1">IF(AND($AT309&lt;3,OFFSET(DATA!$C$14,$AS309,0)=BB$6),$AV309,dNULL)</f>
        <v>-99</v>
      </c>
      <c r="BC309">
        <f ca="1">IF(AND($AT309&lt;3,OFFSET(DATA!$C$14,$AS309,0)=BC$6),$AV309,dNULL)</f>
        <v>-99</v>
      </c>
      <c r="BD309">
        <f ca="1">IF(AND($AT309&lt;3,OFFSET(DATA!$C$14,$AS309,0)=BD$6),$AV309,dNULL)</f>
        <v>-99</v>
      </c>
      <c r="BE309">
        <f ca="1">IF(AND($AT309&lt;3,OFFSET(DATA!$C$14,$AS309,0)=BE$6),$AV309,dNULL)</f>
        <v>-99</v>
      </c>
      <c r="BF309">
        <f ca="1">IF(AND($AT309&lt;3,OFFSET(DATA!$C$14,$AS309,0)=BF$6),$AV309,dNULL)</f>
        <v>-99</v>
      </c>
      <c r="BG309">
        <f ca="1">IF(AND($AT309&lt;3,OFFSET(DATA!$C$14,$AS309,0)=BG$6),$AV309,dNULL)</f>
        <v>-99</v>
      </c>
      <c r="BH309">
        <f ca="1">IF(AND($AT309&lt;3,OFFSET(DATA!$C$14,$AS309,0)=BH$6),$AV309,dNULL)</f>
        <v>-99</v>
      </c>
    </row>
    <row r="310" spans="25:60" x14ac:dyDescent="0.25">
      <c r="Y310" s="26"/>
      <c r="Z310" s="26"/>
      <c r="AB310" s="26" t="str">
        <f t="shared" ca="1" si="96"/>
        <v/>
      </c>
      <c r="AE310" s="7" t="str">
        <f ca="1">IF(LEN(DATA!D318)&gt;0,SUMPRODUCT(OFFSET(DATA!$R$6,AE$5,0,1,10),DATA!$R318:$AA318),"")</f>
        <v/>
      </c>
      <c r="AF310" s="7" t="str">
        <f ca="1">IF(LEN(DATA!E318)&gt;0,SUMPRODUCT(OFFSET(DATA!$R$6,AF$5,0,1,10),DATA!$R318:$AA318),"")</f>
        <v/>
      </c>
      <c r="AG310" s="7" t="str">
        <f ca="1">IF(LEN(DATA!F318)&gt;0,SUMPRODUCT(OFFSET(DATA!$R$6,AG$5,0,1,10),DATA!$R318:$AA318),"")</f>
        <v/>
      </c>
      <c r="AH310" s="7" t="str">
        <f ca="1">IF(LEN(DATA!G318)&gt;0,SUMPRODUCT(OFFSET(DATA!$R$6,AH$5,0,1,10),DATA!$R318:$AA318),"")</f>
        <v/>
      </c>
      <c r="AI310" s="7" t="str">
        <f ca="1">IF(LEN(DATA!H318)&gt;0,SUMPRODUCT(OFFSET(DATA!$R$6,AI$5,0,1,10),DATA!$R318:$AA318),"")</f>
        <v/>
      </c>
      <c r="AJ310" s="7" t="str">
        <f ca="1">IF(LEN(DATA!I318)&gt;0,SUMPRODUCT(OFFSET(DATA!$R$6,AJ$5,0,1,10),DATA!$R318:$AA318),"")</f>
        <v/>
      </c>
      <c r="AK310" s="7"/>
      <c r="AL310" s="7"/>
      <c r="AM310" s="7"/>
      <c r="AN310" s="7"/>
      <c r="AO310" s="7"/>
      <c r="AP310" s="7"/>
      <c r="AS310">
        <f t="shared" si="103"/>
        <v>34</v>
      </c>
      <c r="AT310">
        <f t="shared" si="104"/>
        <v>3</v>
      </c>
      <c r="AU310">
        <f t="shared" ca="1" si="105"/>
        <v>-99</v>
      </c>
      <c r="AV310">
        <f t="shared" ca="1" si="106"/>
        <v>-99</v>
      </c>
      <c r="AW310">
        <f ca="1">IF(AND($AT310&lt;3,OFFSET(DATA!$C$14,$AS310,0)=AW$6),$AV310,dNULL)</f>
        <v>-99</v>
      </c>
      <c r="AX310">
        <f ca="1">IF(AND($AT310&lt;3,OFFSET(DATA!$C$14,$AS310,0)=AX$6),$AV310,dNULL)</f>
        <v>-99</v>
      </c>
      <c r="AY310">
        <f ca="1">IF(AND($AT310&lt;3,OFFSET(DATA!$C$14,$AS310,0)=AY$6),$AV310,dNULL)</f>
        <v>-99</v>
      </c>
      <c r="AZ310">
        <f ca="1">IF(AND($AT310&lt;3,OFFSET(DATA!$C$14,$AS310,0)=AZ$6),$AV310,dNULL)</f>
        <v>-99</v>
      </c>
      <c r="BA310">
        <f ca="1">IF(AND($AT310&lt;3,OFFSET(DATA!$C$14,$AS310,0)=BA$6),$AV310,dNULL)</f>
        <v>-99</v>
      </c>
      <c r="BB310">
        <f ca="1">IF(AND($AT310&lt;3,OFFSET(DATA!$C$14,$AS310,0)=BB$6),$AV310,dNULL)</f>
        <v>-99</v>
      </c>
      <c r="BC310">
        <f ca="1">IF(AND($AT310&lt;3,OFFSET(DATA!$C$14,$AS310,0)=BC$6),$AV310,dNULL)</f>
        <v>-99</v>
      </c>
      <c r="BD310">
        <f ca="1">IF(AND($AT310&lt;3,OFFSET(DATA!$C$14,$AS310,0)=BD$6),$AV310,dNULL)</f>
        <v>-99</v>
      </c>
      <c r="BE310">
        <f ca="1">IF(AND($AT310&lt;3,OFFSET(DATA!$C$14,$AS310,0)=BE$6),$AV310,dNULL)</f>
        <v>-99</v>
      </c>
      <c r="BF310">
        <f ca="1">IF(AND($AT310&lt;3,OFFSET(DATA!$C$14,$AS310,0)=BF$6),$AV310,dNULL)</f>
        <v>-99</v>
      </c>
      <c r="BG310">
        <f ca="1">IF(AND($AT310&lt;3,OFFSET(DATA!$C$14,$AS310,0)=BG$6),$AV310,dNULL)</f>
        <v>-99</v>
      </c>
      <c r="BH310">
        <f ca="1">IF(AND($AT310&lt;3,OFFSET(DATA!$C$14,$AS310,0)=BH$6),$AV310,dNULL)</f>
        <v>-99</v>
      </c>
    </row>
    <row r="311" spans="25:60" x14ac:dyDescent="0.25">
      <c r="Y311" s="26"/>
      <c r="Z311" s="26"/>
      <c r="AB311" s="26" t="str">
        <f t="shared" ca="1" si="96"/>
        <v/>
      </c>
      <c r="AE311" s="7" t="str">
        <f ca="1">IF(LEN(DATA!D319)&gt;0,SUMPRODUCT(OFFSET(DATA!$R$6,AE$5,0,1,10),DATA!$R319:$AA319),"")</f>
        <v/>
      </c>
      <c r="AF311" s="7" t="str">
        <f ca="1">IF(LEN(DATA!E319)&gt;0,SUMPRODUCT(OFFSET(DATA!$R$6,AF$5,0,1,10),DATA!$R319:$AA319),"")</f>
        <v/>
      </c>
      <c r="AG311" s="7" t="str">
        <f ca="1">IF(LEN(DATA!F319)&gt;0,SUMPRODUCT(OFFSET(DATA!$R$6,AG$5,0,1,10),DATA!$R319:$AA319),"")</f>
        <v/>
      </c>
      <c r="AH311" s="7" t="str">
        <f ca="1">IF(LEN(DATA!G319)&gt;0,SUMPRODUCT(OFFSET(DATA!$R$6,AH$5,0,1,10),DATA!$R319:$AA319),"")</f>
        <v/>
      </c>
      <c r="AI311" s="7" t="str">
        <f ca="1">IF(LEN(DATA!H319)&gt;0,SUMPRODUCT(OFFSET(DATA!$R$6,AI$5,0,1,10),DATA!$R319:$AA319),"")</f>
        <v/>
      </c>
      <c r="AJ311" s="7" t="str">
        <f ca="1">IF(LEN(DATA!I319)&gt;0,SUMPRODUCT(OFFSET(DATA!$R$6,AJ$5,0,1,10),DATA!$R319:$AA319),"")</f>
        <v/>
      </c>
      <c r="AK311" s="7"/>
      <c r="AL311" s="7"/>
      <c r="AM311" s="7"/>
      <c r="AN311" s="7"/>
      <c r="AO311" s="7"/>
      <c r="AP311" s="7"/>
      <c r="AS311">
        <f t="shared" si="103"/>
        <v>35</v>
      </c>
      <c r="AT311">
        <f t="shared" si="104"/>
        <v>3</v>
      </c>
      <c r="AU311">
        <f t="shared" ca="1" si="105"/>
        <v>-99</v>
      </c>
      <c r="AV311">
        <f t="shared" ca="1" si="106"/>
        <v>-99</v>
      </c>
      <c r="AW311">
        <f ca="1">IF(AND($AT311&lt;3,OFFSET(DATA!$C$14,$AS311,0)=AW$6),$AV311,dNULL)</f>
        <v>-99</v>
      </c>
      <c r="AX311">
        <f ca="1">IF(AND($AT311&lt;3,OFFSET(DATA!$C$14,$AS311,0)=AX$6),$AV311,dNULL)</f>
        <v>-99</v>
      </c>
      <c r="AY311">
        <f ca="1">IF(AND($AT311&lt;3,OFFSET(DATA!$C$14,$AS311,0)=AY$6),$AV311,dNULL)</f>
        <v>-99</v>
      </c>
      <c r="AZ311">
        <f ca="1">IF(AND($AT311&lt;3,OFFSET(DATA!$C$14,$AS311,0)=AZ$6),$AV311,dNULL)</f>
        <v>-99</v>
      </c>
      <c r="BA311">
        <f ca="1">IF(AND($AT311&lt;3,OFFSET(DATA!$C$14,$AS311,0)=BA$6),$AV311,dNULL)</f>
        <v>-99</v>
      </c>
      <c r="BB311">
        <f ca="1">IF(AND($AT311&lt;3,OFFSET(DATA!$C$14,$AS311,0)=BB$6),$AV311,dNULL)</f>
        <v>-99</v>
      </c>
      <c r="BC311">
        <f ca="1">IF(AND($AT311&lt;3,OFFSET(DATA!$C$14,$AS311,0)=BC$6),$AV311,dNULL)</f>
        <v>-99</v>
      </c>
      <c r="BD311">
        <f ca="1">IF(AND($AT311&lt;3,OFFSET(DATA!$C$14,$AS311,0)=BD$6),$AV311,dNULL)</f>
        <v>-99</v>
      </c>
      <c r="BE311">
        <f ca="1">IF(AND($AT311&lt;3,OFFSET(DATA!$C$14,$AS311,0)=BE$6),$AV311,dNULL)</f>
        <v>-99</v>
      </c>
      <c r="BF311">
        <f ca="1">IF(AND($AT311&lt;3,OFFSET(DATA!$C$14,$AS311,0)=BF$6),$AV311,dNULL)</f>
        <v>-99</v>
      </c>
      <c r="BG311">
        <f ca="1">IF(AND($AT311&lt;3,OFFSET(DATA!$C$14,$AS311,0)=BG$6),$AV311,dNULL)</f>
        <v>-99</v>
      </c>
      <c r="BH311">
        <f ca="1">IF(AND($AT311&lt;3,OFFSET(DATA!$C$14,$AS311,0)=BH$6),$AV311,dNULL)</f>
        <v>-99</v>
      </c>
    </row>
    <row r="312" spans="25:60" x14ac:dyDescent="0.25">
      <c r="Y312" s="26"/>
      <c r="Z312" s="26"/>
      <c r="AB312" s="26" t="str">
        <f t="shared" ca="1" si="96"/>
        <v/>
      </c>
      <c r="AE312" s="7" t="str">
        <f ca="1">IF(LEN(DATA!D320)&gt;0,SUMPRODUCT(OFFSET(DATA!$R$6,AE$5,0,1,10),DATA!$R320:$AA320),"")</f>
        <v/>
      </c>
      <c r="AF312" s="7" t="str">
        <f ca="1">IF(LEN(DATA!E320)&gt;0,SUMPRODUCT(OFFSET(DATA!$R$6,AF$5,0,1,10),DATA!$R320:$AA320),"")</f>
        <v/>
      </c>
      <c r="AG312" s="7" t="str">
        <f ca="1">IF(LEN(DATA!F320)&gt;0,SUMPRODUCT(OFFSET(DATA!$R$6,AG$5,0,1,10),DATA!$R320:$AA320),"")</f>
        <v/>
      </c>
      <c r="AH312" s="7" t="str">
        <f ca="1">IF(LEN(DATA!G320)&gt;0,SUMPRODUCT(OFFSET(DATA!$R$6,AH$5,0,1,10),DATA!$R320:$AA320),"")</f>
        <v/>
      </c>
      <c r="AI312" s="7" t="str">
        <f ca="1">IF(LEN(DATA!H320)&gt;0,SUMPRODUCT(OFFSET(DATA!$R$6,AI$5,0,1,10),DATA!$R320:$AA320),"")</f>
        <v/>
      </c>
      <c r="AJ312" s="7" t="str">
        <f ca="1">IF(LEN(DATA!I320)&gt;0,SUMPRODUCT(OFFSET(DATA!$R$6,AJ$5,0,1,10),DATA!$R320:$AA320),"")</f>
        <v/>
      </c>
      <c r="AK312" s="7"/>
      <c r="AL312" s="7"/>
      <c r="AM312" s="7"/>
      <c r="AN312" s="7"/>
      <c r="AO312" s="7"/>
      <c r="AP312" s="7"/>
      <c r="AS312">
        <f t="shared" si="103"/>
        <v>36</v>
      </c>
      <c r="AT312">
        <f t="shared" si="104"/>
        <v>3</v>
      </c>
      <c r="AU312">
        <f t="shared" ca="1" si="105"/>
        <v>-99</v>
      </c>
      <c r="AV312">
        <f t="shared" ca="1" si="106"/>
        <v>-99</v>
      </c>
      <c r="AW312">
        <f ca="1">IF(AND($AT312&lt;3,OFFSET(DATA!$C$14,$AS312,0)=AW$6),$AV312,dNULL)</f>
        <v>-99</v>
      </c>
      <c r="AX312">
        <f ca="1">IF(AND($AT312&lt;3,OFFSET(DATA!$C$14,$AS312,0)=AX$6),$AV312,dNULL)</f>
        <v>-99</v>
      </c>
      <c r="AY312">
        <f ca="1">IF(AND($AT312&lt;3,OFFSET(DATA!$C$14,$AS312,0)=AY$6),$AV312,dNULL)</f>
        <v>-99</v>
      </c>
      <c r="AZ312">
        <f ca="1">IF(AND($AT312&lt;3,OFFSET(DATA!$C$14,$AS312,0)=AZ$6),$AV312,dNULL)</f>
        <v>-99</v>
      </c>
      <c r="BA312">
        <f ca="1">IF(AND($AT312&lt;3,OFFSET(DATA!$C$14,$AS312,0)=BA$6),$AV312,dNULL)</f>
        <v>-99</v>
      </c>
      <c r="BB312">
        <f ca="1">IF(AND($AT312&lt;3,OFFSET(DATA!$C$14,$AS312,0)=BB$6),$AV312,dNULL)</f>
        <v>-99</v>
      </c>
      <c r="BC312">
        <f ca="1">IF(AND($AT312&lt;3,OFFSET(DATA!$C$14,$AS312,0)=BC$6),$AV312,dNULL)</f>
        <v>-99</v>
      </c>
      <c r="BD312">
        <f ca="1">IF(AND($AT312&lt;3,OFFSET(DATA!$C$14,$AS312,0)=BD$6),$AV312,dNULL)</f>
        <v>-99</v>
      </c>
      <c r="BE312">
        <f ca="1">IF(AND($AT312&lt;3,OFFSET(DATA!$C$14,$AS312,0)=BE$6),$AV312,dNULL)</f>
        <v>-99</v>
      </c>
      <c r="BF312">
        <f ca="1">IF(AND($AT312&lt;3,OFFSET(DATA!$C$14,$AS312,0)=BF$6),$AV312,dNULL)</f>
        <v>-99</v>
      </c>
      <c r="BG312">
        <f ca="1">IF(AND($AT312&lt;3,OFFSET(DATA!$C$14,$AS312,0)=BG$6),$AV312,dNULL)</f>
        <v>-99</v>
      </c>
      <c r="BH312">
        <f ca="1">IF(AND($AT312&lt;3,OFFSET(DATA!$C$14,$AS312,0)=BH$6),$AV312,dNULL)</f>
        <v>-99</v>
      </c>
    </row>
    <row r="313" spans="25:60" x14ac:dyDescent="0.25">
      <c r="Y313" s="26"/>
      <c r="Z313" s="26"/>
      <c r="AB313" s="26" t="str">
        <f t="shared" ca="1" si="96"/>
        <v/>
      </c>
      <c r="AE313" s="7" t="str">
        <f ca="1">IF(LEN(DATA!D321)&gt;0,SUMPRODUCT(OFFSET(DATA!$R$6,AE$5,0,1,10),DATA!$R321:$AA321),"")</f>
        <v/>
      </c>
      <c r="AF313" s="7" t="str">
        <f ca="1">IF(LEN(DATA!E321)&gt;0,SUMPRODUCT(OFFSET(DATA!$R$6,AF$5,0,1,10),DATA!$R321:$AA321),"")</f>
        <v/>
      </c>
      <c r="AG313" s="7" t="str">
        <f ca="1">IF(LEN(DATA!F321)&gt;0,SUMPRODUCT(OFFSET(DATA!$R$6,AG$5,0,1,10),DATA!$R321:$AA321),"")</f>
        <v/>
      </c>
      <c r="AH313" s="7" t="str">
        <f ca="1">IF(LEN(DATA!G321)&gt;0,SUMPRODUCT(OFFSET(DATA!$R$6,AH$5,0,1,10),DATA!$R321:$AA321),"")</f>
        <v/>
      </c>
      <c r="AI313" s="7" t="str">
        <f ca="1">IF(LEN(DATA!H321)&gt;0,SUMPRODUCT(OFFSET(DATA!$R$6,AI$5,0,1,10),DATA!$R321:$AA321),"")</f>
        <v/>
      </c>
      <c r="AJ313" s="7" t="str">
        <f ca="1">IF(LEN(DATA!I321)&gt;0,SUMPRODUCT(OFFSET(DATA!$R$6,AJ$5,0,1,10),DATA!$R321:$AA321),"")</f>
        <v/>
      </c>
      <c r="AK313" s="7"/>
      <c r="AL313" s="7"/>
      <c r="AM313" s="7"/>
      <c r="AN313" s="7"/>
      <c r="AO313" s="7"/>
      <c r="AP313" s="7"/>
      <c r="AS313">
        <f t="shared" si="103"/>
        <v>37</v>
      </c>
      <c r="AT313">
        <f t="shared" si="104"/>
        <v>3</v>
      </c>
      <c r="AU313">
        <f t="shared" ca="1" si="105"/>
        <v>-99</v>
      </c>
      <c r="AV313">
        <f t="shared" ca="1" si="106"/>
        <v>-99</v>
      </c>
      <c r="AW313">
        <f ca="1">IF(AND($AT313&lt;3,OFFSET(DATA!$C$14,$AS313,0)=AW$6),$AV313,dNULL)</f>
        <v>-99</v>
      </c>
      <c r="AX313">
        <f ca="1">IF(AND($AT313&lt;3,OFFSET(DATA!$C$14,$AS313,0)=AX$6),$AV313,dNULL)</f>
        <v>-99</v>
      </c>
      <c r="AY313">
        <f ca="1">IF(AND($AT313&lt;3,OFFSET(DATA!$C$14,$AS313,0)=AY$6),$AV313,dNULL)</f>
        <v>-99</v>
      </c>
      <c r="AZ313">
        <f ca="1">IF(AND($AT313&lt;3,OFFSET(DATA!$C$14,$AS313,0)=AZ$6),$AV313,dNULL)</f>
        <v>-99</v>
      </c>
      <c r="BA313">
        <f ca="1">IF(AND($AT313&lt;3,OFFSET(DATA!$C$14,$AS313,0)=BA$6),$AV313,dNULL)</f>
        <v>-99</v>
      </c>
      <c r="BB313">
        <f ca="1">IF(AND($AT313&lt;3,OFFSET(DATA!$C$14,$AS313,0)=BB$6),$AV313,dNULL)</f>
        <v>-99</v>
      </c>
      <c r="BC313">
        <f ca="1">IF(AND($AT313&lt;3,OFFSET(DATA!$C$14,$AS313,0)=BC$6),$AV313,dNULL)</f>
        <v>-99</v>
      </c>
      <c r="BD313">
        <f ca="1">IF(AND($AT313&lt;3,OFFSET(DATA!$C$14,$AS313,0)=BD$6),$AV313,dNULL)</f>
        <v>-99</v>
      </c>
      <c r="BE313">
        <f ca="1">IF(AND($AT313&lt;3,OFFSET(DATA!$C$14,$AS313,0)=BE$6),$AV313,dNULL)</f>
        <v>-99</v>
      </c>
      <c r="BF313">
        <f ca="1">IF(AND($AT313&lt;3,OFFSET(DATA!$C$14,$AS313,0)=BF$6),$AV313,dNULL)</f>
        <v>-99</v>
      </c>
      <c r="BG313">
        <f ca="1">IF(AND($AT313&lt;3,OFFSET(DATA!$C$14,$AS313,0)=BG$6),$AV313,dNULL)</f>
        <v>-99</v>
      </c>
      <c r="BH313">
        <f ca="1">IF(AND($AT313&lt;3,OFFSET(DATA!$C$14,$AS313,0)=BH$6),$AV313,dNULL)</f>
        <v>-99</v>
      </c>
    </row>
    <row r="314" spans="25:60" x14ac:dyDescent="0.25">
      <c r="Y314" s="26"/>
      <c r="Z314" s="26"/>
      <c r="AB314" s="26" t="str">
        <f t="shared" ca="1" si="96"/>
        <v/>
      </c>
      <c r="AE314" s="7" t="str">
        <f ca="1">IF(LEN(DATA!D322)&gt;0,SUMPRODUCT(OFFSET(DATA!$R$6,AE$5,0,1,10),DATA!$R322:$AA322),"")</f>
        <v/>
      </c>
      <c r="AF314" s="7" t="str">
        <f ca="1">IF(LEN(DATA!E322)&gt;0,SUMPRODUCT(OFFSET(DATA!$R$6,AF$5,0,1,10),DATA!$R322:$AA322),"")</f>
        <v/>
      </c>
      <c r="AG314" s="7" t="str">
        <f ca="1">IF(LEN(DATA!F322)&gt;0,SUMPRODUCT(OFFSET(DATA!$R$6,AG$5,0,1,10),DATA!$R322:$AA322),"")</f>
        <v/>
      </c>
      <c r="AH314" s="7" t="str">
        <f ca="1">IF(LEN(DATA!G322)&gt;0,SUMPRODUCT(OFFSET(DATA!$R$6,AH$5,0,1,10),DATA!$R322:$AA322),"")</f>
        <v/>
      </c>
      <c r="AI314" s="7" t="str">
        <f ca="1">IF(LEN(DATA!H322)&gt;0,SUMPRODUCT(OFFSET(DATA!$R$6,AI$5,0,1,10),DATA!$R322:$AA322),"")</f>
        <v/>
      </c>
      <c r="AJ314" s="7" t="str">
        <f ca="1">IF(LEN(DATA!I322)&gt;0,SUMPRODUCT(OFFSET(DATA!$R$6,AJ$5,0,1,10),DATA!$R322:$AA322),"")</f>
        <v/>
      </c>
      <c r="AK314" s="7"/>
      <c r="AL314" s="7"/>
      <c r="AM314" s="7"/>
      <c r="AN314" s="7"/>
      <c r="AO314" s="7"/>
      <c r="AP314" s="7"/>
      <c r="AS314">
        <f t="shared" si="103"/>
        <v>38</v>
      </c>
      <c r="AT314">
        <f t="shared" si="104"/>
        <v>3</v>
      </c>
      <c r="AU314">
        <f t="shared" ca="1" si="105"/>
        <v>-99</v>
      </c>
      <c r="AV314">
        <f t="shared" ca="1" si="106"/>
        <v>-99</v>
      </c>
      <c r="AW314">
        <f ca="1">IF(AND($AT314&lt;3,OFFSET(DATA!$C$14,$AS314,0)=AW$6),$AV314,dNULL)</f>
        <v>-99</v>
      </c>
      <c r="AX314">
        <f ca="1">IF(AND($AT314&lt;3,OFFSET(DATA!$C$14,$AS314,0)=AX$6),$AV314,dNULL)</f>
        <v>-99</v>
      </c>
      <c r="AY314">
        <f ca="1">IF(AND($AT314&lt;3,OFFSET(DATA!$C$14,$AS314,0)=AY$6),$AV314,dNULL)</f>
        <v>-99</v>
      </c>
      <c r="AZ314">
        <f ca="1">IF(AND($AT314&lt;3,OFFSET(DATA!$C$14,$AS314,0)=AZ$6),$AV314,dNULL)</f>
        <v>-99</v>
      </c>
      <c r="BA314">
        <f ca="1">IF(AND($AT314&lt;3,OFFSET(DATA!$C$14,$AS314,0)=BA$6),$AV314,dNULL)</f>
        <v>-99</v>
      </c>
      <c r="BB314">
        <f ca="1">IF(AND($AT314&lt;3,OFFSET(DATA!$C$14,$AS314,0)=BB$6),$AV314,dNULL)</f>
        <v>-99</v>
      </c>
      <c r="BC314">
        <f ca="1">IF(AND($AT314&lt;3,OFFSET(DATA!$C$14,$AS314,0)=BC$6),$AV314,dNULL)</f>
        <v>-99</v>
      </c>
      <c r="BD314">
        <f ca="1">IF(AND($AT314&lt;3,OFFSET(DATA!$C$14,$AS314,0)=BD$6),$AV314,dNULL)</f>
        <v>-99</v>
      </c>
      <c r="BE314">
        <f ca="1">IF(AND($AT314&lt;3,OFFSET(DATA!$C$14,$AS314,0)=BE$6),$AV314,dNULL)</f>
        <v>-99</v>
      </c>
      <c r="BF314">
        <f ca="1">IF(AND($AT314&lt;3,OFFSET(DATA!$C$14,$AS314,0)=BF$6),$AV314,dNULL)</f>
        <v>-99</v>
      </c>
      <c r="BG314">
        <f ca="1">IF(AND($AT314&lt;3,OFFSET(DATA!$C$14,$AS314,0)=BG$6),$AV314,dNULL)</f>
        <v>-99</v>
      </c>
      <c r="BH314">
        <f ca="1">IF(AND($AT314&lt;3,OFFSET(DATA!$C$14,$AS314,0)=BH$6),$AV314,dNULL)</f>
        <v>-99</v>
      </c>
    </row>
    <row r="315" spans="25:60" x14ac:dyDescent="0.25">
      <c r="AS315">
        <f t="shared" si="103"/>
        <v>39</v>
      </c>
      <c r="AT315">
        <f t="shared" si="104"/>
        <v>3</v>
      </c>
      <c r="AU315">
        <f t="shared" ca="1" si="105"/>
        <v>-99</v>
      </c>
      <c r="AV315">
        <f t="shared" ca="1" si="106"/>
        <v>-99</v>
      </c>
      <c r="AW315">
        <f ca="1">IF(AND($AT315&lt;3,OFFSET(DATA!$C$14,$AS315,0)=AW$6),$AV315,dNULL)</f>
        <v>-99</v>
      </c>
      <c r="AX315">
        <f ca="1">IF(AND($AT315&lt;3,OFFSET(DATA!$C$14,$AS315,0)=AX$6),$AV315,dNULL)</f>
        <v>-99</v>
      </c>
      <c r="AY315">
        <f ca="1">IF(AND($AT315&lt;3,OFFSET(DATA!$C$14,$AS315,0)=AY$6),$AV315,dNULL)</f>
        <v>-99</v>
      </c>
      <c r="AZ315">
        <f ca="1">IF(AND($AT315&lt;3,OFFSET(DATA!$C$14,$AS315,0)=AZ$6),$AV315,dNULL)</f>
        <v>-99</v>
      </c>
      <c r="BA315">
        <f ca="1">IF(AND($AT315&lt;3,OFFSET(DATA!$C$14,$AS315,0)=BA$6),$AV315,dNULL)</f>
        <v>-99</v>
      </c>
      <c r="BB315">
        <f ca="1">IF(AND($AT315&lt;3,OFFSET(DATA!$C$14,$AS315,0)=BB$6),$AV315,dNULL)</f>
        <v>-99</v>
      </c>
      <c r="BC315">
        <f ca="1">IF(AND($AT315&lt;3,OFFSET(DATA!$C$14,$AS315,0)=BC$6),$AV315,dNULL)</f>
        <v>-99</v>
      </c>
      <c r="BD315">
        <f ca="1">IF(AND($AT315&lt;3,OFFSET(DATA!$C$14,$AS315,0)=BD$6),$AV315,dNULL)</f>
        <v>-99</v>
      </c>
      <c r="BE315">
        <f ca="1">IF(AND($AT315&lt;3,OFFSET(DATA!$C$14,$AS315,0)=BE$6),$AV315,dNULL)</f>
        <v>-99</v>
      </c>
      <c r="BF315">
        <f ca="1">IF(AND($AT315&lt;3,OFFSET(DATA!$C$14,$AS315,0)=BF$6),$AV315,dNULL)</f>
        <v>-99</v>
      </c>
      <c r="BG315">
        <f ca="1">IF(AND($AT315&lt;3,OFFSET(DATA!$C$14,$AS315,0)=BG$6),$AV315,dNULL)</f>
        <v>-99</v>
      </c>
      <c r="BH315">
        <f ca="1">IF(AND($AT315&lt;3,OFFSET(DATA!$C$14,$AS315,0)=BH$6),$AV315,dNULL)</f>
        <v>-99</v>
      </c>
    </row>
    <row r="316" spans="25:60" x14ac:dyDescent="0.25">
      <c r="AS316">
        <f t="shared" si="103"/>
        <v>40</v>
      </c>
      <c r="AT316">
        <f t="shared" si="104"/>
        <v>3</v>
      </c>
      <c r="AU316">
        <f t="shared" ca="1" si="105"/>
        <v>-99</v>
      </c>
      <c r="AV316">
        <f t="shared" ca="1" si="106"/>
        <v>-99</v>
      </c>
      <c r="AW316">
        <f ca="1">IF(AND($AT316&lt;3,OFFSET(DATA!$C$14,$AS316,0)=AW$6),$AV316,dNULL)</f>
        <v>-99</v>
      </c>
      <c r="AX316">
        <f ca="1">IF(AND($AT316&lt;3,OFFSET(DATA!$C$14,$AS316,0)=AX$6),$AV316,dNULL)</f>
        <v>-99</v>
      </c>
      <c r="AY316">
        <f ca="1">IF(AND($AT316&lt;3,OFFSET(DATA!$C$14,$AS316,0)=AY$6),$AV316,dNULL)</f>
        <v>-99</v>
      </c>
      <c r="AZ316">
        <f ca="1">IF(AND($AT316&lt;3,OFFSET(DATA!$C$14,$AS316,0)=AZ$6),$AV316,dNULL)</f>
        <v>-99</v>
      </c>
      <c r="BA316">
        <f ca="1">IF(AND($AT316&lt;3,OFFSET(DATA!$C$14,$AS316,0)=BA$6),$AV316,dNULL)</f>
        <v>-99</v>
      </c>
      <c r="BB316">
        <f ca="1">IF(AND($AT316&lt;3,OFFSET(DATA!$C$14,$AS316,0)=BB$6),$AV316,dNULL)</f>
        <v>-99</v>
      </c>
      <c r="BC316">
        <f ca="1">IF(AND($AT316&lt;3,OFFSET(DATA!$C$14,$AS316,0)=BC$6),$AV316,dNULL)</f>
        <v>-99</v>
      </c>
      <c r="BD316">
        <f ca="1">IF(AND($AT316&lt;3,OFFSET(DATA!$C$14,$AS316,0)=BD$6),$AV316,dNULL)</f>
        <v>-99</v>
      </c>
      <c r="BE316">
        <f ca="1">IF(AND($AT316&lt;3,OFFSET(DATA!$C$14,$AS316,0)=BE$6),$AV316,dNULL)</f>
        <v>-99</v>
      </c>
      <c r="BF316">
        <f ca="1">IF(AND($AT316&lt;3,OFFSET(DATA!$C$14,$AS316,0)=BF$6),$AV316,dNULL)</f>
        <v>-99</v>
      </c>
      <c r="BG316">
        <f ca="1">IF(AND($AT316&lt;3,OFFSET(DATA!$C$14,$AS316,0)=BG$6),$AV316,dNULL)</f>
        <v>-99</v>
      </c>
      <c r="BH316">
        <f ca="1">IF(AND($AT316&lt;3,OFFSET(DATA!$C$14,$AS316,0)=BH$6),$AV316,dNULL)</f>
        <v>-99</v>
      </c>
    </row>
    <row r="317" spans="25:60" x14ac:dyDescent="0.25">
      <c r="AS317">
        <f t="shared" si="103"/>
        <v>41</v>
      </c>
      <c r="AT317">
        <f t="shared" si="104"/>
        <v>3</v>
      </c>
      <c r="AU317">
        <f t="shared" ca="1" si="105"/>
        <v>-99</v>
      </c>
      <c r="AV317">
        <f t="shared" ca="1" si="106"/>
        <v>-99</v>
      </c>
      <c r="AW317">
        <f ca="1">IF(AND($AT317&lt;3,OFFSET(DATA!$C$14,$AS317,0)=AW$6),$AV317,dNULL)</f>
        <v>-99</v>
      </c>
      <c r="AX317">
        <f ca="1">IF(AND($AT317&lt;3,OFFSET(DATA!$C$14,$AS317,0)=AX$6),$AV317,dNULL)</f>
        <v>-99</v>
      </c>
      <c r="AY317">
        <f ca="1">IF(AND($AT317&lt;3,OFFSET(DATA!$C$14,$AS317,0)=AY$6),$AV317,dNULL)</f>
        <v>-99</v>
      </c>
      <c r="AZ317">
        <f ca="1">IF(AND($AT317&lt;3,OFFSET(DATA!$C$14,$AS317,0)=AZ$6),$AV317,dNULL)</f>
        <v>-99</v>
      </c>
      <c r="BA317">
        <f ca="1">IF(AND($AT317&lt;3,OFFSET(DATA!$C$14,$AS317,0)=BA$6),$AV317,dNULL)</f>
        <v>-99</v>
      </c>
      <c r="BB317">
        <f ca="1">IF(AND($AT317&lt;3,OFFSET(DATA!$C$14,$AS317,0)=BB$6),$AV317,dNULL)</f>
        <v>-99</v>
      </c>
      <c r="BC317">
        <f ca="1">IF(AND($AT317&lt;3,OFFSET(DATA!$C$14,$AS317,0)=BC$6),$AV317,dNULL)</f>
        <v>-99</v>
      </c>
      <c r="BD317">
        <f ca="1">IF(AND($AT317&lt;3,OFFSET(DATA!$C$14,$AS317,0)=BD$6),$AV317,dNULL)</f>
        <v>-99</v>
      </c>
      <c r="BE317">
        <f ca="1">IF(AND($AT317&lt;3,OFFSET(DATA!$C$14,$AS317,0)=BE$6),$AV317,dNULL)</f>
        <v>-99</v>
      </c>
      <c r="BF317">
        <f ca="1">IF(AND($AT317&lt;3,OFFSET(DATA!$C$14,$AS317,0)=BF$6),$AV317,dNULL)</f>
        <v>-99</v>
      </c>
      <c r="BG317">
        <f ca="1">IF(AND($AT317&lt;3,OFFSET(DATA!$C$14,$AS317,0)=BG$6),$AV317,dNULL)</f>
        <v>-99</v>
      </c>
      <c r="BH317">
        <f ca="1">IF(AND($AT317&lt;3,OFFSET(DATA!$C$14,$AS317,0)=BH$6),$AV317,dNULL)</f>
        <v>-99</v>
      </c>
    </row>
    <row r="318" spans="25:60" x14ac:dyDescent="0.25">
      <c r="AS318">
        <f t="shared" si="103"/>
        <v>42</v>
      </c>
      <c r="AT318">
        <f t="shared" si="104"/>
        <v>3</v>
      </c>
      <c r="AU318">
        <f t="shared" ca="1" si="105"/>
        <v>-99</v>
      </c>
      <c r="AV318">
        <f t="shared" ca="1" si="106"/>
        <v>-99</v>
      </c>
      <c r="AW318">
        <f ca="1">IF(AND($AT318&lt;3,OFFSET(DATA!$C$14,$AS318,0)=AW$6),$AV318,dNULL)</f>
        <v>-99</v>
      </c>
      <c r="AX318">
        <f ca="1">IF(AND($AT318&lt;3,OFFSET(DATA!$C$14,$AS318,0)=AX$6),$AV318,dNULL)</f>
        <v>-99</v>
      </c>
      <c r="AY318">
        <f ca="1">IF(AND($AT318&lt;3,OFFSET(DATA!$C$14,$AS318,0)=AY$6),$AV318,dNULL)</f>
        <v>-99</v>
      </c>
      <c r="AZ318">
        <f ca="1">IF(AND($AT318&lt;3,OFFSET(DATA!$C$14,$AS318,0)=AZ$6),$AV318,dNULL)</f>
        <v>-99</v>
      </c>
      <c r="BA318">
        <f ca="1">IF(AND($AT318&lt;3,OFFSET(DATA!$C$14,$AS318,0)=BA$6),$AV318,dNULL)</f>
        <v>-99</v>
      </c>
      <c r="BB318">
        <f ca="1">IF(AND($AT318&lt;3,OFFSET(DATA!$C$14,$AS318,0)=BB$6),$AV318,dNULL)</f>
        <v>-99</v>
      </c>
      <c r="BC318">
        <f ca="1">IF(AND($AT318&lt;3,OFFSET(DATA!$C$14,$AS318,0)=BC$6),$AV318,dNULL)</f>
        <v>-99</v>
      </c>
      <c r="BD318">
        <f ca="1">IF(AND($AT318&lt;3,OFFSET(DATA!$C$14,$AS318,0)=BD$6),$AV318,dNULL)</f>
        <v>-99</v>
      </c>
      <c r="BE318">
        <f ca="1">IF(AND($AT318&lt;3,OFFSET(DATA!$C$14,$AS318,0)=BE$6),$AV318,dNULL)</f>
        <v>-99</v>
      </c>
      <c r="BF318">
        <f ca="1">IF(AND($AT318&lt;3,OFFSET(DATA!$C$14,$AS318,0)=BF$6),$AV318,dNULL)</f>
        <v>-99</v>
      </c>
      <c r="BG318">
        <f ca="1">IF(AND($AT318&lt;3,OFFSET(DATA!$C$14,$AS318,0)=BG$6),$AV318,dNULL)</f>
        <v>-99</v>
      </c>
      <c r="BH318">
        <f ca="1">IF(AND($AT318&lt;3,OFFSET(DATA!$C$14,$AS318,0)=BH$6),$AV318,dNULL)</f>
        <v>-99</v>
      </c>
    </row>
    <row r="319" spans="25:60" x14ac:dyDescent="0.25">
      <c r="AS319">
        <f t="shared" si="103"/>
        <v>43</v>
      </c>
      <c r="AT319">
        <f t="shared" si="104"/>
        <v>3</v>
      </c>
      <c r="AU319">
        <f t="shared" ca="1" si="105"/>
        <v>-99</v>
      </c>
      <c r="AV319">
        <f t="shared" ca="1" si="106"/>
        <v>-99</v>
      </c>
      <c r="AW319">
        <f ca="1">IF(AND($AT319&lt;3,OFFSET(DATA!$C$14,$AS319,0)=AW$6),$AV319,dNULL)</f>
        <v>-99</v>
      </c>
      <c r="AX319">
        <f ca="1">IF(AND($AT319&lt;3,OFFSET(DATA!$C$14,$AS319,0)=AX$6),$AV319,dNULL)</f>
        <v>-99</v>
      </c>
      <c r="AY319">
        <f ca="1">IF(AND($AT319&lt;3,OFFSET(DATA!$C$14,$AS319,0)=AY$6),$AV319,dNULL)</f>
        <v>-99</v>
      </c>
      <c r="AZ319">
        <f ca="1">IF(AND($AT319&lt;3,OFFSET(DATA!$C$14,$AS319,0)=AZ$6),$AV319,dNULL)</f>
        <v>-99</v>
      </c>
      <c r="BA319">
        <f ca="1">IF(AND($AT319&lt;3,OFFSET(DATA!$C$14,$AS319,0)=BA$6),$AV319,dNULL)</f>
        <v>-99</v>
      </c>
      <c r="BB319">
        <f ca="1">IF(AND($AT319&lt;3,OFFSET(DATA!$C$14,$AS319,0)=BB$6),$AV319,dNULL)</f>
        <v>-99</v>
      </c>
      <c r="BC319">
        <f ca="1">IF(AND($AT319&lt;3,OFFSET(DATA!$C$14,$AS319,0)=BC$6),$AV319,dNULL)</f>
        <v>-99</v>
      </c>
      <c r="BD319">
        <f ca="1">IF(AND($AT319&lt;3,OFFSET(DATA!$C$14,$AS319,0)=BD$6),$AV319,dNULL)</f>
        <v>-99</v>
      </c>
      <c r="BE319">
        <f ca="1">IF(AND($AT319&lt;3,OFFSET(DATA!$C$14,$AS319,0)=BE$6),$AV319,dNULL)</f>
        <v>-99</v>
      </c>
      <c r="BF319">
        <f ca="1">IF(AND($AT319&lt;3,OFFSET(DATA!$C$14,$AS319,0)=BF$6),$AV319,dNULL)</f>
        <v>-99</v>
      </c>
      <c r="BG319">
        <f ca="1">IF(AND($AT319&lt;3,OFFSET(DATA!$C$14,$AS319,0)=BG$6),$AV319,dNULL)</f>
        <v>-99</v>
      </c>
      <c r="BH319">
        <f ca="1">IF(AND($AT319&lt;3,OFFSET(DATA!$C$14,$AS319,0)=BH$6),$AV319,dNULL)</f>
        <v>-99</v>
      </c>
    </row>
    <row r="320" spans="25:60" x14ac:dyDescent="0.25">
      <c r="AS320">
        <f t="shared" si="103"/>
        <v>44</v>
      </c>
      <c r="AT320">
        <f t="shared" si="104"/>
        <v>3</v>
      </c>
      <c r="AU320">
        <f t="shared" ca="1" si="105"/>
        <v>-99</v>
      </c>
      <c r="AV320">
        <f t="shared" ca="1" si="106"/>
        <v>-99</v>
      </c>
      <c r="AW320">
        <f ca="1">IF(AND($AT320&lt;3,OFFSET(DATA!$C$14,$AS320,0)=AW$6),$AV320,dNULL)</f>
        <v>-99</v>
      </c>
      <c r="AX320">
        <f ca="1">IF(AND($AT320&lt;3,OFFSET(DATA!$C$14,$AS320,0)=AX$6),$AV320,dNULL)</f>
        <v>-99</v>
      </c>
      <c r="AY320">
        <f ca="1">IF(AND($AT320&lt;3,OFFSET(DATA!$C$14,$AS320,0)=AY$6),$AV320,dNULL)</f>
        <v>-99</v>
      </c>
      <c r="AZ320">
        <f ca="1">IF(AND($AT320&lt;3,OFFSET(DATA!$C$14,$AS320,0)=AZ$6),$AV320,dNULL)</f>
        <v>-99</v>
      </c>
      <c r="BA320">
        <f ca="1">IF(AND($AT320&lt;3,OFFSET(DATA!$C$14,$AS320,0)=BA$6),$AV320,dNULL)</f>
        <v>-99</v>
      </c>
      <c r="BB320">
        <f ca="1">IF(AND($AT320&lt;3,OFFSET(DATA!$C$14,$AS320,0)=BB$6),$AV320,dNULL)</f>
        <v>-99</v>
      </c>
      <c r="BC320">
        <f ca="1">IF(AND($AT320&lt;3,OFFSET(DATA!$C$14,$AS320,0)=BC$6),$AV320,dNULL)</f>
        <v>-99</v>
      </c>
      <c r="BD320">
        <f ca="1">IF(AND($AT320&lt;3,OFFSET(DATA!$C$14,$AS320,0)=BD$6),$AV320,dNULL)</f>
        <v>-99</v>
      </c>
      <c r="BE320">
        <f ca="1">IF(AND($AT320&lt;3,OFFSET(DATA!$C$14,$AS320,0)=BE$6),$AV320,dNULL)</f>
        <v>-99</v>
      </c>
      <c r="BF320">
        <f ca="1">IF(AND($AT320&lt;3,OFFSET(DATA!$C$14,$AS320,0)=BF$6),$AV320,dNULL)</f>
        <v>-99</v>
      </c>
      <c r="BG320">
        <f ca="1">IF(AND($AT320&lt;3,OFFSET(DATA!$C$14,$AS320,0)=BG$6),$AV320,dNULL)</f>
        <v>-99</v>
      </c>
      <c r="BH320">
        <f ca="1">IF(AND($AT320&lt;3,OFFSET(DATA!$C$14,$AS320,0)=BH$6),$AV320,dNULL)</f>
        <v>-99</v>
      </c>
    </row>
    <row r="321" spans="45:60" x14ac:dyDescent="0.25">
      <c r="AS321">
        <f t="shared" si="103"/>
        <v>45</v>
      </c>
      <c r="AT321">
        <f t="shared" si="104"/>
        <v>3</v>
      </c>
      <c r="AU321">
        <f t="shared" ca="1" si="105"/>
        <v>-99</v>
      </c>
      <c r="AV321">
        <f t="shared" ca="1" si="106"/>
        <v>-99</v>
      </c>
      <c r="AW321">
        <f ca="1">IF(AND($AT321&lt;3,OFFSET(DATA!$C$14,$AS321,0)=AW$6),$AV321,dNULL)</f>
        <v>-99</v>
      </c>
      <c r="AX321">
        <f ca="1">IF(AND($AT321&lt;3,OFFSET(DATA!$C$14,$AS321,0)=AX$6),$AV321,dNULL)</f>
        <v>-99</v>
      </c>
      <c r="AY321">
        <f ca="1">IF(AND($AT321&lt;3,OFFSET(DATA!$C$14,$AS321,0)=AY$6),$AV321,dNULL)</f>
        <v>-99</v>
      </c>
      <c r="AZ321">
        <f ca="1">IF(AND($AT321&lt;3,OFFSET(DATA!$C$14,$AS321,0)=AZ$6),$AV321,dNULL)</f>
        <v>-99</v>
      </c>
      <c r="BA321">
        <f ca="1">IF(AND($AT321&lt;3,OFFSET(DATA!$C$14,$AS321,0)=BA$6),$AV321,dNULL)</f>
        <v>-99</v>
      </c>
      <c r="BB321">
        <f ca="1">IF(AND($AT321&lt;3,OFFSET(DATA!$C$14,$AS321,0)=BB$6),$AV321,dNULL)</f>
        <v>-99</v>
      </c>
      <c r="BC321">
        <f ca="1">IF(AND($AT321&lt;3,OFFSET(DATA!$C$14,$AS321,0)=BC$6),$AV321,dNULL)</f>
        <v>-99</v>
      </c>
      <c r="BD321">
        <f ca="1">IF(AND($AT321&lt;3,OFFSET(DATA!$C$14,$AS321,0)=BD$6),$AV321,dNULL)</f>
        <v>-99</v>
      </c>
      <c r="BE321">
        <f ca="1">IF(AND($AT321&lt;3,OFFSET(DATA!$C$14,$AS321,0)=BE$6),$AV321,dNULL)</f>
        <v>-99</v>
      </c>
      <c r="BF321">
        <f ca="1">IF(AND($AT321&lt;3,OFFSET(DATA!$C$14,$AS321,0)=BF$6),$AV321,dNULL)</f>
        <v>-99</v>
      </c>
      <c r="BG321">
        <f ca="1">IF(AND($AT321&lt;3,OFFSET(DATA!$C$14,$AS321,0)=BG$6),$AV321,dNULL)</f>
        <v>-99</v>
      </c>
      <c r="BH321">
        <f ca="1">IF(AND($AT321&lt;3,OFFSET(DATA!$C$14,$AS321,0)=BH$6),$AV321,dNULL)</f>
        <v>-99</v>
      </c>
    </row>
    <row r="322" spans="45:60" x14ac:dyDescent="0.25">
      <c r="AS322">
        <f t="shared" si="103"/>
        <v>46</v>
      </c>
      <c r="AT322">
        <f t="shared" si="104"/>
        <v>3</v>
      </c>
      <c r="AU322">
        <f t="shared" ca="1" si="105"/>
        <v>-99</v>
      </c>
      <c r="AV322">
        <f t="shared" ca="1" si="106"/>
        <v>-99</v>
      </c>
      <c r="AW322">
        <f ca="1">IF(AND($AT322&lt;3,OFFSET(DATA!$C$14,$AS322,0)=AW$6),$AV322,dNULL)</f>
        <v>-99</v>
      </c>
      <c r="AX322">
        <f ca="1">IF(AND($AT322&lt;3,OFFSET(DATA!$C$14,$AS322,0)=AX$6),$AV322,dNULL)</f>
        <v>-99</v>
      </c>
      <c r="AY322">
        <f ca="1">IF(AND($AT322&lt;3,OFFSET(DATA!$C$14,$AS322,0)=AY$6),$AV322,dNULL)</f>
        <v>-99</v>
      </c>
      <c r="AZ322">
        <f ca="1">IF(AND($AT322&lt;3,OFFSET(DATA!$C$14,$AS322,0)=AZ$6),$AV322,dNULL)</f>
        <v>-99</v>
      </c>
      <c r="BA322">
        <f ca="1">IF(AND($AT322&lt;3,OFFSET(DATA!$C$14,$AS322,0)=BA$6),$AV322,dNULL)</f>
        <v>-99</v>
      </c>
      <c r="BB322">
        <f ca="1">IF(AND($AT322&lt;3,OFFSET(DATA!$C$14,$AS322,0)=BB$6),$AV322,dNULL)</f>
        <v>-99</v>
      </c>
      <c r="BC322">
        <f ca="1">IF(AND($AT322&lt;3,OFFSET(DATA!$C$14,$AS322,0)=BC$6),$AV322,dNULL)</f>
        <v>-99</v>
      </c>
      <c r="BD322">
        <f ca="1">IF(AND($AT322&lt;3,OFFSET(DATA!$C$14,$AS322,0)=BD$6),$AV322,dNULL)</f>
        <v>-99</v>
      </c>
      <c r="BE322">
        <f ca="1">IF(AND($AT322&lt;3,OFFSET(DATA!$C$14,$AS322,0)=BE$6),$AV322,dNULL)</f>
        <v>-99</v>
      </c>
      <c r="BF322">
        <f ca="1">IF(AND($AT322&lt;3,OFFSET(DATA!$C$14,$AS322,0)=BF$6),$AV322,dNULL)</f>
        <v>-99</v>
      </c>
      <c r="BG322">
        <f ca="1">IF(AND($AT322&lt;3,OFFSET(DATA!$C$14,$AS322,0)=BG$6),$AV322,dNULL)</f>
        <v>-99</v>
      </c>
      <c r="BH322">
        <f ca="1">IF(AND($AT322&lt;3,OFFSET(DATA!$C$14,$AS322,0)=BH$6),$AV322,dNULL)</f>
        <v>-99</v>
      </c>
    </row>
    <row r="323" spans="45:60" x14ac:dyDescent="0.25">
      <c r="AS323">
        <f t="shared" si="103"/>
        <v>47</v>
      </c>
      <c r="AT323">
        <f t="shared" si="104"/>
        <v>3</v>
      </c>
      <c r="AU323">
        <f t="shared" ca="1" si="105"/>
        <v>-99</v>
      </c>
      <c r="AV323">
        <f t="shared" ca="1" si="106"/>
        <v>-99</v>
      </c>
      <c r="AW323">
        <f ca="1">IF(AND($AT323&lt;3,OFFSET(DATA!$C$14,$AS323,0)=AW$6),$AV323,dNULL)</f>
        <v>-99</v>
      </c>
      <c r="AX323">
        <f ca="1">IF(AND($AT323&lt;3,OFFSET(DATA!$C$14,$AS323,0)=AX$6),$AV323,dNULL)</f>
        <v>-99</v>
      </c>
      <c r="AY323">
        <f ca="1">IF(AND($AT323&lt;3,OFFSET(DATA!$C$14,$AS323,0)=AY$6),$AV323,dNULL)</f>
        <v>-99</v>
      </c>
      <c r="AZ323">
        <f ca="1">IF(AND($AT323&lt;3,OFFSET(DATA!$C$14,$AS323,0)=AZ$6),$AV323,dNULL)</f>
        <v>-99</v>
      </c>
      <c r="BA323">
        <f ca="1">IF(AND($AT323&lt;3,OFFSET(DATA!$C$14,$AS323,0)=BA$6),$AV323,dNULL)</f>
        <v>-99</v>
      </c>
      <c r="BB323">
        <f ca="1">IF(AND($AT323&lt;3,OFFSET(DATA!$C$14,$AS323,0)=BB$6),$AV323,dNULL)</f>
        <v>-99</v>
      </c>
      <c r="BC323">
        <f ca="1">IF(AND($AT323&lt;3,OFFSET(DATA!$C$14,$AS323,0)=BC$6),$AV323,dNULL)</f>
        <v>-99</v>
      </c>
      <c r="BD323">
        <f ca="1">IF(AND($AT323&lt;3,OFFSET(DATA!$C$14,$AS323,0)=BD$6),$AV323,dNULL)</f>
        <v>-99</v>
      </c>
      <c r="BE323">
        <f ca="1">IF(AND($AT323&lt;3,OFFSET(DATA!$C$14,$AS323,0)=BE$6),$AV323,dNULL)</f>
        <v>-99</v>
      </c>
      <c r="BF323">
        <f ca="1">IF(AND($AT323&lt;3,OFFSET(DATA!$C$14,$AS323,0)=BF$6),$AV323,dNULL)</f>
        <v>-99</v>
      </c>
      <c r="BG323">
        <f ca="1">IF(AND($AT323&lt;3,OFFSET(DATA!$C$14,$AS323,0)=BG$6),$AV323,dNULL)</f>
        <v>-99</v>
      </c>
      <c r="BH323">
        <f ca="1">IF(AND($AT323&lt;3,OFFSET(DATA!$C$14,$AS323,0)=BH$6),$AV323,dNULL)</f>
        <v>-99</v>
      </c>
    </row>
    <row r="324" spans="45:60" x14ac:dyDescent="0.25">
      <c r="AS324">
        <f t="shared" si="103"/>
        <v>48</v>
      </c>
      <c r="AT324">
        <f t="shared" si="104"/>
        <v>3</v>
      </c>
      <c r="AU324">
        <f t="shared" ca="1" si="105"/>
        <v>-99</v>
      </c>
      <c r="AV324">
        <f t="shared" ca="1" si="106"/>
        <v>-99</v>
      </c>
      <c r="AW324">
        <f ca="1">IF(AND($AT324&lt;3,OFFSET(DATA!$C$14,$AS324,0)=AW$6),$AV324,dNULL)</f>
        <v>-99</v>
      </c>
      <c r="AX324">
        <f ca="1">IF(AND($AT324&lt;3,OFFSET(DATA!$C$14,$AS324,0)=AX$6),$AV324,dNULL)</f>
        <v>-99</v>
      </c>
      <c r="AY324">
        <f ca="1">IF(AND($AT324&lt;3,OFFSET(DATA!$C$14,$AS324,0)=AY$6),$AV324,dNULL)</f>
        <v>-99</v>
      </c>
      <c r="AZ324">
        <f ca="1">IF(AND($AT324&lt;3,OFFSET(DATA!$C$14,$AS324,0)=AZ$6),$AV324,dNULL)</f>
        <v>-99</v>
      </c>
      <c r="BA324">
        <f ca="1">IF(AND($AT324&lt;3,OFFSET(DATA!$C$14,$AS324,0)=BA$6),$AV324,dNULL)</f>
        <v>-99</v>
      </c>
      <c r="BB324">
        <f ca="1">IF(AND($AT324&lt;3,OFFSET(DATA!$C$14,$AS324,0)=BB$6),$AV324,dNULL)</f>
        <v>-99</v>
      </c>
      <c r="BC324">
        <f ca="1">IF(AND($AT324&lt;3,OFFSET(DATA!$C$14,$AS324,0)=BC$6),$AV324,dNULL)</f>
        <v>-99</v>
      </c>
      <c r="BD324">
        <f ca="1">IF(AND($AT324&lt;3,OFFSET(DATA!$C$14,$AS324,0)=BD$6),$AV324,dNULL)</f>
        <v>-99</v>
      </c>
      <c r="BE324">
        <f ca="1">IF(AND($AT324&lt;3,OFFSET(DATA!$C$14,$AS324,0)=BE$6),$AV324,dNULL)</f>
        <v>-99</v>
      </c>
      <c r="BF324">
        <f ca="1">IF(AND($AT324&lt;3,OFFSET(DATA!$C$14,$AS324,0)=BF$6),$AV324,dNULL)</f>
        <v>-99</v>
      </c>
      <c r="BG324">
        <f ca="1">IF(AND($AT324&lt;3,OFFSET(DATA!$C$14,$AS324,0)=BG$6),$AV324,dNULL)</f>
        <v>-99</v>
      </c>
      <c r="BH324">
        <f ca="1">IF(AND($AT324&lt;3,OFFSET(DATA!$C$14,$AS324,0)=BH$6),$AV324,dNULL)</f>
        <v>-99</v>
      </c>
    </row>
    <row r="325" spans="45:60" x14ac:dyDescent="0.25">
      <c r="AS325">
        <f t="shared" si="103"/>
        <v>49</v>
      </c>
      <c r="AT325">
        <f t="shared" si="104"/>
        <v>3</v>
      </c>
      <c r="AU325">
        <f t="shared" ca="1" si="105"/>
        <v>-99</v>
      </c>
      <c r="AV325">
        <f t="shared" ca="1" si="106"/>
        <v>-99</v>
      </c>
      <c r="AW325">
        <f ca="1">IF(AND($AT325&lt;3,OFFSET(DATA!$C$14,$AS325,0)=AW$6),$AV325,dNULL)</f>
        <v>-99</v>
      </c>
      <c r="AX325">
        <f ca="1">IF(AND($AT325&lt;3,OFFSET(DATA!$C$14,$AS325,0)=AX$6),$AV325,dNULL)</f>
        <v>-99</v>
      </c>
      <c r="AY325">
        <f ca="1">IF(AND($AT325&lt;3,OFFSET(DATA!$C$14,$AS325,0)=AY$6),$AV325,dNULL)</f>
        <v>-99</v>
      </c>
      <c r="AZ325">
        <f ca="1">IF(AND($AT325&lt;3,OFFSET(DATA!$C$14,$AS325,0)=AZ$6),$AV325,dNULL)</f>
        <v>-99</v>
      </c>
      <c r="BA325">
        <f ca="1">IF(AND($AT325&lt;3,OFFSET(DATA!$C$14,$AS325,0)=BA$6),$AV325,dNULL)</f>
        <v>-99</v>
      </c>
      <c r="BB325">
        <f ca="1">IF(AND($AT325&lt;3,OFFSET(DATA!$C$14,$AS325,0)=BB$6),$AV325,dNULL)</f>
        <v>-99</v>
      </c>
      <c r="BC325">
        <f ca="1">IF(AND($AT325&lt;3,OFFSET(DATA!$C$14,$AS325,0)=BC$6),$AV325,dNULL)</f>
        <v>-99</v>
      </c>
      <c r="BD325">
        <f ca="1">IF(AND($AT325&lt;3,OFFSET(DATA!$C$14,$AS325,0)=BD$6),$AV325,dNULL)</f>
        <v>-99</v>
      </c>
      <c r="BE325">
        <f ca="1">IF(AND($AT325&lt;3,OFFSET(DATA!$C$14,$AS325,0)=BE$6),$AV325,dNULL)</f>
        <v>-99</v>
      </c>
      <c r="BF325">
        <f ca="1">IF(AND($AT325&lt;3,OFFSET(DATA!$C$14,$AS325,0)=BF$6),$AV325,dNULL)</f>
        <v>-99</v>
      </c>
      <c r="BG325">
        <f ca="1">IF(AND($AT325&lt;3,OFFSET(DATA!$C$14,$AS325,0)=BG$6),$AV325,dNULL)</f>
        <v>-99</v>
      </c>
      <c r="BH325">
        <f ca="1">IF(AND($AT325&lt;3,OFFSET(DATA!$C$14,$AS325,0)=BH$6),$AV325,dNULL)</f>
        <v>-99</v>
      </c>
    </row>
    <row r="326" spans="45:60" x14ac:dyDescent="0.25">
      <c r="AS326">
        <f t="shared" si="103"/>
        <v>50</v>
      </c>
      <c r="AT326">
        <f t="shared" si="104"/>
        <v>3</v>
      </c>
      <c r="AU326">
        <f t="shared" ca="1" si="105"/>
        <v>-99</v>
      </c>
      <c r="AV326">
        <f t="shared" ca="1" si="106"/>
        <v>-99</v>
      </c>
      <c r="AW326">
        <f ca="1">IF(AND($AT326&lt;3,OFFSET(DATA!$C$14,$AS326,0)=AW$6),$AV326,dNULL)</f>
        <v>-99</v>
      </c>
      <c r="AX326">
        <f ca="1">IF(AND($AT326&lt;3,OFFSET(DATA!$C$14,$AS326,0)=AX$6),$AV326,dNULL)</f>
        <v>-99</v>
      </c>
      <c r="AY326">
        <f ca="1">IF(AND($AT326&lt;3,OFFSET(DATA!$C$14,$AS326,0)=AY$6),$AV326,dNULL)</f>
        <v>-99</v>
      </c>
      <c r="AZ326">
        <f ca="1">IF(AND($AT326&lt;3,OFFSET(DATA!$C$14,$AS326,0)=AZ$6),$AV326,dNULL)</f>
        <v>-99</v>
      </c>
      <c r="BA326">
        <f ca="1">IF(AND($AT326&lt;3,OFFSET(DATA!$C$14,$AS326,0)=BA$6),$AV326,dNULL)</f>
        <v>-99</v>
      </c>
      <c r="BB326">
        <f ca="1">IF(AND($AT326&lt;3,OFFSET(DATA!$C$14,$AS326,0)=BB$6),$AV326,dNULL)</f>
        <v>-99</v>
      </c>
      <c r="BC326">
        <f ca="1">IF(AND($AT326&lt;3,OFFSET(DATA!$C$14,$AS326,0)=BC$6),$AV326,dNULL)</f>
        <v>-99</v>
      </c>
      <c r="BD326">
        <f ca="1">IF(AND($AT326&lt;3,OFFSET(DATA!$C$14,$AS326,0)=BD$6),$AV326,dNULL)</f>
        <v>-99</v>
      </c>
      <c r="BE326">
        <f ca="1">IF(AND($AT326&lt;3,OFFSET(DATA!$C$14,$AS326,0)=BE$6),$AV326,dNULL)</f>
        <v>-99</v>
      </c>
      <c r="BF326">
        <f ca="1">IF(AND($AT326&lt;3,OFFSET(DATA!$C$14,$AS326,0)=BF$6),$AV326,dNULL)</f>
        <v>-99</v>
      </c>
      <c r="BG326">
        <f ca="1">IF(AND($AT326&lt;3,OFFSET(DATA!$C$14,$AS326,0)=BG$6),$AV326,dNULL)</f>
        <v>-99</v>
      </c>
      <c r="BH326">
        <f ca="1">IF(AND($AT326&lt;3,OFFSET(DATA!$C$14,$AS326,0)=BH$6),$AV326,dNULL)</f>
        <v>-99</v>
      </c>
    </row>
    <row r="327" spans="45:60" x14ac:dyDescent="0.25">
      <c r="AS327">
        <f t="shared" ref="AS327:AS390" si="108">MOD(ROW(AT327)-ROW($AT$7),lCNTsites)+1</f>
        <v>51</v>
      </c>
      <c r="AT327">
        <f t="shared" ref="AT327:AT390" si="109">INT((ROW(AT327)-ROW($AT$7))/lCNTsites)</f>
        <v>3</v>
      </c>
      <c r="AU327">
        <f t="shared" ref="AU327:AU390" ca="1" si="110">IF($AT327=0,(1-OFFSET($AL$6,$AS327,$AT327*2))-OFFSET($AL$6,$AS327,$AT327*2+1)*$K$8,IF($AT327=1,dAnionOFF+1+OFFSET($AL$6,$AS327,$AT327*2)+OFFSET($AL$6,$AS327,$AT327*2+1)/2,IF($AT327=2,$K$17-(1-OFFSET($AL$6,$AS327,$AT327*2))*0.5+(1-OFFSET($AL$6,$AS327,$AT327*2+1))*0.5,dNULL)))</f>
        <v>-99</v>
      </c>
      <c r="AV327">
        <f t="shared" ref="AV327:AV390" ca="1" si="111">IF($AT327=0,OFFSET($AL$6,$AS327,$AT327*2+1)*$L$8,IF($AT327=1,OFFSET($AL$6,$AS327,$AT327*2+1)*3^0.5/2,IF($AT327=2,$L$17+(2-OFFSET($AL$6,$AS327,$AT327*2)-OFFSET($AL$6,$AS327,$AT327*2+1))*$L$8,dNULL)))</f>
        <v>-99</v>
      </c>
      <c r="AW327">
        <f ca="1">IF(AND($AT327&lt;3,OFFSET(DATA!$C$14,$AS327,0)=AW$6),$AV327,dNULL)</f>
        <v>-99</v>
      </c>
      <c r="AX327">
        <f ca="1">IF(AND($AT327&lt;3,OFFSET(DATA!$C$14,$AS327,0)=AX$6),$AV327,dNULL)</f>
        <v>-99</v>
      </c>
      <c r="AY327">
        <f ca="1">IF(AND($AT327&lt;3,OFFSET(DATA!$C$14,$AS327,0)=AY$6),$AV327,dNULL)</f>
        <v>-99</v>
      </c>
      <c r="AZ327">
        <f ca="1">IF(AND($AT327&lt;3,OFFSET(DATA!$C$14,$AS327,0)=AZ$6),$AV327,dNULL)</f>
        <v>-99</v>
      </c>
      <c r="BA327">
        <f ca="1">IF(AND($AT327&lt;3,OFFSET(DATA!$C$14,$AS327,0)=BA$6),$AV327,dNULL)</f>
        <v>-99</v>
      </c>
      <c r="BB327">
        <f ca="1">IF(AND($AT327&lt;3,OFFSET(DATA!$C$14,$AS327,0)=BB$6),$AV327,dNULL)</f>
        <v>-99</v>
      </c>
      <c r="BC327">
        <f ca="1">IF(AND($AT327&lt;3,OFFSET(DATA!$C$14,$AS327,0)=BC$6),$AV327,dNULL)</f>
        <v>-99</v>
      </c>
      <c r="BD327">
        <f ca="1">IF(AND($AT327&lt;3,OFFSET(DATA!$C$14,$AS327,0)=BD$6),$AV327,dNULL)</f>
        <v>-99</v>
      </c>
      <c r="BE327">
        <f ca="1">IF(AND($AT327&lt;3,OFFSET(DATA!$C$14,$AS327,0)=BE$6),$AV327,dNULL)</f>
        <v>-99</v>
      </c>
      <c r="BF327">
        <f ca="1">IF(AND($AT327&lt;3,OFFSET(DATA!$C$14,$AS327,0)=BF$6),$AV327,dNULL)</f>
        <v>-99</v>
      </c>
      <c r="BG327">
        <f ca="1">IF(AND($AT327&lt;3,OFFSET(DATA!$C$14,$AS327,0)=BG$6),$AV327,dNULL)</f>
        <v>-99</v>
      </c>
      <c r="BH327">
        <f ca="1">IF(AND($AT327&lt;3,OFFSET(DATA!$C$14,$AS327,0)=BH$6),$AV327,dNULL)</f>
        <v>-99</v>
      </c>
    </row>
    <row r="328" spans="45:60" x14ac:dyDescent="0.25">
      <c r="AS328">
        <f t="shared" si="108"/>
        <v>52</v>
      </c>
      <c r="AT328">
        <f t="shared" si="109"/>
        <v>3</v>
      </c>
      <c r="AU328">
        <f t="shared" ca="1" si="110"/>
        <v>-99</v>
      </c>
      <c r="AV328">
        <f t="shared" ca="1" si="111"/>
        <v>-99</v>
      </c>
      <c r="AW328">
        <f ca="1">IF(AND($AT328&lt;3,OFFSET(DATA!$C$14,$AS328,0)=AW$6),$AV328,dNULL)</f>
        <v>-99</v>
      </c>
      <c r="AX328">
        <f ca="1">IF(AND($AT328&lt;3,OFFSET(DATA!$C$14,$AS328,0)=AX$6),$AV328,dNULL)</f>
        <v>-99</v>
      </c>
      <c r="AY328">
        <f ca="1">IF(AND($AT328&lt;3,OFFSET(DATA!$C$14,$AS328,0)=AY$6),$AV328,dNULL)</f>
        <v>-99</v>
      </c>
      <c r="AZ328">
        <f ca="1">IF(AND($AT328&lt;3,OFFSET(DATA!$C$14,$AS328,0)=AZ$6),$AV328,dNULL)</f>
        <v>-99</v>
      </c>
      <c r="BA328">
        <f ca="1">IF(AND($AT328&lt;3,OFFSET(DATA!$C$14,$AS328,0)=BA$6),$AV328,dNULL)</f>
        <v>-99</v>
      </c>
      <c r="BB328">
        <f ca="1">IF(AND($AT328&lt;3,OFFSET(DATA!$C$14,$AS328,0)=BB$6),$AV328,dNULL)</f>
        <v>-99</v>
      </c>
      <c r="BC328">
        <f ca="1">IF(AND($AT328&lt;3,OFFSET(DATA!$C$14,$AS328,0)=BC$6),$AV328,dNULL)</f>
        <v>-99</v>
      </c>
      <c r="BD328">
        <f ca="1">IF(AND($AT328&lt;3,OFFSET(DATA!$C$14,$AS328,0)=BD$6),$AV328,dNULL)</f>
        <v>-99</v>
      </c>
      <c r="BE328">
        <f ca="1">IF(AND($AT328&lt;3,OFFSET(DATA!$C$14,$AS328,0)=BE$6),$AV328,dNULL)</f>
        <v>-99</v>
      </c>
      <c r="BF328">
        <f ca="1">IF(AND($AT328&lt;3,OFFSET(DATA!$C$14,$AS328,0)=BF$6),$AV328,dNULL)</f>
        <v>-99</v>
      </c>
      <c r="BG328">
        <f ca="1">IF(AND($AT328&lt;3,OFFSET(DATA!$C$14,$AS328,0)=BG$6),$AV328,dNULL)</f>
        <v>-99</v>
      </c>
      <c r="BH328">
        <f ca="1">IF(AND($AT328&lt;3,OFFSET(DATA!$C$14,$AS328,0)=BH$6),$AV328,dNULL)</f>
        <v>-99</v>
      </c>
    </row>
    <row r="329" spans="45:60" x14ac:dyDescent="0.25">
      <c r="AS329">
        <f t="shared" si="108"/>
        <v>53</v>
      </c>
      <c r="AT329">
        <f t="shared" si="109"/>
        <v>3</v>
      </c>
      <c r="AU329">
        <f t="shared" ca="1" si="110"/>
        <v>-99</v>
      </c>
      <c r="AV329">
        <f t="shared" ca="1" si="111"/>
        <v>-99</v>
      </c>
      <c r="AW329">
        <f ca="1">IF(AND($AT329&lt;3,OFFSET(DATA!$C$14,$AS329,0)=AW$6),$AV329,dNULL)</f>
        <v>-99</v>
      </c>
      <c r="AX329">
        <f ca="1">IF(AND($AT329&lt;3,OFFSET(DATA!$C$14,$AS329,0)=AX$6),$AV329,dNULL)</f>
        <v>-99</v>
      </c>
      <c r="AY329">
        <f ca="1">IF(AND($AT329&lt;3,OFFSET(DATA!$C$14,$AS329,0)=AY$6),$AV329,dNULL)</f>
        <v>-99</v>
      </c>
      <c r="AZ329">
        <f ca="1">IF(AND($AT329&lt;3,OFFSET(DATA!$C$14,$AS329,0)=AZ$6),$AV329,dNULL)</f>
        <v>-99</v>
      </c>
      <c r="BA329">
        <f ca="1">IF(AND($AT329&lt;3,OFFSET(DATA!$C$14,$AS329,0)=BA$6),$AV329,dNULL)</f>
        <v>-99</v>
      </c>
      <c r="BB329">
        <f ca="1">IF(AND($AT329&lt;3,OFFSET(DATA!$C$14,$AS329,0)=BB$6),$AV329,dNULL)</f>
        <v>-99</v>
      </c>
      <c r="BC329">
        <f ca="1">IF(AND($AT329&lt;3,OFFSET(DATA!$C$14,$AS329,0)=BC$6),$AV329,dNULL)</f>
        <v>-99</v>
      </c>
      <c r="BD329">
        <f ca="1">IF(AND($AT329&lt;3,OFFSET(DATA!$C$14,$AS329,0)=BD$6),$AV329,dNULL)</f>
        <v>-99</v>
      </c>
      <c r="BE329">
        <f ca="1">IF(AND($AT329&lt;3,OFFSET(DATA!$C$14,$AS329,0)=BE$6),$AV329,dNULL)</f>
        <v>-99</v>
      </c>
      <c r="BF329">
        <f ca="1">IF(AND($AT329&lt;3,OFFSET(DATA!$C$14,$AS329,0)=BF$6),$AV329,dNULL)</f>
        <v>-99</v>
      </c>
      <c r="BG329">
        <f ca="1">IF(AND($AT329&lt;3,OFFSET(DATA!$C$14,$AS329,0)=BG$6),$AV329,dNULL)</f>
        <v>-99</v>
      </c>
      <c r="BH329">
        <f ca="1">IF(AND($AT329&lt;3,OFFSET(DATA!$C$14,$AS329,0)=BH$6),$AV329,dNULL)</f>
        <v>-99</v>
      </c>
    </row>
    <row r="330" spans="45:60" x14ac:dyDescent="0.25">
      <c r="AS330">
        <f t="shared" si="108"/>
        <v>54</v>
      </c>
      <c r="AT330">
        <f t="shared" si="109"/>
        <v>3</v>
      </c>
      <c r="AU330">
        <f t="shared" ca="1" si="110"/>
        <v>-99</v>
      </c>
      <c r="AV330">
        <f t="shared" ca="1" si="111"/>
        <v>-99</v>
      </c>
      <c r="AW330">
        <f ca="1">IF(AND($AT330&lt;3,OFFSET(DATA!$C$14,$AS330,0)=AW$6),$AV330,dNULL)</f>
        <v>-99</v>
      </c>
      <c r="AX330">
        <f ca="1">IF(AND($AT330&lt;3,OFFSET(DATA!$C$14,$AS330,0)=AX$6),$AV330,dNULL)</f>
        <v>-99</v>
      </c>
      <c r="AY330">
        <f ca="1">IF(AND($AT330&lt;3,OFFSET(DATA!$C$14,$AS330,0)=AY$6),$AV330,dNULL)</f>
        <v>-99</v>
      </c>
      <c r="AZ330">
        <f ca="1">IF(AND($AT330&lt;3,OFFSET(DATA!$C$14,$AS330,0)=AZ$6),$AV330,dNULL)</f>
        <v>-99</v>
      </c>
      <c r="BA330">
        <f ca="1">IF(AND($AT330&lt;3,OFFSET(DATA!$C$14,$AS330,0)=BA$6),$AV330,dNULL)</f>
        <v>-99</v>
      </c>
      <c r="BB330">
        <f ca="1">IF(AND($AT330&lt;3,OFFSET(DATA!$C$14,$AS330,0)=BB$6),$AV330,dNULL)</f>
        <v>-99</v>
      </c>
      <c r="BC330">
        <f ca="1">IF(AND($AT330&lt;3,OFFSET(DATA!$C$14,$AS330,0)=BC$6),$AV330,dNULL)</f>
        <v>-99</v>
      </c>
      <c r="BD330">
        <f ca="1">IF(AND($AT330&lt;3,OFFSET(DATA!$C$14,$AS330,0)=BD$6),$AV330,dNULL)</f>
        <v>-99</v>
      </c>
      <c r="BE330">
        <f ca="1">IF(AND($AT330&lt;3,OFFSET(DATA!$C$14,$AS330,0)=BE$6),$AV330,dNULL)</f>
        <v>-99</v>
      </c>
      <c r="BF330">
        <f ca="1">IF(AND($AT330&lt;3,OFFSET(DATA!$C$14,$AS330,0)=BF$6),$AV330,dNULL)</f>
        <v>-99</v>
      </c>
      <c r="BG330">
        <f ca="1">IF(AND($AT330&lt;3,OFFSET(DATA!$C$14,$AS330,0)=BG$6),$AV330,dNULL)</f>
        <v>-99</v>
      </c>
      <c r="BH330">
        <f ca="1">IF(AND($AT330&lt;3,OFFSET(DATA!$C$14,$AS330,0)=BH$6),$AV330,dNULL)</f>
        <v>-99</v>
      </c>
    </row>
    <row r="331" spans="45:60" x14ac:dyDescent="0.25">
      <c r="AS331">
        <f t="shared" si="108"/>
        <v>55</v>
      </c>
      <c r="AT331">
        <f t="shared" si="109"/>
        <v>3</v>
      </c>
      <c r="AU331">
        <f t="shared" ca="1" si="110"/>
        <v>-99</v>
      </c>
      <c r="AV331">
        <f t="shared" ca="1" si="111"/>
        <v>-99</v>
      </c>
      <c r="AW331">
        <f ca="1">IF(AND($AT331&lt;3,OFFSET(DATA!$C$14,$AS331,0)=AW$6),$AV331,dNULL)</f>
        <v>-99</v>
      </c>
      <c r="AX331">
        <f ca="1">IF(AND($AT331&lt;3,OFFSET(DATA!$C$14,$AS331,0)=AX$6),$AV331,dNULL)</f>
        <v>-99</v>
      </c>
      <c r="AY331">
        <f ca="1">IF(AND($AT331&lt;3,OFFSET(DATA!$C$14,$AS331,0)=AY$6),$AV331,dNULL)</f>
        <v>-99</v>
      </c>
      <c r="AZ331">
        <f ca="1">IF(AND($AT331&lt;3,OFFSET(DATA!$C$14,$AS331,0)=AZ$6),$AV331,dNULL)</f>
        <v>-99</v>
      </c>
      <c r="BA331">
        <f ca="1">IF(AND($AT331&lt;3,OFFSET(DATA!$C$14,$AS331,0)=BA$6),$AV331,dNULL)</f>
        <v>-99</v>
      </c>
      <c r="BB331">
        <f ca="1">IF(AND($AT331&lt;3,OFFSET(DATA!$C$14,$AS331,0)=BB$6),$AV331,dNULL)</f>
        <v>-99</v>
      </c>
      <c r="BC331">
        <f ca="1">IF(AND($AT331&lt;3,OFFSET(DATA!$C$14,$AS331,0)=BC$6),$AV331,dNULL)</f>
        <v>-99</v>
      </c>
      <c r="BD331">
        <f ca="1">IF(AND($AT331&lt;3,OFFSET(DATA!$C$14,$AS331,0)=BD$6),$AV331,dNULL)</f>
        <v>-99</v>
      </c>
      <c r="BE331">
        <f ca="1">IF(AND($AT331&lt;3,OFFSET(DATA!$C$14,$AS331,0)=BE$6),$AV331,dNULL)</f>
        <v>-99</v>
      </c>
      <c r="BF331">
        <f ca="1">IF(AND($AT331&lt;3,OFFSET(DATA!$C$14,$AS331,0)=BF$6),$AV331,dNULL)</f>
        <v>-99</v>
      </c>
      <c r="BG331">
        <f ca="1">IF(AND($AT331&lt;3,OFFSET(DATA!$C$14,$AS331,0)=BG$6),$AV331,dNULL)</f>
        <v>-99</v>
      </c>
      <c r="BH331">
        <f ca="1">IF(AND($AT331&lt;3,OFFSET(DATA!$C$14,$AS331,0)=BH$6),$AV331,dNULL)</f>
        <v>-99</v>
      </c>
    </row>
    <row r="332" spans="45:60" x14ac:dyDescent="0.25">
      <c r="AS332">
        <f t="shared" si="108"/>
        <v>56</v>
      </c>
      <c r="AT332">
        <f t="shared" si="109"/>
        <v>3</v>
      </c>
      <c r="AU332">
        <f t="shared" ca="1" si="110"/>
        <v>-99</v>
      </c>
      <c r="AV332">
        <f t="shared" ca="1" si="111"/>
        <v>-99</v>
      </c>
      <c r="AW332">
        <f ca="1">IF(AND($AT332&lt;3,OFFSET(DATA!$C$14,$AS332,0)=AW$6),$AV332,dNULL)</f>
        <v>-99</v>
      </c>
      <c r="AX332">
        <f ca="1">IF(AND($AT332&lt;3,OFFSET(DATA!$C$14,$AS332,0)=AX$6),$AV332,dNULL)</f>
        <v>-99</v>
      </c>
      <c r="AY332">
        <f ca="1">IF(AND($AT332&lt;3,OFFSET(DATA!$C$14,$AS332,0)=AY$6),$AV332,dNULL)</f>
        <v>-99</v>
      </c>
      <c r="AZ332">
        <f ca="1">IF(AND($AT332&lt;3,OFFSET(DATA!$C$14,$AS332,0)=AZ$6),$AV332,dNULL)</f>
        <v>-99</v>
      </c>
      <c r="BA332">
        <f ca="1">IF(AND($AT332&lt;3,OFFSET(DATA!$C$14,$AS332,0)=BA$6),$AV332,dNULL)</f>
        <v>-99</v>
      </c>
      <c r="BB332">
        <f ca="1">IF(AND($AT332&lt;3,OFFSET(DATA!$C$14,$AS332,0)=BB$6),$AV332,dNULL)</f>
        <v>-99</v>
      </c>
      <c r="BC332">
        <f ca="1">IF(AND($AT332&lt;3,OFFSET(DATA!$C$14,$AS332,0)=BC$6),$AV332,dNULL)</f>
        <v>-99</v>
      </c>
      <c r="BD332">
        <f ca="1">IF(AND($AT332&lt;3,OFFSET(DATA!$C$14,$AS332,0)=BD$6),$AV332,dNULL)</f>
        <v>-99</v>
      </c>
      <c r="BE332">
        <f ca="1">IF(AND($AT332&lt;3,OFFSET(DATA!$C$14,$AS332,0)=BE$6),$AV332,dNULL)</f>
        <v>-99</v>
      </c>
      <c r="BF332">
        <f ca="1">IF(AND($AT332&lt;3,OFFSET(DATA!$C$14,$AS332,0)=BF$6),$AV332,dNULL)</f>
        <v>-99</v>
      </c>
      <c r="BG332">
        <f ca="1">IF(AND($AT332&lt;3,OFFSET(DATA!$C$14,$AS332,0)=BG$6),$AV332,dNULL)</f>
        <v>-99</v>
      </c>
      <c r="BH332">
        <f ca="1">IF(AND($AT332&lt;3,OFFSET(DATA!$C$14,$AS332,0)=BH$6),$AV332,dNULL)</f>
        <v>-99</v>
      </c>
    </row>
    <row r="333" spans="45:60" x14ac:dyDescent="0.25">
      <c r="AS333">
        <f t="shared" si="108"/>
        <v>57</v>
      </c>
      <c r="AT333">
        <f t="shared" si="109"/>
        <v>3</v>
      </c>
      <c r="AU333">
        <f t="shared" ca="1" si="110"/>
        <v>-99</v>
      </c>
      <c r="AV333">
        <f t="shared" ca="1" si="111"/>
        <v>-99</v>
      </c>
      <c r="AW333">
        <f ca="1">IF(AND($AT333&lt;3,OFFSET(DATA!$C$14,$AS333,0)=AW$6),$AV333,dNULL)</f>
        <v>-99</v>
      </c>
      <c r="AX333">
        <f ca="1">IF(AND($AT333&lt;3,OFFSET(DATA!$C$14,$AS333,0)=AX$6),$AV333,dNULL)</f>
        <v>-99</v>
      </c>
      <c r="AY333">
        <f ca="1">IF(AND($AT333&lt;3,OFFSET(DATA!$C$14,$AS333,0)=AY$6),$AV333,dNULL)</f>
        <v>-99</v>
      </c>
      <c r="AZ333">
        <f ca="1">IF(AND($AT333&lt;3,OFFSET(DATA!$C$14,$AS333,0)=AZ$6),$AV333,dNULL)</f>
        <v>-99</v>
      </c>
      <c r="BA333">
        <f ca="1">IF(AND($AT333&lt;3,OFFSET(DATA!$C$14,$AS333,0)=BA$6),$AV333,dNULL)</f>
        <v>-99</v>
      </c>
      <c r="BB333">
        <f ca="1">IF(AND($AT333&lt;3,OFFSET(DATA!$C$14,$AS333,0)=BB$6),$AV333,dNULL)</f>
        <v>-99</v>
      </c>
      <c r="BC333">
        <f ca="1">IF(AND($AT333&lt;3,OFFSET(DATA!$C$14,$AS333,0)=BC$6),$AV333,dNULL)</f>
        <v>-99</v>
      </c>
      <c r="BD333">
        <f ca="1">IF(AND($AT333&lt;3,OFFSET(DATA!$C$14,$AS333,0)=BD$6),$AV333,dNULL)</f>
        <v>-99</v>
      </c>
      <c r="BE333">
        <f ca="1">IF(AND($AT333&lt;3,OFFSET(DATA!$C$14,$AS333,0)=BE$6),$AV333,dNULL)</f>
        <v>-99</v>
      </c>
      <c r="BF333">
        <f ca="1">IF(AND($AT333&lt;3,OFFSET(DATA!$C$14,$AS333,0)=BF$6),$AV333,dNULL)</f>
        <v>-99</v>
      </c>
      <c r="BG333">
        <f ca="1">IF(AND($AT333&lt;3,OFFSET(DATA!$C$14,$AS333,0)=BG$6),$AV333,dNULL)</f>
        <v>-99</v>
      </c>
      <c r="BH333">
        <f ca="1">IF(AND($AT333&lt;3,OFFSET(DATA!$C$14,$AS333,0)=BH$6),$AV333,dNULL)</f>
        <v>-99</v>
      </c>
    </row>
    <row r="334" spans="45:60" x14ac:dyDescent="0.25">
      <c r="AS334">
        <f t="shared" si="108"/>
        <v>58</v>
      </c>
      <c r="AT334">
        <f t="shared" si="109"/>
        <v>3</v>
      </c>
      <c r="AU334">
        <f t="shared" ca="1" si="110"/>
        <v>-99</v>
      </c>
      <c r="AV334">
        <f t="shared" ca="1" si="111"/>
        <v>-99</v>
      </c>
      <c r="AW334">
        <f ca="1">IF(AND($AT334&lt;3,OFFSET(DATA!$C$14,$AS334,0)=AW$6),$AV334,dNULL)</f>
        <v>-99</v>
      </c>
      <c r="AX334">
        <f ca="1">IF(AND($AT334&lt;3,OFFSET(DATA!$C$14,$AS334,0)=AX$6),$AV334,dNULL)</f>
        <v>-99</v>
      </c>
      <c r="AY334">
        <f ca="1">IF(AND($AT334&lt;3,OFFSET(DATA!$C$14,$AS334,0)=AY$6),$AV334,dNULL)</f>
        <v>-99</v>
      </c>
      <c r="AZ334">
        <f ca="1">IF(AND($AT334&lt;3,OFFSET(DATA!$C$14,$AS334,0)=AZ$6),$AV334,dNULL)</f>
        <v>-99</v>
      </c>
      <c r="BA334">
        <f ca="1">IF(AND($AT334&lt;3,OFFSET(DATA!$C$14,$AS334,0)=BA$6),$AV334,dNULL)</f>
        <v>-99</v>
      </c>
      <c r="BB334">
        <f ca="1">IF(AND($AT334&lt;3,OFFSET(DATA!$C$14,$AS334,0)=BB$6),$AV334,dNULL)</f>
        <v>-99</v>
      </c>
      <c r="BC334">
        <f ca="1">IF(AND($AT334&lt;3,OFFSET(DATA!$C$14,$AS334,0)=BC$6),$AV334,dNULL)</f>
        <v>-99</v>
      </c>
      <c r="BD334">
        <f ca="1">IF(AND($AT334&lt;3,OFFSET(DATA!$C$14,$AS334,0)=BD$6),$AV334,dNULL)</f>
        <v>-99</v>
      </c>
      <c r="BE334">
        <f ca="1">IF(AND($AT334&lt;3,OFFSET(DATA!$C$14,$AS334,0)=BE$6),$AV334,dNULL)</f>
        <v>-99</v>
      </c>
      <c r="BF334">
        <f ca="1">IF(AND($AT334&lt;3,OFFSET(DATA!$C$14,$AS334,0)=BF$6),$AV334,dNULL)</f>
        <v>-99</v>
      </c>
      <c r="BG334">
        <f ca="1">IF(AND($AT334&lt;3,OFFSET(DATA!$C$14,$AS334,0)=BG$6),$AV334,dNULL)</f>
        <v>-99</v>
      </c>
      <c r="BH334">
        <f ca="1">IF(AND($AT334&lt;3,OFFSET(DATA!$C$14,$AS334,0)=BH$6),$AV334,dNULL)</f>
        <v>-99</v>
      </c>
    </row>
    <row r="335" spans="45:60" x14ac:dyDescent="0.25">
      <c r="AS335">
        <f t="shared" si="108"/>
        <v>59</v>
      </c>
      <c r="AT335">
        <f t="shared" si="109"/>
        <v>3</v>
      </c>
      <c r="AU335">
        <f t="shared" ca="1" si="110"/>
        <v>-99</v>
      </c>
      <c r="AV335">
        <f t="shared" ca="1" si="111"/>
        <v>-99</v>
      </c>
      <c r="AW335">
        <f ca="1">IF(AND($AT335&lt;3,OFFSET(DATA!$C$14,$AS335,0)=AW$6),$AV335,dNULL)</f>
        <v>-99</v>
      </c>
      <c r="AX335">
        <f ca="1">IF(AND($AT335&lt;3,OFFSET(DATA!$C$14,$AS335,0)=AX$6),$AV335,dNULL)</f>
        <v>-99</v>
      </c>
      <c r="AY335">
        <f ca="1">IF(AND($AT335&lt;3,OFFSET(DATA!$C$14,$AS335,0)=AY$6),$AV335,dNULL)</f>
        <v>-99</v>
      </c>
      <c r="AZ335">
        <f ca="1">IF(AND($AT335&lt;3,OFFSET(DATA!$C$14,$AS335,0)=AZ$6),$AV335,dNULL)</f>
        <v>-99</v>
      </c>
      <c r="BA335">
        <f ca="1">IF(AND($AT335&lt;3,OFFSET(DATA!$C$14,$AS335,0)=BA$6),$AV335,dNULL)</f>
        <v>-99</v>
      </c>
      <c r="BB335">
        <f ca="1">IF(AND($AT335&lt;3,OFFSET(DATA!$C$14,$AS335,0)=BB$6),$AV335,dNULL)</f>
        <v>-99</v>
      </c>
      <c r="BC335">
        <f ca="1">IF(AND($AT335&lt;3,OFFSET(DATA!$C$14,$AS335,0)=BC$6),$AV335,dNULL)</f>
        <v>-99</v>
      </c>
      <c r="BD335">
        <f ca="1">IF(AND($AT335&lt;3,OFFSET(DATA!$C$14,$AS335,0)=BD$6),$AV335,dNULL)</f>
        <v>-99</v>
      </c>
      <c r="BE335">
        <f ca="1">IF(AND($AT335&lt;3,OFFSET(DATA!$C$14,$AS335,0)=BE$6),$AV335,dNULL)</f>
        <v>-99</v>
      </c>
      <c r="BF335">
        <f ca="1">IF(AND($AT335&lt;3,OFFSET(DATA!$C$14,$AS335,0)=BF$6),$AV335,dNULL)</f>
        <v>-99</v>
      </c>
      <c r="BG335">
        <f ca="1">IF(AND($AT335&lt;3,OFFSET(DATA!$C$14,$AS335,0)=BG$6),$AV335,dNULL)</f>
        <v>-99</v>
      </c>
      <c r="BH335">
        <f ca="1">IF(AND($AT335&lt;3,OFFSET(DATA!$C$14,$AS335,0)=BH$6),$AV335,dNULL)</f>
        <v>-99</v>
      </c>
    </row>
    <row r="336" spans="45:60" x14ac:dyDescent="0.25">
      <c r="AS336">
        <f t="shared" si="108"/>
        <v>60</v>
      </c>
      <c r="AT336">
        <f t="shared" si="109"/>
        <v>3</v>
      </c>
      <c r="AU336">
        <f t="shared" ca="1" si="110"/>
        <v>-99</v>
      </c>
      <c r="AV336">
        <f t="shared" ca="1" si="111"/>
        <v>-99</v>
      </c>
      <c r="AW336">
        <f ca="1">IF(AND($AT336&lt;3,OFFSET(DATA!$C$14,$AS336,0)=AW$6),$AV336,dNULL)</f>
        <v>-99</v>
      </c>
      <c r="AX336">
        <f ca="1">IF(AND($AT336&lt;3,OFFSET(DATA!$C$14,$AS336,0)=AX$6),$AV336,dNULL)</f>
        <v>-99</v>
      </c>
      <c r="AY336">
        <f ca="1">IF(AND($AT336&lt;3,OFFSET(DATA!$C$14,$AS336,0)=AY$6),$AV336,dNULL)</f>
        <v>-99</v>
      </c>
      <c r="AZ336">
        <f ca="1">IF(AND($AT336&lt;3,OFFSET(DATA!$C$14,$AS336,0)=AZ$6),$AV336,dNULL)</f>
        <v>-99</v>
      </c>
      <c r="BA336">
        <f ca="1">IF(AND($AT336&lt;3,OFFSET(DATA!$C$14,$AS336,0)=BA$6),$AV336,dNULL)</f>
        <v>-99</v>
      </c>
      <c r="BB336">
        <f ca="1">IF(AND($AT336&lt;3,OFFSET(DATA!$C$14,$AS336,0)=BB$6),$AV336,dNULL)</f>
        <v>-99</v>
      </c>
      <c r="BC336">
        <f ca="1">IF(AND($AT336&lt;3,OFFSET(DATA!$C$14,$AS336,0)=BC$6),$AV336,dNULL)</f>
        <v>-99</v>
      </c>
      <c r="BD336">
        <f ca="1">IF(AND($AT336&lt;3,OFFSET(DATA!$C$14,$AS336,0)=BD$6),$AV336,dNULL)</f>
        <v>-99</v>
      </c>
      <c r="BE336">
        <f ca="1">IF(AND($AT336&lt;3,OFFSET(DATA!$C$14,$AS336,0)=BE$6),$AV336,dNULL)</f>
        <v>-99</v>
      </c>
      <c r="BF336">
        <f ca="1">IF(AND($AT336&lt;3,OFFSET(DATA!$C$14,$AS336,0)=BF$6),$AV336,dNULL)</f>
        <v>-99</v>
      </c>
      <c r="BG336">
        <f ca="1">IF(AND($AT336&lt;3,OFFSET(DATA!$C$14,$AS336,0)=BG$6),$AV336,dNULL)</f>
        <v>-99</v>
      </c>
      <c r="BH336">
        <f ca="1">IF(AND($AT336&lt;3,OFFSET(DATA!$C$14,$AS336,0)=BH$6),$AV336,dNULL)</f>
        <v>-99</v>
      </c>
    </row>
    <row r="337" spans="45:60" x14ac:dyDescent="0.25">
      <c r="AS337">
        <f t="shared" si="108"/>
        <v>61</v>
      </c>
      <c r="AT337">
        <f t="shared" si="109"/>
        <v>3</v>
      </c>
      <c r="AU337">
        <f t="shared" ca="1" si="110"/>
        <v>-99</v>
      </c>
      <c r="AV337">
        <f t="shared" ca="1" si="111"/>
        <v>-99</v>
      </c>
      <c r="AW337">
        <f ca="1">IF(AND($AT337&lt;3,OFFSET(DATA!$C$14,$AS337,0)=AW$6),$AV337,dNULL)</f>
        <v>-99</v>
      </c>
      <c r="AX337">
        <f ca="1">IF(AND($AT337&lt;3,OFFSET(DATA!$C$14,$AS337,0)=AX$6),$AV337,dNULL)</f>
        <v>-99</v>
      </c>
      <c r="AY337">
        <f ca="1">IF(AND($AT337&lt;3,OFFSET(DATA!$C$14,$AS337,0)=AY$6),$AV337,dNULL)</f>
        <v>-99</v>
      </c>
      <c r="AZ337">
        <f ca="1">IF(AND($AT337&lt;3,OFFSET(DATA!$C$14,$AS337,0)=AZ$6),$AV337,dNULL)</f>
        <v>-99</v>
      </c>
      <c r="BA337">
        <f ca="1">IF(AND($AT337&lt;3,OFFSET(DATA!$C$14,$AS337,0)=BA$6),$AV337,dNULL)</f>
        <v>-99</v>
      </c>
      <c r="BB337">
        <f ca="1">IF(AND($AT337&lt;3,OFFSET(DATA!$C$14,$AS337,0)=BB$6),$AV337,dNULL)</f>
        <v>-99</v>
      </c>
      <c r="BC337">
        <f ca="1">IF(AND($AT337&lt;3,OFFSET(DATA!$C$14,$AS337,0)=BC$6),$AV337,dNULL)</f>
        <v>-99</v>
      </c>
      <c r="BD337">
        <f ca="1">IF(AND($AT337&lt;3,OFFSET(DATA!$C$14,$AS337,0)=BD$6),$AV337,dNULL)</f>
        <v>-99</v>
      </c>
      <c r="BE337">
        <f ca="1">IF(AND($AT337&lt;3,OFFSET(DATA!$C$14,$AS337,0)=BE$6),$AV337,dNULL)</f>
        <v>-99</v>
      </c>
      <c r="BF337">
        <f ca="1">IF(AND($AT337&lt;3,OFFSET(DATA!$C$14,$AS337,0)=BF$6),$AV337,dNULL)</f>
        <v>-99</v>
      </c>
      <c r="BG337">
        <f ca="1">IF(AND($AT337&lt;3,OFFSET(DATA!$C$14,$AS337,0)=BG$6),$AV337,dNULL)</f>
        <v>-99</v>
      </c>
      <c r="BH337">
        <f ca="1">IF(AND($AT337&lt;3,OFFSET(DATA!$C$14,$AS337,0)=BH$6),$AV337,dNULL)</f>
        <v>-99</v>
      </c>
    </row>
    <row r="338" spans="45:60" x14ac:dyDescent="0.25">
      <c r="AS338">
        <f t="shared" si="108"/>
        <v>62</v>
      </c>
      <c r="AT338">
        <f t="shared" si="109"/>
        <v>3</v>
      </c>
      <c r="AU338">
        <f t="shared" ca="1" si="110"/>
        <v>-99</v>
      </c>
      <c r="AV338">
        <f t="shared" ca="1" si="111"/>
        <v>-99</v>
      </c>
      <c r="AW338">
        <f ca="1">IF(AND($AT338&lt;3,OFFSET(DATA!$C$14,$AS338,0)=AW$6),$AV338,dNULL)</f>
        <v>-99</v>
      </c>
      <c r="AX338">
        <f ca="1">IF(AND($AT338&lt;3,OFFSET(DATA!$C$14,$AS338,0)=AX$6),$AV338,dNULL)</f>
        <v>-99</v>
      </c>
      <c r="AY338">
        <f ca="1">IF(AND($AT338&lt;3,OFFSET(DATA!$C$14,$AS338,0)=AY$6),$AV338,dNULL)</f>
        <v>-99</v>
      </c>
      <c r="AZ338">
        <f ca="1">IF(AND($AT338&lt;3,OFFSET(DATA!$C$14,$AS338,0)=AZ$6),$AV338,dNULL)</f>
        <v>-99</v>
      </c>
      <c r="BA338">
        <f ca="1">IF(AND($AT338&lt;3,OFFSET(DATA!$C$14,$AS338,0)=BA$6),$AV338,dNULL)</f>
        <v>-99</v>
      </c>
      <c r="BB338">
        <f ca="1">IF(AND($AT338&lt;3,OFFSET(DATA!$C$14,$AS338,0)=BB$6),$AV338,dNULL)</f>
        <v>-99</v>
      </c>
      <c r="BC338">
        <f ca="1">IF(AND($AT338&lt;3,OFFSET(DATA!$C$14,$AS338,0)=BC$6),$AV338,dNULL)</f>
        <v>-99</v>
      </c>
      <c r="BD338">
        <f ca="1">IF(AND($AT338&lt;3,OFFSET(DATA!$C$14,$AS338,0)=BD$6),$AV338,dNULL)</f>
        <v>-99</v>
      </c>
      <c r="BE338">
        <f ca="1">IF(AND($AT338&lt;3,OFFSET(DATA!$C$14,$AS338,0)=BE$6),$AV338,dNULL)</f>
        <v>-99</v>
      </c>
      <c r="BF338">
        <f ca="1">IF(AND($AT338&lt;3,OFFSET(DATA!$C$14,$AS338,0)=BF$6),$AV338,dNULL)</f>
        <v>-99</v>
      </c>
      <c r="BG338">
        <f ca="1">IF(AND($AT338&lt;3,OFFSET(DATA!$C$14,$AS338,0)=BG$6),$AV338,dNULL)</f>
        <v>-99</v>
      </c>
      <c r="BH338">
        <f ca="1">IF(AND($AT338&lt;3,OFFSET(DATA!$C$14,$AS338,0)=BH$6),$AV338,dNULL)</f>
        <v>-99</v>
      </c>
    </row>
    <row r="339" spans="45:60" x14ac:dyDescent="0.25">
      <c r="AS339">
        <f t="shared" si="108"/>
        <v>63</v>
      </c>
      <c r="AT339">
        <f t="shared" si="109"/>
        <v>3</v>
      </c>
      <c r="AU339">
        <f t="shared" ca="1" si="110"/>
        <v>-99</v>
      </c>
      <c r="AV339">
        <f t="shared" ca="1" si="111"/>
        <v>-99</v>
      </c>
      <c r="AW339">
        <f ca="1">IF(AND($AT339&lt;3,OFFSET(DATA!$C$14,$AS339,0)=AW$6),$AV339,dNULL)</f>
        <v>-99</v>
      </c>
      <c r="AX339">
        <f ca="1">IF(AND($AT339&lt;3,OFFSET(DATA!$C$14,$AS339,0)=AX$6),$AV339,dNULL)</f>
        <v>-99</v>
      </c>
      <c r="AY339">
        <f ca="1">IF(AND($AT339&lt;3,OFFSET(DATA!$C$14,$AS339,0)=AY$6),$AV339,dNULL)</f>
        <v>-99</v>
      </c>
      <c r="AZ339">
        <f ca="1">IF(AND($AT339&lt;3,OFFSET(DATA!$C$14,$AS339,0)=AZ$6),$AV339,dNULL)</f>
        <v>-99</v>
      </c>
      <c r="BA339">
        <f ca="1">IF(AND($AT339&lt;3,OFFSET(DATA!$C$14,$AS339,0)=BA$6),$AV339,dNULL)</f>
        <v>-99</v>
      </c>
      <c r="BB339">
        <f ca="1">IF(AND($AT339&lt;3,OFFSET(DATA!$C$14,$AS339,0)=BB$6),$AV339,dNULL)</f>
        <v>-99</v>
      </c>
      <c r="BC339">
        <f ca="1">IF(AND($AT339&lt;3,OFFSET(DATA!$C$14,$AS339,0)=BC$6),$AV339,dNULL)</f>
        <v>-99</v>
      </c>
      <c r="BD339">
        <f ca="1">IF(AND($AT339&lt;3,OFFSET(DATA!$C$14,$AS339,0)=BD$6),$AV339,dNULL)</f>
        <v>-99</v>
      </c>
      <c r="BE339">
        <f ca="1">IF(AND($AT339&lt;3,OFFSET(DATA!$C$14,$AS339,0)=BE$6),$AV339,dNULL)</f>
        <v>-99</v>
      </c>
      <c r="BF339">
        <f ca="1">IF(AND($AT339&lt;3,OFFSET(DATA!$C$14,$AS339,0)=BF$6),$AV339,dNULL)</f>
        <v>-99</v>
      </c>
      <c r="BG339">
        <f ca="1">IF(AND($AT339&lt;3,OFFSET(DATA!$C$14,$AS339,0)=BG$6),$AV339,dNULL)</f>
        <v>-99</v>
      </c>
      <c r="BH339">
        <f ca="1">IF(AND($AT339&lt;3,OFFSET(DATA!$C$14,$AS339,0)=BH$6),$AV339,dNULL)</f>
        <v>-99</v>
      </c>
    </row>
    <row r="340" spans="45:60" x14ac:dyDescent="0.25">
      <c r="AS340">
        <f t="shared" si="108"/>
        <v>64</v>
      </c>
      <c r="AT340">
        <f t="shared" si="109"/>
        <v>3</v>
      </c>
      <c r="AU340">
        <f t="shared" ca="1" si="110"/>
        <v>-99</v>
      </c>
      <c r="AV340">
        <f t="shared" ca="1" si="111"/>
        <v>-99</v>
      </c>
      <c r="AW340">
        <f ca="1">IF(AND($AT340&lt;3,OFFSET(DATA!$C$14,$AS340,0)=AW$6),$AV340,dNULL)</f>
        <v>-99</v>
      </c>
      <c r="AX340">
        <f ca="1">IF(AND($AT340&lt;3,OFFSET(DATA!$C$14,$AS340,0)=AX$6),$AV340,dNULL)</f>
        <v>-99</v>
      </c>
      <c r="AY340">
        <f ca="1">IF(AND($AT340&lt;3,OFFSET(DATA!$C$14,$AS340,0)=AY$6),$AV340,dNULL)</f>
        <v>-99</v>
      </c>
      <c r="AZ340">
        <f ca="1">IF(AND($AT340&lt;3,OFFSET(DATA!$C$14,$AS340,0)=AZ$6),$AV340,dNULL)</f>
        <v>-99</v>
      </c>
      <c r="BA340">
        <f ca="1">IF(AND($AT340&lt;3,OFFSET(DATA!$C$14,$AS340,0)=BA$6),$AV340,dNULL)</f>
        <v>-99</v>
      </c>
      <c r="BB340">
        <f ca="1">IF(AND($AT340&lt;3,OFFSET(DATA!$C$14,$AS340,0)=BB$6),$AV340,dNULL)</f>
        <v>-99</v>
      </c>
      <c r="BC340">
        <f ca="1">IF(AND($AT340&lt;3,OFFSET(DATA!$C$14,$AS340,0)=BC$6),$AV340,dNULL)</f>
        <v>-99</v>
      </c>
      <c r="BD340">
        <f ca="1">IF(AND($AT340&lt;3,OFFSET(DATA!$C$14,$AS340,0)=BD$6),$AV340,dNULL)</f>
        <v>-99</v>
      </c>
      <c r="BE340">
        <f ca="1">IF(AND($AT340&lt;3,OFFSET(DATA!$C$14,$AS340,0)=BE$6),$AV340,dNULL)</f>
        <v>-99</v>
      </c>
      <c r="BF340">
        <f ca="1">IF(AND($AT340&lt;3,OFFSET(DATA!$C$14,$AS340,0)=BF$6),$AV340,dNULL)</f>
        <v>-99</v>
      </c>
      <c r="BG340">
        <f ca="1">IF(AND($AT340&lt;3,OFFSET(DATA!$C$14,$AS340,0)=BG$6),$AV340,dNULL)</f>
        <v>-99</v>
      </c>
      <c r="BH340">
        <f ca="1">IF(AND($AT340&lt;3,OFFSET(DATA!$C$14,$AS340,0)=BH$6),$AV340,dNULL)</f>
        <v>-99</v>
      </c>
    </row>
    <row r="341" spans="45:60" x14ac:dyDescent="0.25">
      <c r="AS341">
        <f t="shared" si="108"/>
        <v>65</v>
      </c>
      <c r="AT341">
        <f t="shared" si="109"/>
        <v>3</v>
      </c>
      <c r="AU341">
        <f t="shared" ca="1" si="110"/>
        <v>-99</v>
      </c>
      <c r="AV341">
        <f t="shared" ca="1" si="111"/>
        <v>-99</v>
      </c>
      <c r="AW341">
        <f ca="1">IF(AND($AT341&lt;3,OFFSET(DATA!$C$14,$AS341,0)=AW$6),$AV341,dNULL)</f>
        <v>-99</v>
      </c>
      <c r="AX341">
        <f ca="1">IF(AND($AT341&lt;3,OFFSET(DATA!$C$14,$AS341,0)=AX$6),$AV341,dNULL)</f>
        <v>-99</v>
      </c>
      <c r="AY341">
        <f ca="1">IF(AND($AT341&lt;3,OFFSET(DATA!$C$14,$AS341,0)=AY$6),$AV341,dNULL)</f>
        <v>-99</v>
      </c>
      <c r="AZ341">
        <f ca="1">IF(AND($AT341&lt;3,OFFSET(DATA!$C$14,$AS341,0)=AZ$6),$AV341,dNULL)</f>
        <v>-99</v>
      </c>
      <c r="BA341">
        <f ca="1">IF(AND($AT341&lt;3,OFFSET(DATA!$C$14,$AS341,0)=BA$6),$AV341,dNULL)</f>
        <v>-99</v>
      </c>
      <c r="BB341">
        <f ca="1">IF(AND($AT341&lt;3,OFFSET(DATA!$C$14,$AS341,0)=BB$6),$AV341,dNULL)</f>
        <v>-99</v>
      </c>
      <c r="BC341">
        <f ca="1">IF(AND($AT341&lt;3,OFFSET(DATA!$C$14,$AS341,0)=BC$6),$AV341,dNULL)</f>
        <v>-99</v>
      </c>
      <c r="BD341">
        <f ca="1">IF(AND($AT341&lt;3,OFFSET(DATA!$C$14,$AS341,0)=BD$6),$AV341,dNULL)</f>
        <v>-99</v>
      </c>
      <c r="BE341">
        <f ca="1">IF(AND($AT341&lt;3,OFFSET(DATA!$C$14,$AS341,0)=BE$6),$AV341,dNULL)</f>
        <v>-99</v>
      </c>
      <c r="BF341">
        <f ca="1">IF(AND($AT341&lt;3,OFFSET(DATA!$C$14,$AS341,0)=BF$6),$AV341,dNULL)</f>
        <v>-99</v>
      </c>
      <c r="BG341">
        <f ca="1">IF(AND($AT341&lt;3,OFFSET(DATA!$C$14,$AS341,0)=BG$6),$AV341,dNULL)</f>
        <v>-99</v>
      </c>
      <c r="BH341">
        <f ca="1">IF(AND($AT341&lt;3,OFFSET(DATA!$C$14,$AS341,0)=BH$6),$AV341,dNULL)</f>
        <v>-99</v>
      </c>
    </row>
    <row r="342" spans="45:60" x14ac:dyDescent="0.25">
      <c r="AS342">
        <f t="shared" si="108"/>
        <v>66</v>
      </c>
      <c r="AT342">
        <f t="shared" si="109"/>
        <v>3</v>
      </c>
      <c r="AU342">
        <f t="shared" ca="1" si="110"/>
        <v>-99</v>
      </c>
      <c r="AV342">
        <f t="shared" ca="1" si="111"/>
        <v>-99</v>
      </c>
      <c r="AW342">
        <f ca="1">IF(AND($AT342&lt;3,OFFSET(DATA!$C$14,$AS342,0)=AW$6),$AV342,dNULL)</f>
        <v>-99</v>
      </c>
      <c r="AX342">
        <f ca="1">IF(AND($AT342&lt;3,OFFSET(DATA!$C$14,$AS342,0)=AX$6),$AV342,dNULL)</f>
        <v>-99</v>
      </c>
      <c r="AY342">
        <f ca="1">IF(AND($AT342&lt;3,OFFSET(DATA!$C$14,$AS342,0)=AY$6),$AV342,dNULL)</f>
        <v>-99</v>
      </c>
      <c r="AZ342">
        <f ca="1">IF(AND($AT342&lt;3,OFFSET(DATA!$C$14,$AS342,0)=AZ$6),$AV342,dNULL)</f>
        <v>-99</v>
      </c>
      <c r="BA342">
        <f ca="1">IF(AND($AT342&lt;3,OFFSET(DATA!$C$14,$AS342,0)=BA$6),$AV342,dNULL)</f>
        <v>-99</v>
      </c>
      <c r="BB342">
        <f ca="1">IF(AND($AT342&lt;3,OFFSET(DATA!$C$14,$AS342,0)=BB$6),$AV342,dNULL)</f>
        <v>-99</v>
      </c>
      <c r="BC342">
        <f ca="1">IF(AND($AT342&lt;3,OFFSET(DATA!$C$14,$AS342,0)=BC$6),$AV342,dNULL)</f>
        <v>-99</v>
      </c>
      <c r="BD342">
        <f ca="1">IF(AND($AT342&lt;3,OFFSET(DATA!$C$14,$AS342,0)=BD$6),$AV342,dNULL)</f>
        <v>-99</v>
      </c>
      <c r="BE342">
        <f ca="1">IF(AND($AT342&lt;3,OFFSET(DATA!$C$14,$AS342,0)=BE$6),$AV342,dNULL)</f>
        <v>-99</v>
      </c>
      <c r="BF342">
        <f ca="1">IF(AND($AT342&lt;3,OFFSET(DATA!$C$14,$AS342,0)=BF$6),$AV342,dNULL)</f>
        <v>-99</v>
      </c>
      <c r="BG342">
        <f ca="1">IF(AND($AT342&lt;3,OFFSET(DATA!$C$14,$AS342,0)=BG$6),$AV342,dNULL)</f>
        <v>-99</v>
      </c>
      <c r="BH342">
        <f ca="1">IF(AND($AT342&lt;3,OFFSET(DATA!$C$14,$AS342,0)=BH$6),$AV342,dNULL)</f>
        <v>-99</v>
      </c>
    </row>
    <row r="343" spans="45:60" x14ac:dyDescent="0.25">
      <c r="AS343">
        <f t="shared" si="108"/>
        <v>67</v>
      </c>
      <c r="AT343">
        <f t="shared" si="109"/>
        <v>3</v>
      </c>
      <c r="AU343">
        <f t="shared" ca="1" si="110"/>
        <v>-99</v>
      </c>
      <c r="AV343">
        <f t="shared" ca="1" si="111"/>
        <v>-99</v>
      </c>
      <c r="AW343">
        <f ca="1">IF(AND($AT343&lt;3,OFFSET(DATA!$C$14,$AS343,0)=AW$6),$AV343,dNULL)</f>
        <v>-99</v>
      </c>
      <c r="AX343">
        <f ca="1">IF(AND($AT343&lt;3,OFFSET(DATA!$C$14,$AS343,0)=AX$6),$AV343,dNULL)</f>
        <v>-99</v>
      </c>
      <c r="AY343">
        <f ca="1">IF(AND($AT343&lt;3,OFFSET(DATA!$C$14,$AS343,0)=AY$6),$AV343,dNULL)</f>
        <v>-99</v>
      </c>
      <c r="AZ343">
        <f ca="1">IF(AND($AT343&lt;3,OFFSET(DATA!$C$14,$AS343,0)=AZ$6),$AV343,dNULL)</f>
        <v>-99</v>
      </c>
      <c r="BA343">
        <f ca="1">IF(AND($AT343&lt;3,OFFSET(DATA!$C$14,$AS343,0)=BA$6),$AV343,dNULL)</f>
        <v>-99</v>
      </c>
      <c r="BB343">
        <f ca="1">IF(AND($AT343&lt;3,OFFSET(DATA!$C$14,$AS343,0)=BB$6),$AV343,dNULL)</f>
        <v>-99</v>
      </c>
      <c r="BC343">
        <f ca="1">IF(AND($AT343&lt;3,OFFSET(DATA!$C$14,$AS343,0)=BC$6),$AV343,dNULL)</f>
        <v>-99</v>
      </c>
      <c r="BD343">
        <f ca="1">IF(AND($AT343&lt;3,OFFSET(DATA!$C$14,$AS343,0)=BD$6),$AV343,dNULL)</f>
        <v>-99</v>
      </c>
      <c r="BE343">
        <f ca="1">IF(AND($AT343&lt;3,OFFSET(DATA!$C$14,$AS343,0)=BE$6),$AV343,dNULL)</f>
        <v>-99</v>
      </c>
      <c r="BF343">
        <f ca="1">IF(AND($AT343&lt;3,OFFSET(DATA!$C$14,$AS343,0)=BF$6),$AV343,dNULL)</f>
        <v>-99</v>
      </c>
      <c r="BG343">
        <f ca="1">IF(AND($AT343&lt;3,OFFSET(DATA!$C$14,$AS343,0)=BG$6),$AV343,dNULL)</f>
        <v>-99</v>
      </c>
      <c r="BH343">
        <f ca="1">IF(AND($AT343&lt;3,OFFSET(DATA!$C$14,$AS343,0)=BH$6),$AV343,dNULL)</f>
        <v>-99</v>
      </c>
    </row>
    <row r="344" spans="45:60" x14ac:dyDescent="0.25">
      <c r="AS344">
        <f t="shared" si="108"/>
        <v>68</v>
      </c>
      <c r="AT344">
        <f t="shared" si="109"/>
        <v>3</v>
      </c>
      <c r="AU344">
        <f t="shared" ca="1" si="110"/>
        <v>-99</v>
      </c>
      <c r="AV344">
        <f t="shared" ca="1" si="111"/>
        <v>-99</v>
      </c>
      <c r="AW344">
        <f ca="1">IF(AND($AT344&lt;3,OFFSET(DATA!$C$14,$AS344,0)=AW$6),$AV344,dNULL)</f>
        <v>-99</v>
      </c>
      <c r="AX344">
        <f ca="1">IF(AND($AT344&lt;3,OFFSET(DATA!$C$14,$AS344,0)=AX$6),$AV344,dNULL)</f>
        <v>-99</v>
      </c>
      <c r="AY344">
        <f ca="1">IF(AND($AT344&lt;3,OFFSET(DATA!$C$14,$AS344,0)=AY$6),$AV344,dNULL)</f>
        <v>-99</v>
      </c>
      <c r="AZ344">
        <f ca="1">IF(AND($AT344&lt;3,OFFSET(DATA!$C$14,$AS344,0)=AZ$6),$AV344,dNULL)</f>
        <v>-99</v>
      </c>
      <c r="BA344">
        <f ca="1">IF(AND($AT344&lt;3,OFFSET(DATA!$C$14,$AS344,0)=BA$6),$AV344,dNULL)</f>
        <v>-99</v>
      </c>
      <c r="BB344">
        <f ca="1">IF(AND($AT344&lt;3,OFFSET(DATA!$C$14,$AS344,0)=BB$6),$AV344,dNULL)</f>
        <v>-99</v>
      </c>
      <c r="BC344">
        <f ca="1">IF(AND($AT344&lt;3,OFFSET(DATA!$C$14,$AS344,0)=BC$6),$AV344,dNULL)</f>
        <v>-99</v>
      </c>
      <c r="BD344">
        <f ca="1">IF(AND($AT344&lt;3,OFFSET(DATA!$C$14,$AS344,0)=BD$6),$AV344,dNULL)</f>
        <v>-99</v>
      </c>
      <c r="BE344">
        <f ca="1">IF(AND($AT344&lt;3,OFFSET(DATA!$C$14,$AS344,0)=BE$6),$AV344,dNULL)</f>
        <v>-99</v>
      </c>
      <c r="BF344">
        <f ca="1">IF(AND($AT344&lt;3,OFFSET(DATA!$C$14,$AS344,0)=BF$6),$AV344,dNULL)</f>
        <v>-99</v>
      </c>
      <c r="BG344">
        <f ca="1">IF(AND($AT344&lt;3,OFFSET(DATA!$C$14,$AS344,0)=BG$6),$AV344,dNULL)</f>
        <v>-99</v>
      </c>
      <c r="BH344">
        <f ca="1">IF(AND($AT344&lt;3,OFFSET(DATA!$C$14,$AS344,0)=BH$6),$AV344,dNULL)</f>
        <v>-99</v>
      </c>
    </row>
    <row r="345" spans="45:60" x14ac:dyDescent="0.25">
      <c r="AS345">
        <f t="shared" si="108"/>
        <v>69</v>
      </c>
      <c r="AT345">
        <f t="shared" si="109"/>
        <v>3</v>
      </c>
      <c r="AU345">
        <f t="shared" ca="1" si="110"/>
        <v>-99</v>
      </c>
      <c r="AV345">
        <f t="shared" ca="1" si="111"/>
        <v>-99</v>
      </c>
      <c r="AW345">
        <f ca="1">IF(AND($AT345&lt;3,OFFSET(DATA!$C$14,$AS345,0)=AW$6),$AV345,dNULL)</f>
        <v>-99</v>
      </c>
      <c r="AX345">
        <f ca="1">IF(AND($AT345&lt;3,OFFSET(DATA!$C$14,$AS345,0)=AX$6),$AV345,dNULL)</f>
        <v>-99</v>
      </c>
      <c r="AY345">
        <f ca="1">IF(AND($AT345&lt;3,OFFSET(DATA!$C$14,$AS345,0)=AY$6),$AV345,dNULL)</f>
        <v>-99</v>
      </c>
      <c r="AZ345">
        <f ca="1">IF(AND($AT345&lt;3,OFFSET(DATA!$C$14,$AS345,0)=AZ$6),$AV345,dNULL)</f>
        <v>-99</v>
      </c>
      <c r="BA345">
        <f ca="1">IF(AND($AT345&lt;3,OFFSET(DATA!$C$14,$AS345,0)=BA$6),$AV345,dNULL)</f>
        <v>-99</v>
      </c>
      <c r="BB345">
        <f ca="1">IF(AND($AT345&lt;3,OFFSET(DATA!$C$14,$AS345,0)=BB$6),$AV345,dNULL)</f>
        <v>-99</v>
      </c>
      <c r="BC345">
        <f ca="1">IF(AND($AT345&lt;3,OFFSET(DATA!$C$14,$AS345,0)=BC$6),$AV345,dNULL)</f>
        <v>-99</v>
      </c>
      <c r="BD345">
        <f ca="1">IF(AND($AT345&lt;3,OFFSET(DATA!$C$14,$AS345,0)=BD$6),$AV345,dNULL)</f>
        <v>-99</v>
      </c>
      <c r="BE345">
        <f ca="1">IF(AND($AT345&lt;3,OFFSET(DATA!$C$14,$AS345,0)=BE$6),$AV345,dNULL)</f>
        <v>-99</v>
      </c>
      <c r="BF345">
        <f ca="1">IF(AND($AT345&lt;3,OFFSET(DATA!$C$14,$AS345,0)=BF$6),$AV345,dNULL)</f>
        <v>-99</v>
      </c>
      <c r="BG345">
        <f ca="1">IF(AND($AT345&lt;3,OFFSET(DATA!$C$14,$AS345,0)=BG$6),$AV345,dNULL)</f>
        <v>-99</v>
      </c>
      <c r="BH345">
        <f ca="1">IF(AND($AT345&lt;3,OFFSET(DATA!$C$14,$AS345,0)=BH$6),$AV345,dNULL)</f>
        <v>-99</v>
      </c>
    </row>
    <row r="346" spans="45:60" x14ac:dyDescent="0.25">
      <c r="AS346">
        <f t="shared" si="108"/>
        <v>70</v>
      </c>
      <c r="AT346">
        <f t="shared" si="109"/>
        <v>3</v>
      </c>
      <c r="AU346">
        <f t="shared" ca="1" si="110"/>
        <v>-99</v>
      </c>
      <c r="AV346">
        <f t="shared" ca="1" si="111"/>
        <v>-99</v>
      </c>
      <c r="AW346">
        <f ca="1">IF(AND($AT346&lt;3,OFFSET(DATA!$C$14,$AS346,0)=AW$6),$AV346,dNULL)</f>
        <v>-99</v>
      </c>
      <c r="AX346">
        <f ca="1">IF(AND($AT346&lt;3,OFFSET(DATA!$C$14,$AS346,0)=AX$6),$AV346,dNULL)</f>
        <v>-99</v>
      </c>
      <c r="AY346">
        <f ca="1">IF(AND($AT346&lt;3,OFFSET(DATA!$C$14,$AS346,0)=AY$6),$AV346,dNULL)</f>
        <v>-99</v>
      </c>
      <c r="AZ346">
        <f ca="1">IF(AND($AT346&lt;3,OFFSET(DATA!$C$14,$AS346,0)=AZ$6),$AV346,dNULL)</f>
        <v>-99</v>
      </c>
      <c r="BA346">
        <f ca="1">IF(AND($AT346&lt;3,OFFSET(DATA!$C$14,$AS346,0)=BA$6),$AV346,dNULL)</f>
        <v>-99</v>
      </c>
      <c r="BB346">
        <f ca="1">IF(AND($AT346&lt;3,OFFSET(DATA!$C$14,$AS346,0)=BB$6),$AV346,dNULL)</f>
        <v>-99</v>
      </c>
      <c r="BC346">
        <f ca="1">IF(AND($AT346&lt;3,OFFSET(DATA!$C$14,$AS346,0)=BC$6),$AV346,dNULL)</f>
        <v>-99</v>
      </c>
      <c r="BD346">
        <f ca="1">IF(AND($AT346&lt;3,OFFSET(DATA!$C$14,$AS346,0)=BD$6),$AV346,dNULL)</f>
        <v>-99</v>
      </c>
      <c r="BE346">
        <f ca="1">IF(AND($AT346&lt;3,OFFSET(DATA!$C$14,$AS346,0)=BE$6),$AV346,dNULL)</f>
        <v>-99</v>
      </c>
      <c r="BF346">
        <f ca="1">IF(AND($AT346&lt;3,OFFSET(DATA!$C$14,$AS346,0)=BF$6),$AV346,dNULL)</f>
        <v>-99</v>
      </c>
      <c r="BG346">
        <f ca="1">IF(AND($AT346&lt;3,OFFSET(DATA!$C$14,$AS346,0)=BG$6),$AV346,dNULL)</f>
        <v>-99</v>
      </c>
      <c r="BH346">
        <f ca="1">IF(AND($AT346&lt;3,OFFSET(DATA!$C$14,$AS346,0)=BH$6),$AV346,dNULL)</f>
        <v>-99</v>
      </c>
    </row>
    <row r="347" spans="45:60" x14ac:dyDescent="0.25">
      <c r="AS347">
        <f t="shared" si="108"/>
        <v>71</v>
      </c>
      <c r="AT347">
        <f t="shared" si="109"/>
        <v>3</v>
      </c>
      <c r="AU347">
        <f t="shared" ca="1" si="110"/>
        <v>-99</v>
      </c>
      <c r="AV347">
        <f t="shared" ca="1" si="111"/>
        <v>-99</v>
      </c>
      <c r="AW347">
        <f ca="1">IF(AND($AT347&lt;3,OFFSET(DATA!$C$14,$AS347,0)=AW$6),$AV347,dNULL)</f>
        <v>-99</v>
      </c>
      <c r="AX347">
        <f ca="1">IF(AND($AT347&lt;3,OFFSET(DATA!$C$14,$AS347,0)=AX$6),$AV347,dNULL)</f>
        <v>-99</v>
      </c>
      <c r="AY347">
        <f ca="1">IF(AND($AT347&lt;3,OFFSET(DATA!$C$14,$AS347,0)=AY$6),$AV347,dNULL)</f>
        <v>-99</v>
      </c>
      <c r="AZ347">
        <f ca="1">IF(AND($AT347&lt;3,OFFSET(DATA!$C$14,$AS347,0)=AZ$6),$AV347,dNULL)</f>
        <v>-99</v>
      </c>
      <c r="BA347">
        <f ca="1">IF(AND($AT347&lt;3,OFFSET(DATA!$C$14,$AS347,0)=BA$6),$AV347,dNULL)</f>
        <v>-99</v>
      </c>
      <c r="BB347">
        <f ca="1">IF(AND($AT347&lt;3,OFFSET(DATA!$C$14,$AS347,0)=BB$6),$AV347,dNULL)</f>
        <v>-99</v>
      </c>
      <c r="BC347">
        <f ca="1">IF(AND($AT347&lt;3,OFFSET(DATA!$C$14,$AS347,0)=BC$6),$AV347,dNULL)</f>
        <v>-99</v>
      </c>
      <c r="BD347">
        <f ca="1">IF(AND($AT347&lt;3,OFFSET(DATA!$C$14,$AS347,0)=BD$6),$AV347,dNULL)</f>
        <v>-99</v>
      </c>
      <c r="BE347">
        <f ca="1">IF(AND($AT347&lt;3,OFFSET(DATA!$C$14,$AS347,0)=BE$6),$AV347,dNULL)</f>
        <v>-99</v>
      </c>
      <c r="BF347">
        <f ca="1">IF(AND($AT347&lt;3,OFFSET(DATA!$C$14,$AS347,0)=BF$6),$AV347,dNULL)</f>
        <v>-99</v>
      </c>
      <c r="BG347">
        <f ca="1">IF(AND($AT347&lt;3,OFFSET(DATA!$C$14,$AS347,0)=BG$6),$AV347,dNULL)</f>
        <v>-99</v>
      </c>
      <c r="BH347">
        <f ca="1">IF(AND($AT347&lt;3,OFFSET(DATA!$C$14,$AS347,0)=BH$6),$AV347,dNULL)</f>
        <v>-99</v>
      </c>
    </row>
    <row r="348" spans="45:60" x14ac:dyDescent="0.25">
      <c r="AS348">
        <f t="shared" si="108"/>
        <v>72</v>
      </c>
      <c r="AT348">
        <f t="shared" si="109"/>
        <v>3</v>
      </c>
      <c r="AU348">
        <f t="shared" ca="1" si="110"/>
        <v>-99</v>
      </c>
      <c r="AV348">
        <f t="shared" ca="1" si="111"/>
        <v>-99</v>
      </c>
      <c r="AW348">
        <f ca="1">IF(AND($AT348&lt;3,OFFSET(DATA!$C$14,$AS348,0)=AW$6),$AV348,dNULL)</f>
        <v>-99</v>
      </c>
      <c r="AX348">
        <f ca="1">IF(AND($AT348&lt;3,OFFSET(DATA!$C$14,$AS348,0)=AX$6),$AV348,dNULL)</f>
        <v>-99</v>
      </c>
      <c r="AY348">
        <f ca="1">IF(AND($AT348&lt;3,OFFSET(DATA!$C$14,$AS348,0)=AY$6),$AV348,dNULL)</f>
        <v>-99</v>
      </c>
      <c r="AZ348">
        <f ca="1">IF(AND($AT348&lt;3,OFFSET(DATA!$C$14,$AS348,0)=AZ$6),$AV348,dNULL)</f>
        <v>-99</v>
      </c>
      <c r="BA348">
        <f ca="1">IF(AND($AT348&lt;3,OFFSET(DATA!$C$14,$AS348,0)=BA$6),$AV348,dNULL)</f>
        <v>-99</v>
      </c>
      <c r="BB348">
        <f ca="1">IF(AND($AT348&lt;3,OFFSET(DATA!$C$14,$AS348,0)=BB$6),$AV348,dNULL)</f>
        <v>-99</v>
      </c>
      <c r="BC348">
        <f ca="1">IF(AND($AT348&lt;3,OFFSET(DATA!$C$14,$AS348,0)=BC$6),$AV348,dNULL)</f>
        <v>-99</v>
      </c>
      <c r="BD348">
        <f ca="1">IF(AND($AT348&lt;3,OFFSET(DATA!$C$14,$AS348,0)=BD$6),$AV348,dNULL)</f>
        <v>-99</v>
      </c>
      <c r="BE348">
        <f ca="1">IF(AND($AT348&lt;3,OFFSET(DATA!$C$14,$AS348,0)=BE$6),$AV348,dNULL)</f>
        <v>-99</v>
      </c>
      <c r="BF348">
        <f ca="1">IF(AND($AT348&lt;3,OFFSET(DATA!$C$14,$AS348,0)=BF$6),$AV348,dNULL)</f>
        <v>-99</v>
      </c>
      <c r="BG348">
        <f ca="1">IF(AND($AT348&lt;3,OFFSET(DATA!$C$14,$AS348,0)=BG$6),$AV348,dNULL)</f>
        <v>-99</v>
      </c>
      <c r="BH348">
        <f ca="1">IF(AND($AT348&lt;3,OFFSET(DATA!$C$14,$AS348,0)=BH$6),$AV348,dNULL)</f>
        <v>-99</v>
      </c>
    </row>
    <row r="349" spans="45:60" x14ac:dyDescent="0.25">
      <c r="AS349">
        <f t="shared" si="108"/>
        <v>73</v>
      </c>
      <c r="AT349">
        <f t="shared" si="109"/>
        <v>3</v>
      </c>
      <c r="AU349">
        <f t="shared" ca="1" si="110"/>
        <v>-99</v>
      </c>
      <c r="AV349">
        <f t="shared" ca="1" si="111"/>
        <v>-99</v>
      </c>
      <c r="AW349">
        <f ca="1">IF(AND($AT349&lt;3,OFFSET(DATA!$C$14,$AS349,0)=AW$6),$AV349,dNULL)</f>
        <v>-99</v>
      </c>
      <c r="AX349">
        <f ca="1">IF(AND($AT349&lt;3,OFFSET(DATA!$C$14,$AS349,0)=AX$6),$AV349,dNULL)</f>
        <v>-99</v>
      </c>
      <c r="AY349">
        <f ca="1">IF(AND($AT349&lt;3,OFFSET(DATA!$C$14,$AS349,0)=AY$6),$AV349,dNULL)</f>
        <v>-99</v>
      </c>
      <c r="AZ349">
        <f ca="1">IF(AND($AT349&lt;3,OFFSET(DATA!$C$14,$AS349,0)=AZ$6),$AV349,dNULL)</f>
        <v>-99</v>
      </c>
      <c r="BA349">
        <f ca="1">IF(AND($AT349&lt;3,OFFSET(DATA!$C$14,$AS349,0)=BA$6),$AV349,dNULL)</f>
        <v>-99</v>
      </c>
      <c r="BB349">
        <f ca="1">IF(AND($AT349&lt;3,OFFSET(DATA!$C$14,$AS349,0)=BB$6),$AV349,dNULL)</f>
        <v>-99</v>
      </c>
      <c r="BC349">
        <f ca="1">IF(AND($AT349&lt;3,OFFSET(DATA!$C$14,$AS349,0)=BC$6),$AV349,dNULL)</f>
        <v>-99</v>
      </c>
      <c r="BD349">
        <f ca="1">IF(AND($AT349&lt;3,OFFSET(DATA!$C$14,$AS349,0)=BD$6),$AV349,dNULL)</f>
        <v>-99</v>
      </c>
      <c r="BE349">
        <f ca="1">IF(AND($AT349&lt;3,OFFSET(DATA!$C$14,$AS349,0)=BE$6),$AV349,dNULL)</f>
        <v>-99</v>
      </c>
      <c r="BF349">
        <f ca="1">IF(AND($AT349&lt;3,OFFSET(DATA!$C$14,$AS349,0)=BF$6),$AV349,dNULL)</f>
        <v>-99</v>
      </c>
      <c r="BG349">
        <f ca="1">IF(AND($AT349&lt;3,OFFSET(DATA!$C$14,$AS349,0)=BG$6),$AV349,dNULL)</f>
        <v>-99</v>
      </c>
      <c r="BH349">
        <f ca="1">IF(AND($AT349&lt;3,OFFSET(DATA!$C$14,$AS349,0)=BH$6),$AV349,dNULL)</f>
        <v>-99</v>
      </c>
    </row>
    <row r="350" spans="45:60" x14ac:dyDescent="0.25">
      <c r="AS350">
        <f t="shared" si="108"/>
        <v>74</v>
      </c>
      <c r="AT350">
        <f t="shared" si="109"/>
        <v>3</v>
      </c>
      <c r="AU350">
        <f t="shared" ca="1" si="110"/>
        <v>-99</v>
      </c>
      <c r="AV350">
        <f t="shared" ca="1" si="111"/>
        <v>-99</v>
      </c>
      <c r="AW350">
        <f ca="1">IF(AND($AT350&lt;3,OFFSET(DATA!$C$14,$AS350,0)=AW$6),$AV350,dNULL)</f>
        <v>-99</v>
      </c>
      <c r="AX350">
        <f ca="1">IF(AND($AT350&lt;3,OFFSET(DATA!$C$14,$AS350,0)=AX$6),$AV350,dNULL)</f>
        <v>-99</v>
      </c>
      <c r="AY350">
        <f ca="1">IF(AND($AT350&lt;3,OFFSET(DATA!$C$14,$AS350,0)=AY$6),$AV350,dNULL)</f>
        <v>-99</v>
      </c>
      <c r="AZ350">
        <f ca="1">IF(AND($AT350&lt;3,OFFSET(DATA!$C$14,$AS350,0)=AZ$6),$AV350,dNULL)</f>
        <v>-99</v>
      </c>
      <c r="BA350">
        <f ca="1">IF(AND($AT350&lt;3,OFFSET(DATA!$C$14,$AS350,0)=BA$6),$AV350,dNULL)</f>
        <v>-99</v>
      </c>
      <c r="BB350">
        <f ca="1">IF(AND($AT350&lt;3,OFFSET(DATA!$C$14,$AS350,0)=BB$6),$AV350,dNULL)</f>
        <v>-99</v>
      </c>
      <c r="BC350">
        <f ca="1">IF(AND($AT350&lt;3,OFFSET(DATA!$C$14,$AS350,0)=BC$6),$AV350,dNULL)</f>
        <v>-99</v>
      </c>
      <c r="BD350">
        <f ca="1">IF(AND($AT350&lt;3,OFFSET(DATA!$C$14,$AS350,0)=BD$6),$AV350,dNULL)</f>
        <v>-99</v>
      </c>
      <c r="BE350">
        <f ca="1">IF(AND($AT350&lt;3,OFFSET(DATA!$C$14,$AS350,0)=BE$6),$AV350,dNULL)</f>
        <v>-99</v>
      </c>
      <c r="BF350">
        <f ca="1">IF(AND($AT350&lt;3,OFFSET(DATA!$C$14,$AS350,0)=BF$6),$AV350,dNULL)</f>
        <v>-99</v>
      </c>
      <c r="BG350">
        <f ca="1">IF(AND($AT350&lt;3,OFFSET(DATA!$C$14,$AS350,0)=BG$6),$AV350,dNULL)</f>
        <v>-99</v>
      </c>
      <c r="BH350">
        <f ca="1">IF(AND($AT350&lt;3,OFFSET(DATA!$C$14,$AS350,0)=BH$6),$AV350,dNULL)</f>
        <v>-99</v>
      </c>
    </row>
    <row r="351" spans="45:60" x14ac:dyDescent="0.25">
      <c r="AS351">
        <f t="shared" si="108"/>
        <v>75</v>
      </c>
      <c r="AT351">
        <f t="shared" si="109"/>
        <v>3</v>
      </c>
      <c r="AU351">
        <f t="shared" ca="1" si="110"/>
        <v>-99</v>
      </c>
      <c r="AV351">
        <f t="shared" ca="1" si="111"/>
        <v>-99</v>
      </c>
      <c r="AW351">
        <f ca="1">IF(AND($AT351&lt;3,OFFSET(DATA!$C$14,$AS351,0)=AW$6),$AV351,dNULL)</f>
        <v>-99</v>
      </c>
      <c r="AX351">
        <f ca="1">IF(AND($AT351&lt;3,OFFSET(DATA!$C$14,$AS351,0)=AX$6),$AV351,dNULL)</f>
        <v>-99</v>
      </c>
      <c r="AY351">
        <f ca="1">IF(AND($AT351&lt;3,OFFSET(DATA!$C$14,$AS351,0)=AY$6),$AV351,dNULL)</f>
        <v>-99</v>
      </c>
      <c r="AZ351">
        <f ca="1">IF(AND($AT351&lt;3,OFFSET(DATA!$C$14,$AS351,0)=AZ$6),$AV351,dNULL)</f>
        <v>-99</v>
      </c>
      <c r="BA351">
        <f ca="1">IF(AND($AT351&lt;3,OFFSET(DATA!$C$14,$AS351,0)=BA$6),$AV351,dNULL)</f>
        <v>-99</v>
      </c>
      <c r="BB351">
        <f ca="1">IF(AND($AT351&lt;3,OFFSET(DATA!$C$14,$AS351,0)=BB$6),$AV351,dNULL)</f>
        <v>-99</v>
      </c>
      <c r="BC351">
        <f ca="1">IF(AND($AT351&lt;3,OFFSET(DATA!$C$14,$AS351,0)=BC$6),$AV351,dNULL)</f>
        <v>-99</v>
      </c>
      <c r="BD351">
        <f ca="1">IF(AND($AT351&lt;3,OFFSET(DATA!$C$14,$AS351,0)=BD$6),$AV351,dNULL)</f>
        <v>-99</v>
      </c>
      <c r="BE351">
        <f ca="1">IF(AND($AT351&lt;3,OFFSET(DATA!$C$14,$AS351,0)=BE$6),$AV351,dNULL)</f>
        <v>-99</v>
      </c>
      <c r="BF351">
        <f ca="1">IF(AND($AT351&lt;3,OFFSET(DATA!$C$14,$AS351,0)=BF$6),$AV351,dNULL)</f>
        <v>-99</v>
      </c>
      <c r="BG351">
        <f ca="1">IF(AND($AT351&lt;3,OFFSET(DATA!$C$14,$AS351,0)=BG$6),$AV351,dNULL)</f>
        <v>-99</v>
      </c>
      <c r="BH351">
        <f ca="1">IF(AND($AT351&lt;3,OFFSET(DATA!$C$14,$AS351,0)=BH$6),$AV351,dNULL)</f>
        <v>-99</v>
      </c>
    </row>
    <row r="352" spans="45:60" x14ac:dyDescent="0.25">
      <c r="AS352">
        <f t="shared" si="108"/>
        <v>76</v>
      </c>
      <c r="AT352">
        <f t="shared" si="109"/>
        <v>3</v>
      </c>
      <c r="AU352">
        <f t="shared" ca="1" si="110"/>
        <v>-99</v>
      </c>
      <c r="AV352">
        <f t="shared" ca="1" si="111"/>
        <v>-99</v>
      </c>
      <c r="AW352">
        <f ca="1">IF(AND($AT352&lt;3,OFFSET(DATA!$C$14,$AS352,0)=AW$6),$AV352,dNULL)</f>
        <v>-99</v>
      </c>
      <c r="AX352">
        <f ca="1">IF(AND($AT352&lt;3,OFFSET(DATA!$C$14,$AS352,0)=AX$6),$AV352,dNULL)</f>
        <v>-99</v>
      </c>
      <c r="AY352">
        <f ca="1">IF(AND($AT352&lt;3,OFFSET(DATA!$C$14,$AS352,0)=AY$6),$AV352,dNULL)</f>
        <v>-99</v>
      </c>
      <c r="AZ352">
        <f ca="1">IF(AND($AT352&lt;3,OFFSET(DATA!$C$14,$AS352,0)=AZ$6),$AV352,dNULL)</f>
        <v>-99</v>
      </c>
      <c r="BA352">
        <f ca="1">IF(AND($AT352&lt;3,OFFSET(DATA!$C$14,$AS352,0)=BA$6),$AV352,dNULL)</f>
        <v>-99</v>
      </c>
      <c r="BB352">
        <f ca="1">IF(AND($AT352&lt;3,OFFSET(DATA!$C$14,$AS352,0)=BB$6),$AV352,dNULL)</f>
        <v>-99</v>
      </c>
      <c r="BC352">
        <f ca="1">IF(AND($AT352&lt;3,OFFSET(DATA!$C$14,$AS352,0)=BC$6),$AV352,dNULL)</f>
        <v>-99</v>
      </c>
      <c r="BD352">
        <f ca="1">IF(AND($AT352&lt;3,OFFSET(DATA!$C$14,$AS352,0)=BD$6),$AV352,dNULL)</f>
        <v>-99</v>
      </c>
      <c r="BE352">
        <f ca="1">IF(AND($AT352&lt;3,OFFSET(DATA!$C$14,$AS352,0)=BE$6),$AV352,dNULL)</f>
        <v>-99</v>
      </c>
      <c r="BF352">
        <f ca="1">IF(AND($AT352&lt;3,OFFSET(DATA!$C$14,$AS352,0)=BF$6),$AV352,dNULL)</f>
        <v>-99</v>
      </c>
      <c r="BG352">
        <f ca="1">IF(AND($AT352&lt;3,OFFSET(DATA!$C$14,$AS352,0)=BG$6),$AV352,dNULL)</f>
        <v>-99</v>
      </c>
      <c r="BH352">
        <f ca="1">IF(AND($AT352&lt;3,OFFSET(DATA!$C$14,$AS352,0)=BH$6),$AV352,dNULL)</f>
        <v>-99</v>
      </c>
    </row>
    <row r="353" spans="45:60" x14ac:dyDescent="0.25">
      <c r="AS353">
        <f t="shared" si="108"/>
        <v>77</v>
      </c>
      <c r="AT353">
        <f t="shared" si="109"/>
        <v>3</v>
      </c>
      <c r="AU353">
        <f t="shared" ca="1" si="110"/>
        <v>-99</v>
      </c>
      <c r="AV353">
        <f t="shared" ca="1" si="111"/>
        <v>-99</v>
      </c>
      <c r="AW353">
        <f ca="1">IF(AND($AT353&lt;3,OFFSET(DATA!$C$14,$AS353,0)=AW$6),$AV353,dNULL)</f>
        <v>-99</v>
      </c>
      <c r="AX353">
        <f ca="1">IF(AND($AT353&lt;3,OFFSET(DATA!$C$14,$AS353,0)=AX$6),$AV353,dNULL)</f>
        <v>-99</v>
      </c>
      <c r="AY353">
        <f ca="1">IF(AND($AT353&lt;3,OFFSET(DATA!$C$14,$AS353,0)=AY$6),$AV353,dNULL)</f>
        <v>-99</v>
      </c>
      <c r="AZ353">
        <f ca="1">IF(AND($AT353&lt;3,OFFSET(DATA!$C$14,$AS353,0)=AZ$6),$AV353,dNULL)</f>
        <v>-99</v>
      </c>
      <c r="BA353">
        <f ca="1">IF(AND($AT353&lt;3,OFFSET(DATA!$C$14,$AS353,0)=BA$6),$AV353,dNULL)</f>
        <v>-99</v>
      </c>
      <c r="BB353">
        <f ca="1">IF(AND($AT353&lt;3,OFFSET(DATA!$C$14,$AS353,0)=BB$6),$AV353,dNULL)</f>
        <v>-99</v>
      </c>
      <c r="BC353">
        <f ca="1">IF(AND($AT353&lt;3,OFFSET(DATA!$C$14,$AS353,0)=BC$6),$AV353,dNULL)</f>
        <v>-99</v>
      </c>
      <c r="BD353">
        <f ca="1">IF(AND($AT353&lt;3,OFFSET(DATA!$C$14,$AS353,0)=BD$6),$AV353,dNULL)</f>
        <v>-99</v>
      </c>
      <c r="BE353">
        <f ca="1">IF(AND($AT353&lt;3,OFFSET(DATA!$C$14,$AS353,0)=BE$6),$AV353,dNULL)</f>
        <v>-99</v>
      </c>
      <c r="BF353">
        <f ca="1">IF(AND($AT353&lt;3,OFFSET(DATA!$C$14,$AS353,0)=BF$6),$AV353,dNULL)</f>
        <v>-99</v>
      </c>
      <c r="BG353">
        <f ca="1">IF(AND($AT353&lt;3,OFFSET(DATA!$C$14,$AS353,0)=BG$6),$AV353,dNULL)</f>
        <v>-99</v>
      </c>
      <c r="BH353">
        <f ca="1">IF(AND($AT353&lt;3,OFFSET(DATA!$C$14,$AS353,0)=BH$6),$AV353,dNULL)</f>
        <v>-99</v>
      </c>
    </row>
    <row r="354" spans="45:60" x14ac:dyDescent="0.25">
      <c r="AS354">
        <f t="shared" si="108"/>
        <v>78</v>
      </c>
      <c r="AT354">
        <f t="shared" si="109"/>
        <v>3</v>
      </c>
      <c r="AU354">
        <f t="shared" ca="1" si="110"/>
        <v>-99</v>
      </c>
      <c r="AV354">
        <f t="shared" ca="1" si="111"/>
        <v>-99</v>
      </c>
      <c r="AW354">
        <f ca="1">IF(AND($AT354&lt;3,OFFSET(DATA!$C$14,$AS354,0)=AW$6),$AV354,dNULL)</f>
        <v>-99</v>
      </c>
      <c r="AX354">
        <f ca="1">IF(AND($AT354&lt;3,OFFSET(DATA!$C$14,$AS354,0)=AX$6),$AV354,dNULL)</f>
        <v>-99</v>
      </c>
      <c r="AY354">
        <f ca="1">IF(AND($AT354&lt;3,OFFSET(DATA!$C$14,$AS354,0)=AY$6),$AV354,dNULL)</f>
        <v>-99</v>
      </c>
      <c r="AZ354">
        <f ca="1">IF(AND($AT354&lt;3,OFFSET(DATA!$C$14,$AS354,0)=AZ$6),$AV354,dNULL)</f>
        <v>-99</v>
      </c>
      <c r="BA354">
        <f ca="1">IF(AND($AT354&lt;3,OFFSET(DATA!$C$14,$AS354,0)=BA$6),$AV354,dNULL)</f>
        <v>-99</v>
      </c>
      <c r="BB354">
        <f ca="1">IF(AND($AT354&lt;3,OFFSET(DATA!$C$14,$AS354,0)=BB$6),$AV354,dNULL)</f>
        <v>-99</v>
      </c>
      <c r="BC354">
        <f ca="1">IF(AND($AT354&lt;3,OFFSET(DATA!$C$14,$AS354,0)=BC$6),$AV354,dNULL)</f>
        <v>-99</v>
      </c>
      <c r="BD354">
        <f ca="1">IF(AND($AT354&lt;3,OFFSET(DATA!$C$14,$AS354,0)=BD$6),$AV354,dNULL)</f>
        <v>-99</v>
      </c>
      <c r="BE354">
        <f ca="1">IF(AND($AT354&lt;3,OFFSET(DATA!$C$14,$AS354,0)=BE$6),$AV354,dNULL)</f>
        <v>-99</v>
      </c>
      <c r="BF354">
        <f ca="1">IF(AND($AT354&lt;3,OFFSET(DATA!$C$14,$AS354,0)=BF$6),$AV354,dNULL)</f>
        <v>-99</v>
      </c>
      <c r="BG354">
        <f ca="1">IF(AND($AT354&lt;3,OFFSET(DATA!$C$14,$AS354,0)=BG$6),$AV354,dNULL)</f>
        <v>-99</v>
      </c>
      <c r="BH354">
        <f ca="1">IF(AND($AT354&lt;3,OFFSET(DATA!$C$14,$AS354,0)=BH$6),$AV354,dNULL)</f>
        <v>-99</v>
      </c>
    </row>
    <row r="355" spans="45:60" x14ac:dyDescent="0.25">
      <c r="AS355">
        <f t="shared" si="108"/>
        <v>79</v>
      </c>
      <c r="AT355">
        <f t="shared" si="109"/>
        <v>3</v>
      </c>
      <c r="AU355">
        <f t="shared" ca="1" si="110"/>
        <v>-99</v>
      </c>
      <c r="AV355">
        <f t="shared" ca="1" si="111"/>
        <v>-99</v>
      </c>
      <c r="AW355">
        <f ca="1">IF(AND($AT355&lt;3,OFFSET(DATA!$C$14,$AS355,0)=AW$6),$AV355,dNULL)</f>
        <v>-99</v>
      </c>
      <c r="AX355">
        <f ca="1">IF(AND($AT355&lt;3,OFFSET(DATA!$C$14,$AS355,0)=AX$6),$AV355,dNULL)</f>
        <v>-99</v>
      </c>
      <c r="AY355">
        <f ca="1">IF(AND($AT355&lt;3,OFFSET(DATA!$C$14,$AS355,0)=AY$6),$AV355,dNULL)</f>
        <v>-99</v>
      </c>
      <c r="AZ355">
        <f ca="1">IF(AND($AT355&lt;3,OFFSET(DATA!$C$14,$AS355,0)=AZ$6),$AV355,dNULL)</f>
        <v>-99</v>
      </c>
      <c r="BA355">
        <f ca="1">IF(AND($AT355&lt;3,OFFSET(DATA!$C$14,$AS355,0)=BA$6),$AV355,dNULL)</f>
        <v>-99</v>
      </c>
      <c r="BB355">
        <f ca="1">IF(AND($AT355&lt;3,OFFSET(DATA!$C$14,$AS355,0)=BB$6),$AV355,dNULL)</f>
        <v>-99</v>
      </c>
      <c r="BC355">
        <f ca="1">IF(AND($AT355&lt;3,OFFSET(DATA!$C$14,$AS355,0)=BC$6),$AV355,dNULL)</f>
        <v>-99</v>
      </c>
      <c r="BD355">
        <f ca="1">IF(AND($AT355&lt;3,OFFSET(DATA!$C$14,$AS355,0)=BD$6),$AV355,dNULL)</f>
        <v>-99</v>
      </c>
      <c r="BE355">
        <f ca="1">IF(AND($AT355&lt;3,OFFSET(DATA!$C$14,$AS355,0)=BE$6),$AV355,dNULL)</f>
        <v>-99</v>
      </c>
      <c r="BF355">
        <f ca="1">IF(AND($AT355&lt;3,OFFSET(DATA!$C$14,$AS355,0)=BF$6),$AV355,dNULL)</f>
        <v>-99</v>
      </c>
      <c r="BG355">
        <f ca="1">IF(AND($AT355&lt;3,OFFSET(DATA!$C$14,$AS355,0)=BG$6),$AV355,dNULL)</f>
        <v>-99</v>
      </c>
      <c r="BH355">
        <f ca="1">IF(AND($AT355&lt;3,OFFSET(DATA!$C$14,$AS355,0)=BH$6),$AV355,dNULL)</f>
        <v>-99</v>
      </c>
    </row>
    <row r="356" spans="45:60" x14ac:dyDescent="0.25">
      <c r="AS356">
        <f t="shared" si="108"/>
        <v>80</v>
      </c>
      <c r="AT356">
        <f t="shared" si="109"/>
        <v>3</v>
      </c>
      <c r="AU356">
        <f t="shared" ca="1" si="110"/>
        <v>-99</v>
      </c>
      <c r="AV356">
        <f t="shared" ca="1" si="111"/>
        <v>-99</v>
      </c>
      <c r="AW356">
        <f ca="1">IF(AND($AT356&lt;3,OFFSET(DATA!$C$14,$AS356,0)=AW$6),$AV356,dNULL)</f>
        <v>-99</v>
      </c>
      <c r="AX356">
        <f ca="1">IF(AND($AT356&lt;3,OFFSET(DATA!$C$14,$AS356,0)=AX$6),$AV356,dNULL)</f>
        <v>-99</v>
      </c>
      <c r="AY356">
        <f ca="1">IF(AND($AT356&lt;3,OFFSET(DATA!$C$14,$AS356,0)=AY$6),$AV356,dNULL)</f>
        <v>-99</v>
      </c>
      <c r="AZ356">
        <f ca="1">IF(AND($AT356&lt;3,OFFSET(DATA!$C$14,$AS356,0)=AZ$6),$AV356,dNULL)</f>
        <v>-99</v>
      </c>
      <c r="BA356">
        <f ca="1">IF(AND($AT356&lt;3,OFFSET(DATA!$C$14,$AS356,0)=BA$6),$AV356,dNULL)</f>
        <v>-99</v>
      </c>
      <c r="BB356">
        <f ca="1">IF(AND($AT356&lt;3,OFFSET(DATA!$C$14,$AS356,0)=BB$6),$AV356,dNULL)</f>
        <v>-99</v>
      </c>
      <c r="BC356">
        <f ca="1">IF(AND($AT356&lt;3,OFFSET(DATA!$C$14,$AS356,0)=BC$6),$AV356,dNULL)</f>
        <v>-99</v>
      </c>
      <c r="BD356">
        <f ca="1">IF(AND($AT356&lt;3,OFFSET(DATA!$C$14,$AS356,0)=BD$6),$AV356,dNULL)</f>
        <v>-99</v>
      </c>
      <c r="BE356">
        <f ca="1">IF(AND($AT356&lt;3,OFFSET(DATA!$C$14,$AS356,0)=BE$6),$AV356,dNULL)</f>
        <v>-99</v>
      </c>
      <c r="BF356">
        <f ca="1">IF(AND($AT356&lt;3,OFFSET(DATA!$C$14,$AS356,0)=BF$6),$AV356,dNULL)</f>
        <v>-99</v>
      </c>
      <c r="BG356">
        <f ca="1">IF(AND($AT356&lt;3,OFFSET(DATA!$C$14,$AS356,0)=BG$6),$AV356,dNULL)</f>
        <v>-99</v>
      </c>
      <c r="BH356">
        <f ca="1">IF(AND($AT356&lt;3,OFFSET(DATA!$C$14,$AS356,0)=BH$6),$AV356,dNULL)</f>
        <v>-99</v>
      </c>
    </row>
    <row r="357" spans="45:60" x14ac:dyDescent="0.25">
      <c r="AS357">
        <f t="shared" si="108"/>
        <v>81</v>
      </c>
      <c r="AT357">
        <f t="shared" si="109"/>
        <v>3</v>
      </c>
      <c r="AU357">
        <f t="shared" ca="1" si="110"/>
        <v>-99</v>
      </c>
      <c r="AV357">
        <f t="shared" ca="1" si="111"/>
        <v>-99</v>
      </c>
      <c r="AW357">
        <f ca="1">IF(AND($AT357&lt;3,OFFSET(DATA!$C$14,$AS357,0)=AW$6),$AV357,dNULL)</f>
        <v>-99</v>
      </c>
      <c r="AX357">
        <f ca="1">IF(AND($AT357&lt;3,OFFSET(DATA!$C$14,$AS357,0)=AX$6),$AV357,dNULL)</f>
        <v>-99</v>
      </c>
      <c r="AY357">
        <f ca="1">IF(AND($AT357&lt;3,OFFSET(DATA!$C$14,$AS357,0)=AY$6),$AV357,dNULL)</f>
        <v>-99</v>
      </c>
      <c r="AZ357">
        <f ca="1">IF(AND($AT357&lt;3,OFFSET(DATA!$C$14,$AS357,0)=AZ$6),$AV357,dNULL)</f>
        <v>-99</v>
      </c>
      <c r="BA357">
        <f ca="1">IF(AND($AT357&lt;3,OFFSET(DATA!$C$14,$AS357,0)=BA$6),$AV357,dNULL)</f>
        <v>-99</v>
      </c>
      <c r="BB357">
        <f ca="1">IF(AND($AT357&lt;3,OFFSET(DATA!$C$14,$AS357,0)=BB$6),$AV357,dNULL)</f>
        <v>-99</v>
      </c>
      <c r="BC357">
        <f ca="1">IF(AND($AT357&lt;3,OFFSET(DATA!$C$14,$AS357,0)=BC$6),$AV357,dNULL)</f>
        <v>-99</v>
      </c>
      <c r="BD357">
        <f ca="1">IF(AND($AT357&lt;3,OFFSET(DATA!$C$14,$AS357,0)=BD$6),$AV357,dNULL)</f>
        <v>-99</v>
      </c>
      <c r="BE357">
        <f ca="1">IF(AND($AT357&lt;3,OFFSET(DATA!$C$14,$AS357,0)=BE$6),$AV357,dNULL)</f>
        <v>-99</v>
      </c>
      <c r="BF357">
        <f ca="1">IF(AND($AT357&lt;3,OFFSET(DATA!$C$14,$AS357,0)=BF$6),$AV357,dNULL)</f>
        <v>-99</v>
      </c>
      <c r="BG357">
        <f ca="1">IF(AND($AT357&lt;3,OFFSET(DATA!$C$14,$AS357,0)=BG$6),$AV357,dNULL)</f>
        <v>-99</v>
      </c>
      <c r="BH357">
        <f ca="1">IF(AND($AT357&lt;3,OFFSET(DATA!$C$14,$AS357,0)=BH$6),$AV357,dNULL)</f>
        <v>-99</v>
      </c>
    </row>
    <row r="358" spans="45:60" x14ac:dyDescent="0.25">
      <c r="AS358">
        <f t="shared" si="108"/>
        <v>82</v>
      </c>
      <c r="AT358">
        <f t="shared" si="109"/>
        <v>3</v>
      </c>
      <c r="AU358">
        <f t="shared" ca="1" si="110"/>
        <v>-99</v>
      </c>
      <c r="AV358">
        <f t="shared" ca="1" si="111"/>
        <v>-99</v>
      </c>
      <c r="AW358">
        <f ca="1">IF(AND($AT358&lt;3,OFFSET(DATA!$C$14,$AS358,0)=AW$6),$AV358,dNULL)</f>
        <v>-99</v>
      </c>
      <c r="AX358">
        <f ca="1">IF(AND($AT358&lt;3,OFFSET(DATA!$C$14,$AS358,0)=AX$6),$AV358,dNULL)</f>
        <v>-99</v>
      </c>
      <c r="AY358">
        <f ca="1">IF(AND($AT358&lt;3,OFFSET(DATA!$C$14,$AS358,0)=AY$6),$AV358,dNULL)</f>
        <v>-99</v>
      </c>
      <c r="AZ358">
        <f ca="1">IF(AND($AT358&lt;3,OFFSET(DATA!$C$14,$AS358,0)=AZ$6),$AV358,dNULL)</f>
        <v>-99</v>
      </c>
      <c r="BA358">
        <f ca="1">IF(AND($AT358&lt;3,OFFSET(DATA!$C$14,$AS358,0)=BA$6),$AV358,dNULL)</f>
        <v>-99</v>
      </c>
      <c r="BB358">
        <f ca="1">IF(AND($AT358&lt;3,OFFSET(DATA!$C$14,$AS358,0)=BB$6),$AV358,dNULL)</f>
        <v>-99</v>
      </c>
      <c r="BC358">
        <f ca="1">IF(AND($AT358&lt;3,OFFSET(DATA!$C$14,$AS358,0)=BC$6),$AV358,dNULL)</f>
        <v>-99</v>
      </c>
      <c r="BD358">
        <f ca="1">IF(AND($AT358&lt;3,OFFSET(DATA!$C$14,$AS358,0)=BD$6),$AV358,dNULL)</f>
        <v>-99</v>
      </c>
      <c r="BE358">
        <f ca="1">IF(AND($AT358&lt;3,OFFSET(DATA!$C$14,$AS358,0)=BE$6),$AV358,dNULL)</f>
        <v>-99</v>
      </c>
      <c r="BF358">
        <f ca="1">IF(AND($AT358&lt;3,OFFSET(DATA!$C$14,$AS358,0)=BF$6),$AV358,dNULL)</f>
        <v>-99</v>
      </c>
      <c r="BG358">
        <f ca="1">IF(AND($AT358&lt;3,OFFSET(DATA!$C$14,$AS358,0)=BG$6),$AV358,dNULL)</f>
        <v>-99</v>
      </c>
      <c r="BH358">
        <f ca="1">IF(AND($AT358&lt;3,OFFSET(DATA!$C$14,$AS358,0)=BH$6),$AV358,dNULL)</f>
        <v>-99</v>
      </c>
    </row>
    <row r="359" spans="45:60" x14ac:dyDescent="0.25">
      <c r="AS359">
        <f t="shared" si="108"/>
        <v>83</v>
      </c>
      <c r="AT359">
        <f t="shared" si="109"/>
        <v>3</v>
      </c>
      <c r="AU359">
        <f t="shared" ca="1" si="110"/>
        <v>-99</v>
      </c>
      <c r="AV359">
        <f t="shared" ca="1" si="111"/>
        <v>-99</v>
      </c>
      <c r="AW359">
        <f ca="1">IF(AND($AT359&lt;3,OFFSET(DATA!$C$14,$AS359,0)=AW$6),$AV359,dNULL)</f>
        <v>-99</v>
      </c>
      <c r="AX359">
        <f ca="1">IF(AND($AT359&lt;3,OFFSET(DATA!$C$14,$AS359,0)=AX$6),$AV359,dNULL)</f>
        <v>-99</v>
      </c>
      <c r="AY359">
        <f ca="1">IF(AND($AT359&lt;3,OFFSET(DATA!$C$14,$AS359,0)=AY$6),$AV359,dNULL)</f>
        <v>-99</v>
      </c>
      <c r="AZ359">
        <f ca="1">IF(AND($AT359&lt;3,OFFSET(DATA!$C$14,$AS359,0)=AZ$6),$AV359,dNULL)</f>
        <v>-99</v>
      </c>
      <c r="BA359">
        <f ca="1">IF(AND($AT359&lt;3,OFFSET(DATA!$C$14,$AS359,0)=BA$6),$AV359,dNULL)</f>
        <v>-99</v>
      </c>
      <c r="BB359">
        <f ca="1">IF(AND($AT359&lt;3,OFFSET(DATA!$C$14,$AS359,0)=BB$6),$AV359,dNULL)</f>
        <v>-99</v>
      </c>
      <c r="BC359">
        <f ca="1">IF(AND($AT359&lt;3,OFFSET(DATA!$C$14,$AS359,0)=BC$6),$AV359,dNULL)</f>
        <v>-99</v>
      </c>
      <c r="BD359">
        <f ca="1">IF(AND($AT359&lt;3,OFFSET(DATA!$C$14,$AS359,0)=BD$6),$AV359,dNULL)</f>
        <v>-99</v>
      </c>
      <c r="BE359">
        <f ca="1">IF(AND($AT359&lt;3,OFFSET(DATA!$C$14,$AS359,0)=BE$6),$AV359,dNULL)</f>
        <v>-99</v>
      </c>
      <c r="BF359">
        <f ca="1">IF(AND($AT359&lt;3,OFFSET(DATA!$C$14,$AS359,0)=BF$6),$AV359,dNULL)</f>
        <v>-99</v>
      </c>
      <c r="BG359">
        <f ca="1">IF(AND($AT359&lt;3,OFFSET(DATA!$C$14,$AS359,0)=BG$6),$AV359,dNULL)</f>
        <v>-99</v>
      </c>
      <c r="BH359">
        <f ca="1">IF(AND($AT359&lt;3,OFFSET(DATA!$C$14,$AS359,0)=BH$6),$AV359,dNULL)</f>
        <v>-99</v>
      </c>
    </row>
    <row r="360" spans="45:60" x14ac:dyDescent="0.25">
      <c r="AS360">
        <f t="shared" si="108"/>
        <v>84</v>
      </c>
      <c r="AT360">
        <f t="shared" si="109"/>
        <v>3</v>
      </c>
      <c r="AU360">
        <f t="shared" ca="1" si="110"/>
        <v>-99</v>
      </c>
      <c r="AV360">
        <f t="shared" ca="1" si="111"/>
        <v>-99</v>
      </c>
      <c r="AW360">
        <f ca="1">IF(AND($AT360&lt;3,OFFSET(DATA!$C$14,$AS360,0)=AW$6),$AV360,dNULL)</f>
        <v>-99</v>
      </c>
      <c r="AX360">
        <f ca="1">IF(AND($AT360&lt;3,OFFSET(DATA!$C$14,$AS360,0)=AX$6),$AV360,dNULL)</f>
        <v>-99</v>
      </c>
      <c r="AY360">
        <f ca="1">IF(AND($AT360&lt;3,OFFSET(DATA!$C$14,$AS360,0)=AY$6),$AV360,dNULL)</f>
        <v>-99</v>
      </c>
      <c r="AZ360">
        <f ca="1">IF(AND($AT360&lt;3,OFFSET(DATA!$C$14,$AS360,0)=AZ$6),$AV360,dNULL)</f>
        <v>-99</v>
      </c>
      <c r="BA360">
        <f ca="1">IF(AND($AT360&lt;3,OFFSET(DATA!$C$14,$AS360,0)=BA$6),$AV360,dNULL)</f>
        <v>-99</v>
      </c>
      <c r="BB360">
        <f ca="1">IF(AND($AT360&lt;3,OFFSET(DATA!$C$14,$AS360,0)=BB$6),$AV360,dNULL)</f>
        <v>-99</v>
      </c>
      <c r="BC360">
        <f ca="1">IF(AND($AT360&lt;3,OFFSET(DATA!$C$14,$AS360,0)=BC$6),$AV360,dNULL)</f>
        <v>-99</v>
      </c>
      <c r="BD360">
        <f ca="1">IF(AND($AT360&lt;3,OFFSET(DATA!$C$14,$AS360,0)=BD$6),$AV360,dNULL)</f>
        <v>-99</v>
      </c>
      <c r="BE360">
        <f ca="1">IF(AND($AT360&lt;3,OFFSET(DATA!$C$14,$AS360,0)=BE$6),$AV360,dNULL)</f>
        <v>-99</v>
      </c>
      <c r="BF360">
        <f ca="1">IF(AND($AT360&lt;3,OFFSET(DATA!$C$14,$AS360,0)=BF$6),$AV360,dNULL)</f>
        <v>-99</v>
      </c>
      <c r="BG360">
        <f ca="1">IF(AND($AT360&lt;3,OFFSET(DATA!$C$14,$AS360,0)=BG$6),$AV360,dNULL)</f>
        <v>-99</v>
      </c>
      <c r="BH360">
        <f ca="1">IF(AND($AT360&lt;3,OFFSET(DATA!$C$14,$AS360,0)=BH$6),$AV360,dNULL)</f>
        <v>-99</v>
      </c>
    </row>
    <row r="361" spans="45:60" x14ac:dyDescent="0.25">
      <c r="AS361">
        <f t="shared" si="108"/>
        <v>85</v>
      </c>
      <c r="AT361">
        <f t="shared" si="109"/>
        <v>3</v>
      </c>
      <c r="AU361">
        <f t="shared" ca="1" si="110"/>
        <v>-99</v>
      </c>
      <c r="AV361">
        <f t="shared" ca="1" si="111"/>
        <v>-99</v>
      </c>
      <c r="AW361">
        <f ca="1">IF(AND($AT361&lt;3,OFFSET(DATA!$C$14,$AS361,0)=AW$6),$AV361,dNULL)</f>
        <v>-99</v>
      </c>
      <c r="AX361">
        <f ca="1">IF(AND($AT361&lt;3,OFFSET(DATA!$C$14,$AS361,0)=AX$6),$AV361,dNULL)</f>
        <v>-99</v>
      </c>
      <c r="AY361">
        <f ca="1">IF(AND($AT361&lt;3,OFFSET(DATA!$C$14,$AS361,0)=AY$6),$AV361,dNULL)</f>
        <v>-99</v>
      </c>
      <c r="AZ361">
        <f ca="1">IF(AND($AT361&lt;3,OFFSET(DATA!$C$14,$AS361,0)=AZ$6),$AV361,dNULL)</f>
        <v>-99</v>
      </c>
      <c r="BA361">
        <f ca="1">IF(AND($AT361&lt;3,OFFSET(DATA!$C$14,$AS361,0)=BA$6),$AV361,dNULL)</f>
        <v>-99</v>
      </c>
      <c r="BB361">
        <f ca="1">IF(AND($AT361&lt;3,OFFSET(DATA!$C$14,$AS361,0)=BB$6),$AV361,dNULL)</f>
        <v>-99</v>
      </c>
      <c r="BC361">
        <f ca="1">IF(AND($AT361&lt;3,OFFSET(DATA!$C$14,$AS361,0)=BC$6),$AV361,dNULL)</f>
        <v>-99</v>
      </c>
      <c r="BD361">
        <f ca="1">IF(AND($AT361&lt;3,OFFSET(DATA!$C$14,$AS361,0)=BD$6),$AV361,dNULL)</f>
        <v>-99</v>
      </c>
      <c r="BE361">
        <f ca="1">IF(AND($AT361&lt;3,OFFSET(DATA!$C$14,$AS361,0)=BE$6),$AV361,dNULL)</f>
        <v>-99</v>
      </c>
      <c r="BF361">
        <f ca="1">IF(AND($AT361&lt;3,OFFSET(DATA!$C$14,$AS361,0)=BF$6),$AV361,dNULL)</f>
        <v>-99</v>
      </c>
      <c r="BG361">
        <f ca="1">IF(AND($AT361&lt;3,OFFSET(DATA!$C$14,$AS361,0)=BG$6),$AV361,dNULL)</f>
        <v>-99</v>
      </c>
      <c r="BH361">
        <f ca="1">IF(AND($AT361&lt;3,OFFSET(DATA!$C$14,$AS361,0)=BH$6),$AV361,dNULL)</f>
        <v>-99</v>
      </c>
    </row>
    <row r="362" spans="45:60" x14ac:dyDescent="0.25">
      <c r="AS362">
        <f t="shared" si="108"/>
        <v>86</v>
      </c>
      <c r="AT362">
        <f t="shared" si="109"/>
        <v>3</v>
      </c>
      <c r="AU362">
        <f t="shared" ca="1" si="110"/>
        <v>-99</v>
      </c>
      <c r="AV362">
        <f t="shared" ca="1" si="111"/>
        <v>-99</v>
      </c>
      <c r="AW362">
        <f ca="1">IF(AND($AT362&lt;3,OFFSET(DATA!$C$14,$AS362,0)=AW$6),$AV362,dNULL)</f>
        <v>-99</v>
      </c>
      <c r="AX362">
        <f ca="1">IF(AND($AT362&lt;3,OFFSET(DATA!$C$14,$AS362,0)=AX$6),$AV362,dNULL)</f>
        <v>-99</v>
      </c>
      <c r="AY362">
        <f ca="1">IF(AND($AT362&lt;3,OFFSET(DATA!$C$14,$AS362,0)=AY$6),$AV362,dNULL)</f>
        <v>-99</v>
      </c>
      <c r="AZ362">
        <f ca="1">IF(AND($AT362&lt;3,OFFSET(DATA!$C$14,$AS362,0)=AZ$6),$AV362,dNULL)</f>
        <v>-99</v>
      </c>
      <c r="BA362">
        <f ca="1">IF(AND($AT362&lt;3,OFFSET(DATA!$C$14,$AS362,0)=BA$6),$AV362,dNULL)</f>
        <v>-99</v>
      </c>
      <c r="BB362">
        <f ca="1">IF(AND($AT362&lt;3,OFFSET(DATA!$C$14,$AS362,0)=BB$6),$AV362,dNULL)</f>
        <v>-99</v>
      </c>
      <c r="BC362">
        <f ca="1">IF(AND($AT362&lt;3,OFFSET(DATA!$C$14,$AS362,0)=BC$6),$AV362,dNULL)</f>
        <v>-99</v>
      </c>
      <c r="BD362">
        <f ca="1">IF(AND($AT362&lt;3,OFFSET(DATA!$C$14,$AS362,0)=BD$6),$AV362,dNULL)</f>
        <v>-99</v>
      </c>
      <c r="BE362">
        <f ca="1">IF(AND($AT362&lt;3,OFFSET(DATA!$C$14,$AS362,0)=BE$6),$AV362,dNULL)</f>
        <v>-99</v>
      </c>
      <c r="BF362">
        <f ca="1">IF(AND($AT362&lt;3,OFFSET(DATA!$C$14,$AS362,0)=BF$6),$AV362,dNULL)</f>
        <v>-99</v>
      </c>
      <c r="BG362">
        <f ca="1">IF(AND($AT362&lt;3,OFFSET(DATA!$C$14,$AS362,0)=BG$6),$AV362,dNULL)</f>
        <v>-99</v>
      </c>
      <c r="BH362">
        <f ca="1">IF(AND($AT362&lt;3,OFFSET(DATA!$C$14,$AS362,0)=BH$6),$AV362,dNULL)</f>
        <v>-99</v>
      </c>
    </row>
    <row r="363" spans="45:60" x14ac:dyDescent="0.25">
      <c r="AS363">
        <f t="shared" si="108"/>
        <v>87</v>
      </c>
      <c r="AT363">
        <f t="shared" si="109"/>
        <v>3</v>
      </c>
      <c r="AU363">
        <f t="shared" ca="1" si="110"/>
        <v>-99</v>
      </c>
      <c r="AV363">
        <f t="shared" ca="1" si="111"/>
        <v>-99</v>
      </c>
      <c r="AW363">
        <f ca="1">IF(AND($AT363&lt;3,OFFSET(DATA!$C$14,$AS363,0)=AW$6),$AV363,dNULL)</f>
        <v>-99</v>
      </c>
      <c r="AX363">
        <f ca="1">IF(AND($AT363&lt;3,OFFSET(DATA!$C$14,$AS363,0)=AX$6),$AV363,dNULL)</f>
        <v>-99</v>
      </c>
      <c r="AY363">
        <f ca="1">IF(AND($AT363&lt;3,OFFSET(DATA!$C$14,$AS363,0)=AY$6),$AV363,dNULL)</f>
        <v>-99</v>
      </c>
      <c r="AZ363">
        <f ca="1">IF(AND($AT363&lt;3,OFFSET(DATA!$C$14,$AS363,0)=AZ$6),$AV363,dNULL)</f>
        <v>-99</v>
      </c>
      <c r="BA363">
        <f ca="1">IF(AND($AT363&lt;3,OFFSET(DATA!$C$14,$AS363,0)=BA$6),$AV363,dNULL)</f>
        <v>-99</v>
      </c>
      <c r="BB363">
        <f ca="1">IF(AND($AT363&lt;3,OFFSET(DATA!$C$14,$AS363,0)=BB$6),$AV363,dNULL)</f>
        <v>-99</v>
      </c>
      <c r="BC363">
        <f ca="1">IF(AND($AT363&lt;3,OFFSET(DATA!$C$14,$AS363,0)=BC$6),$AV363,dNULL)</f>
        <v>-99</v>
      </c>
      <c r="BD363">
        <f ca="1">IF(AND($AT363&lt;3,OFFSET(DATA!$C$14,$AS363,0)=BD$6),$AV363,dNULL)</f>
        <v>-99</v>
      </c>
      <c r="BE363">
        <f ca="1">IF(AND($AT363&lt;3,OFFSET(DATA!$C$14,$AS363,0)=BE$6),$AV363,dNULL)</f>
        <v>-99</v>
      </c>
      <c r="BF363">
        <f ca="1">IF(AND($AT363&lt;3,OFFSET(DATA!$C$14,$AS363,0)=BF$6),$AV363,dNULL)</f>
        <v>-99</v>
      </c>
      <c r="BG363">
        <f ca="1">IF(AND($AT363&lt;3,OFFSET(DATA!$C$14,$AS363,0)=BG$6),$AV363,dNULL)</f>
        <v>-99</v>
      </c>
      <c r="BH363">
        <f ca="1">IF(AND($AT363&lt;3,OFFSET(DATA!$C$14,$AS363,0)=BH$6),$AV363,dNULL)</f>
        <v>-99</v>
      </c>
    </row>
    <row r="364" spans="45:60" x14ac:dyDescent="0.25">
      <c r="AS364">
        <f t="shared" si="108"/>
        <v>88</v>
      </c>
      <c r="AT364">
        <f t="shared" si="109"/>
        <v>3</v>
      </c>
      <c r="AU364">
        <f t="shared" ca="1" si="110"/>
        <v>-99</v>
      </c>
      <c r="AV364">
        <f t="shared" ca="1" si="111"/>
        <v>-99</v>
      </c>
      <c r="AW364">
        <f ca="1">IF(AND($AT364&lt;3,OFFSET(DATA!$C$14,$AS364,0)=AW$6),$AV364,dNULL)</f>
        <v>-99</v>
      </c>
      <c r="AX364">
        <f ca="1">IF(AND($AT364&lt;3,OFFSET(DATA!$C$14,$AS364,0)=AX$6),$AV364,dNULL)</f>
        <v>-99</v>
      </c>
      <c r="AY364">
        <f ca="1">IF(AND($AT364&lt;3,OFFSET(DATA!$C$14,$AS364,0)=AY$6),$AV364,dNULL)</f>
        <v>-99</v>
      </c>
      <c r="AZ364">
        <f ca="1">IF(AND($AT364&lt;3,OFFSET(DATA!$C$14,$AS364,0)=AZ$6),$AV364,dNULL)</f>
        <v>-99</v>
      </c>
      <c r="BA364">
        <f ca="1">IF(AND($AT364&lt;3,OFFSET(DATA!$C$14,$AS364,0)=BA$6),$AV364,dNULL)</f>
        <v>-99</v>
      </c>
      <c r="BB364">
        <f ca="1">IF(AND($AT364&lt;3,OFFSET(DATA!$C$14,$AS364,0)=BB$6),$AV364,dNULL)</f>
        <v>-99</v>
      </c>
      <c r="BC364">
        <f ca="1">IF(AND($AT364&lt;3,OFFSET(DATA!$C$14,$AS364,0)=BC$6),$AV364,dNULL)</f>
        <v>-99</v>
      </c>
      <c r="BD364">
        <f ca="1">IF(AND($AT364&lt;3,OFFSET(DATA!$C$14,$AS364,0)=BD$6),$AV364,dNULL)</f>
        <v>-99</v>
      </c>
      <c r="BE364">
        <f ca="1">IF(AND($AT364&lt;3,OFFSET(DATA!$C$14,$AS364,0)=BE$6),$AV364,dNULL)</f>
        <v>-99</v>
      </c>
      <c r="BF364">
        <f ca="1">IF(AND($AT364&lt;3,OFFSET(DATA!$C$14,$AS364,0)=BF$6),$AV364,dNULL)</f>
        <v>-99</v>
      </c>
      <c r="BG364">
        <f ca="1">IF(AND($AT364&lt;3,OFFSET(DATA!$C$14,$AS364,0)=BG$6),$AV364,dNULL)</f>
        <v>-99</v>
      </c>
      <c r="BH364">
        <f ca="1">IF(AND($AT364&lt;3,OFFSET(DATA!$C$14,$AS364,0)=BH$6),$AV364,dNULL)</f>
        <v>-99</v>
      </c>
    </row>
    <row r="365" spans="45:60" x14ac:dyDescent="0.25">
      <c r="AS365">
        <f t="shared" si="108"/>
        <v>89</v>
      </c>
      <c r="AT365">
        <f t="shared" si="109"/>
        <v>3</v>
      </c>
      <c r="AU365">
        <f t="shared" ca="1" si="110"/>
        <v>-99</v>
      </c>
      <c r="AV365">
        <f t="shared" ca="1" si="111"/>
        <v>-99</v>
      </c>
      <c r="AW365">
        <f ca="1">IF(AND($AT365&lt;3,OFFSET(DATA!$C$14,$AS365,0)=AW$6),$AV365,dNULL)</f>
        <v>-99</v>
      </c>
      <c r="AX365">
        <f ca="1">IF(AND($AT365&lt;3,OFFSET(DATA!$C$14,$AS365,0)=AX$6),$AV365,dNULL)</f>
        <v>-99</v>
      </c>
      <c r="AY365">
        <f ca="1">IF(AND($AT365&lt;3,OFFSET(DATA!$C$14,$AS365,0)=AY$6),$AV365,dNULL)</f>
        <v>-99</v>
      </c>
      <c r="AZ365">
        <f ca="1">IF(AND($AT365&lt;3,OFFSET(DATA!$C$14,$AS365,0)=AZ$6),$AV365,dNULL)</f>
        <v>-99</v>
      </c>
      <c r="BA365">
        <f ca="1">IF(AND($AT365&lt;3,OFFSET(DATA!$C$14,$AS365,0)=BA$6),$AV365,dNULL)</f>
        <v>-99</v>
      </c>
      <c r="BB365">
        <f ca="1">IF(AND($AT365&lt;3,OFFSET(DATA!$C$14,$AS365,0)=BB$6),$AV365,dNULL)</f>
        <v>-99</v>
      </c>
      <c r="BC365">
        <f ca="1">IF(AND($AT365&lt;3,OFFSET(DATA!$C$14,$AS365,0)=BC$6),$AV365,dNULL)</f>
        <v>-99</v>
      </c>
      <c r="BD365">
        <f ca="1">IF(AND($AT365&lt;3,OFFSET(DATA!$C$14,$AS365,0)=BD$6),$AV365,dNULL)</f>
        <v>-99</v>
      </c>
      <c r="BE365">
        <f ca="1">IF(AND($AT365&lt;3,OFFSET(DATA!$C$14,$AS365,0)=BE$6),$AV365,dNULL)</f>
        <v>-99</v>
      </c>
      <c r="BF365">
        <f ca="1">IF(AND($AT365&lt;3,OFFSET(DATA!$C$14,$AS365,0)=BF$6),$AV365,dNULL)</f>
        <v>-99</v>
      </c>
      <c r="BG365">
        <f ca="1">IF(AND($AT365&lt;3,OFFSET(DATA!$C$14,$AS365,0)=BG$6),$AV365,dNULL)</f>
        <v>-99</v>
      </c>
      <c r="BH365">
        <f ca="1">IF(AND($AT365&lt;3,OFFSET(DATA!$C$14,$AS365,0)=BH$6),$AV365,dNULL)</f>
        <v>-99</v>
      </c>
    </row>
    <row r="366" spans="45:60" x14ac:dyDescent="0.25">
      <c r="AS366">
        <f t="shared" si="108"/>
        <v>90</v>
      </c>
      <c r="AT366">
        <f t="shared" si="109"/>
        <v>3</v>
      </c>
      <c r="AU366">
        <f t="shared" ca="1" si="110"/>
        <v>-99</v>
      </c>
      <c r="AV366">
        <f t="shared" ca="1" si="111"/>
        <v>-99</v>
      </c>
      <c r="AW366">
        <f ca="1">IF(AND($AT366&lt;3,OFFSET(DATA!$C$14,$AS366,0)=AW$6),$AV366,dNULL)</f>
        <v>-99</v>
      </c>
      <c r="AX366">
        <f ca="1">IF(AND($AT366&lt;3,OFFSET(DATA!$C$14,$AS366,0)=AX$6),$AV366,dNULL)</f>
        <v>-99</v>
      </c>
      <c r="AY366">
        <f ca="1">IF(AND($AT366&lt;3,OFFSET(DATA!$C$14,$AS366,0)=AY$6),$AV366,dNULL)</f>
        <v>-99</v>
      </c>
      <c r="AZ366">
        <f ca="1">IF(AND($AT366&lt;3,OFFSET(DATA!$C$14,$AS366,0)=AZ$6),$AV366,dNULL)</f>
        <v>-99</v>
      </c>
      <c r="BA366">
        <f ca="1">IF(AND($AT366&lt;3,OFFSET(DATA!$C$14,$AS366,0)=BA$6),$AV366,dNULL)</f>
        <v>-99</v>
      </c>
      <c r="BB366">
        <f ca="1">IF(AND($AT366&lt;3,OFFSET(DATA!$C$14,$AS366,0)=BB$6),$AV366,dNULL)</f>
        <v>-99</v>
      </c>
      <c r="BC366">
        <f ca="1">IF(AND($AT366&lt;3,OFFSET(DATA!$C$14,$AS366,0)=BC$6),$AV366,dNULL)</f>
        <v>-99</v>
      </c>
      <c r="BD366">
        <f ca="1">IF(AND($AT366&lt;3,OFFSET(DATA!$C$14,$AS366,0)=BD$6),$AV366,dNULL)</f>
        <v>-99</v>
      </c>
      <c r="BE366">
        <f ca="1">IF(AND($AT366&lt;3,OFFSET(DATA!$C$14,$AS366,0)=BE$6),$AV366,dNULL)</f>
        <v>-99</v>
      </c>
      <c r="BF366">
        <f ca="1">IF(AND($AT366&lt;3,OFFSET(DATA!$C$14,$AS366,0)=BF$6),$AV366,dNULL)</f>
        <v>-99</v>
      </c>
      <c r="BG366">
        <f ca="1">IF(AND($AT366&lt;3,OFFSET(DATA!$C$14,$AS366,0)=BG$6),$AV366,dNULL)</f>
        <v>-99</v>
      </c>
      <c r="BH366">
        <f ca="1">IF(AND($AT366&lt;3,OFFSET(DATA!$C$14,$AS366,0)=BH$6),$AV366,dNULL)</f>
        <v>-99</v>
      </c>
    </row>
    <row r="367" spans="45:60" x14ac:dyDescent="0.25">
      <c r="AS367">
        <f t="shared" si="108"/>
        <v>1</v>
      </c>
      <c r="AT367">
        <f t="shared" si="109"/>
        <v>4</v>
      </c>
      <c r="AU367">
        <f t="shared" ca="1" si="110"/>
        <v>-99</v>
      </c>
      <c r="AV367">
        <f t="shared" ca="1" si="111"/>
        <v>-99</v>
      </c>
      <c r="AW367">
        <f ca="1">IF(AND($AT367&lt;3,OFFSET(DATA!$C$14,$AS367,0)=AW$6),$AV367,dNULL)</f>
        <v>-99</v>
      </c>
      <c r="AX367">
        <f ca="1">IF(AND($AT367&lt;3,OFFSET(DATA!$C$14,$AS367,0)=AX$6),$AV367,dNULL)</f>
        <v>-99</v>
      </c>
      <c r="AY367">
        <f ca="1">IF(AND($AT367&lt;3,OFFSET(DATA!$C$14,$AS367,0)=AY$6),$AV367,dNULL)</f>
        <v>-99</v>
      </c>
      <c r="AZ367">
        <f ca="1">IF(AND($AT367&lt;3,OFFSET(DATA!$C$14,$AS367,0)=AZ$6),$AV367,dNULL)</f>
        <v>-99</v>
      </c>
      <c r="BA367">
        <f ca="1">IF(AND($AT367&lt;3,OFFSET(DATA!$C$14,$AS367,0)=BA$6),$AV367,dNULL)</f>
        <v>-99</v>
      </c>
      <c r="BB367">
        <f ca="1">IF(AND($AT367&lt;3,OFFSET(DATA!$C$14,$AS367,0)=BB$6),$AV367,dNULL)</f>
        <v>-99</v>
      </c>
      <c r="BC367">
        <f ca="1">IF(AND($AT367&lt;3,OFFSET(DATA!$C$14,$AS367,0)=BC$6),$AV367,dNULL)</f>
        <v>-99</v>
      </c>
      <c r="BD367">
        <f ca="1">IF(AND($AT367&lt;3,OFFSET(DATA!$C$14,$AS367,0)=BD$6),$AV367,dNULL)</f>
        <v>-99</v>
      </c>
      <c r="BE367">
        <f ca="1">IF(AND($AT367&lt;3,OFFSET(DATA!$C$14,$AS367,0)=BE$6),$AV367,dNULL)</f>
        <v>-99</v>
      </c>
      <c r="BF367">
        <f ca="1">IF(AND($AT367&lt;3,OFFSET(DATA!$C$14,$AS367,0)=BF$6),$AV367,dNULL)</f>
        <v>-99</v>
      </c>
      <c r="BG367">
        <f ca="1">IF(AND($AT367&lt;3,OFFSET(DATA!$C$14,$AS367,0)=BG$6),$AV367,dNULL)</f>
        <v>-99</v>
      </c>
      <c r="BH367">
        <f ca="1">IF(AND($AT367&lt;3,OFFSET(DATA!$C$14,$AS367,0)=BH$6),$AV367,dNULL)</f>
        <v>-99</v>
      </c>
    </row>
    <row r="368" spans="45:60" x14ac:dyDescent="0.25">
      <c r="AS368">
        <f t="shared" si="108"/>
        <v>2</v>
      </c>
      <c r="AT368">
        <f t="shared" si="109"/>
        <v>4</v>
      </c>
      <c r="AU368">
        <f t="shared" ca="1" si="110"/>
        <v>-99</v>
      </c>
      <c r="AV368">
        <f t="shared" ca="1" si="111"/>
        <v>-99</v>
      </c>
      <c r="AW368">
        <f ca="1">IF(AND($AT368&lt;3,OFFSET(DATA!$C$14,$AS368,0)=AW$6),$AV368,dNULL)</f>
        <v>-99</v>
      </c>
      <c r="AX368">
        <f ca="1">IF(AND($AT368&lt;3,OFFSET(DATA!$C$14,$AS368,0)=AX$6),$AV368,dNULL)</f>
        <v>-99</v>
      </c>
      <c r="AY368">
        <f ca="1">IF(AND($AT368&lt;3,OFFSET(DATA!$C$14,$AS368,0)=AY$6),$AV368,dNULL)</f>
        <v>-99</v>
      </c>
      <c r="AZ368">
        <f ca="1">IF(AND($AT368&lt;3,OFFSET(DATA!$C$14,$AS368,0)=AZ$6),$AV368,dNULL)</f>
        <v>-99</v>
      </c>
      <c r="BA368">
        <f ca="1">IF(AND($AT368&lt;3,OFFSET(DATA!$C$14,$AS368,0)=BA$6),$AV368,dNULL)</f>
        <v>-99</v>
      </c>
      <c r="BB368">
        <f ca="1">IF(AND($AT368&lt;3,OFFSET(DATA!$C$14,$AS368,0)=BB$6),$AV368,dNULL)</f>
        <v>-99</v>
      </c>
      <c r="BC368">
        <f ca="1">IF(AND($AT368&lt;3,OFFSET(DATA!$C$14,$AS368,0)=BC$6),$AV368,dNULL)</f>
        <v>-99</v>
      </c>
      <c r="BD368">
        <f ca="1">IF(AND($AT368&lt;3,OFFSET(DATA!$C$14,$AS368,0)=BD$6),$AV368,dNULL)</f>
        <v>-99</v>
      </c>
      <c r="BE368">
        <f ca="1">IF(AND($AT368&lt;3,OFFSET(DATA!$C$14,$AS368,0)=BE$6),$AV368,dNULL)</f>
        <v>-99</v>
      </c>
      <c r="BF368">
        <f ca="1">IF(AND($AT368&lt;3,OFFSET(DATA!$C$14,$AS368,0)=BF$6),$AV368,dNULL)</f>
        <v>-99</v>
      </c>
      <c r="BG368">
        <f ca="1">IF(AND($AT368&lt;3,OFFSET(DATA!$C$14,$AS368,0)=BG$6),$AV368,dNULL)</f>
        <v>-99</v>
      </c>
      <c r="BH368">
        <f ca="1">IF(AND($AT368&lt;3,OFFSET(DATA!$C$14,$AS368,0)=BH$6),$AV368,dNULL)</f>
        <v>-99</v>
      </c>
    </row>
    <row r="369" spans="45:60" x14ac:dyDescent="0.25">
      <c r="AS369">
        <f t="shared" si="108"/>
        <v>3</v>
      </c>
      <c r="AT369">
        <f t="shared" si="109"/>
        <v>4</v>
      </c>
      <c r="AU369">
        <f t="shared" ca="1" si="110"/>
        <v>-99</v>
      </c>
      <c r="AV369">
        <f t="shared" ca="1" si="111"/>
        <v>-99</v>
      </c>
      <c r="AW369">
        <f ca="1">IF(AND($AT369&lt;3,OFFSET(DATA!$C$14,$AS369,0)=AW$6),$AV369,dNULL)</f>
        <v>-99</v>
      </c>
      <c r="AX369">
        <f ca="1">IF(AND($AT369&lt;3,OFFSET(DATA!$C$14,$AS369,0)=AX$6),$AV369,dNULL)</f>
        <v>-99</v>
      </c>
      <c r="AY369">
        <f ca="1">IF(AND($AT369&lt;3,OFFSET(DATA!$C$14,$AS369,0)=AY$6),$AV369,dNULL)</f>
        <v>-99</v>
      </c>
      <c r="AZ369">
        <f ca="1">IF(AND($AT369&lt;3,OFFSET(DATA!$C$14,$AS369,0)=AZ$6),$AV369,dNULL)</f>
        <v>-99</v>
      </c>
      <c r="BA369">
        <f ca="1">IF(AND($AT369&lt;3,OFFSET(DATA!$C$14,$AS369,0)=BA$6),$AV369,dNULL)</f>
        <v>-99</v>
      </c>
      <c r="BB369">
        <f ca="1">IF(AND($AT369&lt;3,OFFSET(DATA!$C$14,$AS369,0)=BB$6),$AV369,dNULL)</f>
        <v>-99</v>
      </c>
      <c r="BC369">
        <f ca="1">IF(AND($AT369&lt;3,OFFSET(DATA!$C$14,$AS369,0)=BC$6),$AV369,dNULL)</f>
        <v>-99</v>
      </c>
      <c r="BD369">
        <f ca="1">IF(AND($AT369&lt;3,OFFSET(DATA!$C$14,$AS369,0)=BD$6),$AV369,dNULL)</f>
        <v>-99</v>
      </c>
      <c r="BE369">
        <f ca="1">IF(AND($AT369&lt;3,OFFSET(DATA!$C$14,$AS369,0)=BE$6),$AV369,dNULL)</f>
        <v>-99</v>
      </c>
      <c r="BF369">
        <f ca="1">IF(AND($AT369&lt;3,OFFSET(DATA!$C$14,$AS369,0)=BF$6),$AV369,dNULL)</f>
        <v>-99</v>
      </c>
      <c r="BG369">
        <f ca="1">IF(AND($AT369&lt;3,OFFSET(DATA!$C$14,$AS369,0)=BG$6),$AV369,dNULL)</f>
        <v>-99</v>
      </c>
      <c r="BH369">
        <f ca="1">IF(AND($AT369&lt;3,OFFSET(DATA!$C$14,$AS369,0)=BH$6),$AV369,dNULL)</f>
        <v>-99</v>
      </c>
    </row>
    <row r="370" spans="45:60" x14ac:dyDescent="0.25">
      <c r="AS370">
        <f t="shared" si="108"/>
        <v>4</v>
      </c>
      <c r="AT370">
        <f t="shared" si="109"/>
        <v>4</v>
      </c>
      <c r="AU370">
        <f t="shared" ca="1" si="110"/>
        <v>-99</v>
      </c>
      <c r="AV370">
        <f t="shared" ca="1" si="111"/>
        <v>-99</v>
      </c>
      <c r="AW370">
        <f ca="1">IF(AND($AT370&lt;3,OFFSET(DATA!$C$14,$AS370,0)=AW$6),$AV370,dNULL)</f>
        <v>-99</v>
      </c>
      <c r="AX370">
        <f ca="1">IF(AND($AT370&lt;3,OFFSET(DATA!$C$14,$AS370,0)=AX$6),$AV370,dNULL)</f>
        <v>-99</v>
      </c>
      <c r="AY370">
        <f ca="1">IF(AND($AT370&lt;3,OFFSET(DATA!$C$14,$AS370,0)=AY$6),$AV370,dNULL)</f>
        <v>-99</v>
      </c>
      <c r="AZ370">
        <f ca="1">IF(AND($AT370&lt;3,OFFSET(DATA!$C$14,$AS370,0)=AZ$6),$AV370,dNULL)</f>
        <v>-99</v>
      </c>
      <c r="BA370">
        <f ca="1">IF(AND($AT370&lt;3,OFFSET(DATA!$C$14,$AS370,0)=BA$6),$AV370,dNULL)</f>
        <v>-99</v>
      </c>
      <c r="BB370">
        <f ca="1">IF(AND($AT370&lt;3,OFFSET(DATA!$C$14,$AS370,0)=BB$6),$AV370,dNULL)</f>
        <v>-99</v>
      </c>
      <c r="BC370">
        <f ca="1">IF(AND($AT370&lt;3,OFFSET(DATA!$C$14,$AS370,0)=BC$6),$AV370,dNULL)</f>
        <v>-99</v>
      </c>
      <c r="BD370">
        <f ca="1">IF(AND($AT370&lt;3,OFFSET(DATA!$C$14,$AS370,0)=BD$6),$AV370,dNULL)</f>
        <v>-99</v>
      </c>
      <c r="BE370">
        <f ca="1">IF(AND($AT370&lt;3,OFFSET(DATA!$C$14,$AS370,0)=BE$6),$AV370,dNULL)</f>
        <v>-99</v>
      </c>
      <c r="BF370">
        <f ca="1">IF(AND($AT370&lt;3,OFFSET(DATA!$C$14,$AS370,0)=BF$6),$AV370,dNULL)</f>
        <v>-99</v>
      </c>
      <c r="BG370">
        <f ca="1">IF(AND($AT370&lt;3,OFFSET(DATA!$C$14,$AS370,0)=BG$6),$AV370,dNULL)</f>
        <v>-99</v>
      </c>
      <c r="BH370">
        <f ca="1">IF(AND($AT370&lt;3,OFFSET(DATA!$C$14,$AS370,0)=BH$6),$AV370,dNULL)</f>
        <v>-99</v>
      </c>
    </row>
    <row r="371" spans="45:60" x14ac:dyDescent="0.25">
      <c r="AS371">
        <f t="shared" si="108"/>
        <v>5</v>
      </c>
      <c r="AT371">
        <f t="shared" si="109"/>
        <v>4</v>
      </c>
      <c r="AU371">
        <f t="shared" ca="1" si="110"/>
        <v>-99</v>
      </c>
      <c r="AV371">
        <f t="shared" ca="1" si="111"/>
        <v>-99</v>
      </c>
      <c r="AW371">
        <f ca="1">IF(AND($AT371&lt;3,OFFSET(DATA!$C$14,$AS371,0)=AW$6),$AV371,dNULL)</f>
        <v>-99</v>
      </c>
      <c r="AX371">
        <f ca="1">IF(AND($AT371&lt;3,OFFSET(DATA!$C$14,$AS371,0)=AX$6),$AV371,dNULL)</f>
        <v>-99</v>
      </c>
      <c r="AY371">
        <f ca="1">IF(AND($AT371&lt;3,OFFSET(DATA!$C$14,$AS371,0)=AY$6),$AV371,dNULL)</f>
        <v>-99</v>
      </c>
      <c r="AZ371">
        <f ca="1">IF(AND($AT371&lt;3,OFFSET(DATA!$C$14,$AS371,0)=AZ$6),$AV371,dNULL)</f>
        <v>-99</v>
      </c>
      <c r="BA371">
        <f ca="1">IF(AND($AT371&lt;3,OFFSET(DATA!$C$14,$AS371,0)=BA$6),$AV371,dNULL)</f>
        <v>-99</v>
      </c>
      <c r="BB371">
        <f ca="1">IF(AND($AT371&lt;3,OFFSET(DATA!$C$14,$AS371,0)=BB$6),$AV371,dNULL)</f>
        <v>-99</v>
      </c>
      <c r="BC371">
        <f ca="1">IF(AND($AT371&lt;3,OFFSET(DATA!$C$14,$AS371,0)=BC$6),$AV371,dNULL)</f>
        <v>-99</v>
      </c>
      <c r="BD371">
        <f ca="1">IF(AND($AT371&lt;3,OFFSET(DATA!$C$14,$AS371,0)=BD$6),$AV371,dNULL)</f>
        <v>-99</v>
      </c>
      <c r="BE371">
        <f ca="1">IF(AND($AT371&lt;3,OFFSET(DATA!$C$14,$AS371,0)=BE$6),$AV371,dNULL)</f>
        <v>-99</v>
      </c>
      <c r="BF371">
        <f ca="1">IF(AND($AT371&lt;3,OFFSET(DATA!$C$14,$AS371,0)=BF$6),$AV371,dNULL)</f>
        <v>-99</v>
      </c>
      <c r="BG371">
        <f ca="1">IF(AND($AT371&lt;3,OFFSET(DATA!$C$14,$AS371,0)=BG$6),$AV371,dNULL)</f>
        <v>-99</v>
      </c>
      <c r="BH371">
        <f ca="1">IF(AND($AT371&lt;3,OFFSET(DATA!$C$14,$AS371,0)=BH$6),$AV371,dNULL)</f>
        <v>-99</v>
      </c>
    </row>
    <row r="372" spans="45:60" x14ac:dyDescent="0.25">
      <c r="AS372">
        <f t="shared" si="108"/>
        <v>6</v>
      </c>
      <c r="AT372">
        <f t="shared" si="109"/>
        <v>4</v>
      </c>
      <c r="AU372">
        <f t="shared" ca="1" si="110"/>
        <v>-99</v>
      </c>
      <c r="AV372">
        <f t="shared" ca="1" si="111"/>
        <v>-99</v>
      </c>
      <c r="AW372">
        <f ca="1">IF(AND($AT372&lt;3,OFFSET(DATA!$C$14,$AS372,0)=AW$6),$AV372,dNULL)</f>
        <v>-99</v>
      </c>
      <c r="AX372">
        <f ca="1">IF(AND($AT372&lt;3,OFFSET(DATA!$C$14,$AS372,0)=AX$6),$AV372,dNULL)</f>
        <v>-99</v>
      </c>
      <c r="AY372">
        <f ca="1">IF(AND($AT372&lt;3,OFFSET(DATA!$C$14,$AS372,0)=AY$6),$AV372,dNULL)</f>
        <v>-99</v>
      </c>
      <c r="AZ372">
        <f ca="1">IF(AND($AT372&lt;3,OFFSET(DATA!$C$14,$AS372,0)=AZ$6),$AV372,dNULL)</f>
        <v>-99</v>
      </c>
      <c r="BA372">
        <f ca="1">IF(AND($AT372&lt;3,OFFSET(DATA!$C$14,$AS372,0)=BA$6),$AV372,dNULL)</f>
        <v>-99</v>
      </c>
      <c r="BB372">
        <f ca="1">IF(AND($AT372&lt;3,OFFSET(DATA!$C$14,$AS372,0)=BB$6),$AV372,dNULL)</f>
        <v>-99</v>
      </c>
      <c r="BC372">
        <f ca="1">IF(AND($AT372&lt;3,OFFSET(DATA!$C$14,$AS372,0)=BC$6),$AV372,dNULL)</f>
        <v>-99</v>
      </c>
      <c r="BD372">
        <f ca="1">IF(AND($AT372&lt;3,OFFSET(DATA!$C$14,$AS372,0)=BD$6),$AV372,dNULL)</f>
        <v>-99</v>
      </c>
      <c r="BE372">
        <f ca="1">IF(AND($AT372&lt;3,OFFSET(DATA!$C$14,$AS372,0)=BE$6),$AV372,dNULL)</f>
        <v>-99</v>
      </c>
      <c r="BF372">
        <f ca="1">IF(AND($AT372&lt;3,OFFSET(DATA!$C$14,$AS372,0)=BF$6),$AV372,dNULL)</f>
        <v>-99</v>
      </c>
      <c r="BG372">
        <f ca="1">IF(AND($AT372&lt;3,OFFSET(DATA!$C$14,$AS372,0)=BG$6),$AV372,dNULL)</f>
        <v>-99</v>
      </c>
      <c r="BH372">
        <f ca="1">IF(AND($AT372&lt;3,OFFSET(DATA!$C$14,$AS372,0)=BH$6),$AV372,dNULL)</f>
        <v>-99</v>
      </c>
    </row>
    <row r="373" spans="45:60" x14ac:dyDescent="0.25">
      <c r="AS373">
        <f t="shared" si="108"/>
        <v>7</v>
      </c>
      <c r="AT373">
        <f t="shared" si="109"/>
        <v>4</v>
      </c>
      <c r="AU373">
        <f t="shared" ca="1" si="110"/>
        <v>-99</v>
      </c>
      <c r="AV373">
        <f t="shared" ca="1" si="111"/>
        <v>-99</v>
      </c>
      <c r="AW373">
        <f ca="1">IF(AND($AT373&lt;3,OFFSET(DATA!$C$14,$AS373,0)=AW$6),$AV373,dNULL)</f>
        <v>-99</v>
      </c>
      <c r="AX373">
        <f ca="1">IF(AND($AT373&lt;3,OFFSET(DATA!$C$14,$AS373,0)=AX$6),$AV373,dNULL)</f>
        <v>-99</v>
      </c>
      <c r="AY373">
        <f ca="1">IF(AND($AT373&lt;3,OFFSET(DATA!$C$14,$AS373,0)=AY$6),$AV373,dNULL)</f>
        <v>-99</v>
      </c>
      <c r="AZ373">
        <f ca="1">IF(AND($AT373&lt;3,OFFSET(DATA!$C$14,$AS373,0)=AZ$6),$AV373,dNULL)</f>
        <v>-99</v>
      </c>
      <c r="BA373">
        <f ca="1">IF(AND($AT373&lt;3,OFFSET(DATA!$C$14,$AS373,0)=BA$6),$AV373,dNULL)</f>
        <v>-99</v>
      </c>
      <c r="BB373">
        <f ca="1">IF(AND($AT373&lt;3,OFFSET(DATA!$C$14,$AS373,0)=BB$6),$AV373,dNULL)</f>
        <v>-99</v>
      </c>
      <c r="BC373">
        <f ca="1">IF(AND($AT373&lt;3,OFFSET(DATA!$C$14,$AS373,0)=BC$6),$AV373,dNULL)</f>
        <v>-99</v>
      </c>
      <c r="BD373">
        <f ca="1">IF(AND($AT373&lt;3,OFFSET(DATA!$C$14,$AS373,0)=BD$6),$AV373,dNULL)</f>
        <v>-99</v>
      </c>
      <c r="BE373">
        <f ca="1">IF(AND($AT373&lt;3,OFFSET(DATA!$C$14,$AS373,0)=BE$6),$AV373,dNULL)</f>
        <v>-99</v>
      </c>
      <c r="BF373">
        <f ca="1">IF(AND($AT373&lt;3,OFFSET(DATA!$C$14,$AS373,0)=BF$6),$AV373,dNULL)</f>
        <v>-99</v>
      </c>
      <c r="BG373">
        <f ca="1">IF(AND($AT373&lt;3,OFFSET(DATA!$C$14,$AS373,0)=BG$6),$AV373,dNULL)</f>
        <v>-99</v>
      </c>
      <c r="BH373">
        <f ca="1">IF(AND($AT373&lt;3,OFFSET(DATA!$C$14,$AS373,0)=BH$6),$AV373,dNULL)</f>
        <v>-99</v>
      </c>
    </row>
    <row r="374" spans="45:60" x14ac:dyDescent="0.25">
      <c r="AS374">
        <f t="shared" si="108"/>
        <v>8</v>
      </c>
      <c r="AT374">
        <f t="shared" si="109"/>
        <v>4</v>
      </c>
      <c r="AU374">
        <f t="shared" ca="1" si="110"/>
        <v>-99</v>
      </c>
      <c r="AV374">
        <f t="shared" ca="1" si="111"/>
        <v>-99</v>
      </c>
      <c r="AW374">
        <f ca="1">IF(AND($AT374&lt;3,OFFSET(DATA!$C$14,$AS374,0)=AW$6),$AV374,dNULL)</f>
        <v>-99</v>
      </c>
      <c r="AX374">
        <f ca="1">IF(AND($AT374&lt;3,OFFSET(DATA!$C$14,$AS374,0)=AX$6),$AV374,dNULL)</f>
        <v>-99</v>
      </c>
      <c r="AY374">
        <f ca="1">IF(AND($AT374&lt;3,OFFSET(DATA!$C$14,$AS374,0)=AY$6),$AV374,dNULL)</f>
        <v>-99</v>
      </c>
      <c r="AZ374">
        <f ca="1">IF(AND($AT374&lt;3,OFFSET(DATA!$C$14,$AS374,0)=AZ$6),$AV374,dNULL)</f>
        <v>-99</v>
      </c>
      <c r="BA374">
        <f ca="1">IF(AND($AT374&lt;3,OFFSET(DATA!$C$14,$AS374,0)=BA$6),$AV374,dNULL)</f>
        <v>-99</v>
      </c>
      <c r="BB374">
        <f ca="1">IF(AND($AT374&lt;3,OFFSET(DATA!$C$14,$AS374,0)=BB$6),$AV374,dNULL)</f>
        <v>-99</v>
      </c>
      <c r="BC374">
        <f ca="1">IF(AND($AT374&lt;3,OFFSET(DATA!$C$14,$AS374,0)=BC$6),$AV374,dNULL)</f>
        <v>-99</v>
      </c>
      <c r="BD374">
        <f ca="1">IF(AND($AT374&lt;3,OFFSET(DATA!$C$14,$AS374,0)=BD$6),$AV374,dNULL)</f>
        <v>-99</v>
      </c>
      <c r="BE374">
        <f ca="1">IF(AND($AT374&lt;3,OFFSET(DATA!$C$14,$AS374,0)=BE$6),$AV374,dNULL)</f>
        <v>-99</v>
      </c>
      <c r="BF374">
        <f ca="1">IF(AND($AT374&lt;3,OFFSET(DATA!$C$14,$AS374,0)=BF$6),$AV374,dNULL)</f>
        <v>-99</v>
      </c>
      <c r="BG374">
        <f ca="1">IF(AND($AT374&lt;3,OFFSET(DATA!$C$14,$AS374,0)=BG$6),$AV374,dNULL)</f>
        <v>-99</v>
      </c>
      <c r="BH374">
        <f ca="1">IF(AND($AT374&lt;3,OFFSET(DATA!$C$14,$AS374,0)=BH$6),$AV374,dNULL)</f>
        <v>-99</v>
      </c>
    </row>
    <row r="375" spans="45:60" x14ac:dyDescent="0.25">
      <c r="AS375">
        <f t="shared" si="108"/>
        <v>9</v>
      </c>
      <c r="AT375">
        <f t="shared" si="109"/>
        <v>4</v>
      </c>
      <c r="AU375">
        <f t="shared" ca="1" si="110"/>
        <v>-99</v>
      </c>
      <c r="AV375">
        <f t="shared" ca="1" si="111"/>
        <v>-99</v>
      </c>
      <c r="AW375">
        <f ca="1">IF(AND($AT375&lt;3,OFFSET(DATA!$C$14,$AS375,0)=AW$6),$AV375,dNULL)</f>
        <v>-99</v>
      </c>
      <c r="AX375">
        <f ca="1">IF(AND($AT375&lt;3,OFFSET(DATA!$C$14,$AS375,0)=AX$6),$AV375,dNULL)</f>
        <v>-99</v>
      </c>
      <c r="AY375">
        <f ca="1">IF(AND($AT375&lt;3,OFFSET(DATA!$C$14,$AS375,0)=AY$6),$AV375,dNULL)</f>
        <v>-99</v>
      </c>
      <c r="AZ375">
        <f ca="1">IF(AND($AT375&lt;3,OFFSET(DATA!$C$14,$AS375,0)=AZ$6),$AV375,dNULL)</f>
        <v>-99</v>
      </c>
      <c r="BA375">
        <f ca="1">IF(AND($AT375&lt;3,OFFSET(DATA!$C$14,$AS375,0)=BA$6),$AV375,dNULL)</f>
        <v>-99</v>
      </c>
      <c r="BB375">
        <f ca="1">IF(AND($AT375&lt;3,OFFSET(DATA!$C$14,$AS375,0)=BB$6),$AV375,dNULL)</f>
        <v>-99</v>
      </c>
      <c r="BC375">
        <f ca="1">IF(AND($AT375&lt;3,OFFSET(DATA!$C$14,$AS375,0)=BC$6),$AV375,dNULL)</f>
        <v>-99</v>
      </c>
      <c r="BD375">
        <f ca="1">IF(AND($AT375&lt;3,OFFSET(DATA!$C$14,$AS375,0)=BD$6),$AV375,dNULL)</f>
        <v>-99</v>
      </c>
      <c r="BE375">
        <f ca="1">IF(AND($AT375&lt;3,OFFSET(DATA!$C$14,$AS375,0)=BE$6),$AV375,dNULL)</f>
        <v>-99</v>
      </c>
      <c r="BF375">
        <f ca="1">IF(AND($AT375&lt;3,OFFSET(DATA!$C$14,$AS375,0)=BF$6),$AV375,dNULL)</f>
        <v>-99</v>
      </c>
      <c r="BG375">
        <f ca="1">IF(AND($AT375&lt;3,OFFSET(DATA!$C$14,$AS375,0)=BG$6),$AV375,dNULL)</f>
        <v>-99</v>
      </c>
      <c r="BH375">
        <f ca="1">IF(AND($AT375&lt;3,OFFSET(DATA!$C$14,$AS375,0)=BH$6),$AV375,dNULL)</f>
        <v>-99</v>
      </c>
    </row>
    <row r="376" spans="45:60" x14ac:dyDescent="0.25">
      <c r="AS376">
        <f t="shared" si="108"/>
        <v>10</v>
      </c>
      <c r="AT376">
        <f t="shared" si="109"/>
        <v>4</v>
      </c>
      <c r="AU376">
        <f t="shared" ca="1" si="110"/>
        <v>-99</v>
      </c>
      <c r="AV376">
        <f t="shared" ca="1" si="111"/>
        <v>-99</v>
      </c>
      <c r="AW376">
        <f ca="1">IF(AND($AT376&lt;3,OFFSET(DATA!$C$14,$AS376,0)=AW$6),$AV376,dNULL)</f>
        <v>-99</v>
      </c>
      <c r="AX376">
        <f ca="1">IF(AND($AT376&lt;3,OFFSET(DATA!$C$14,$AS376,0)=AX$6),$AV376,dNULL)</f>
        <v>-99</v>
      </c>
      <c r="AY376">
        <f ca="1">IF(AND($AT376&lt;3,OFFSET(DATA!$C$14,$AS376,0)=AY$6),$AV376,dNULL)</f>
        <v>-99</v>
      </c>
      <c r="AZ376">
        <f ca="1">IF(AND($AT376&lt;3,OFFSET(DATA!$C$14,$AS376,0)=AZ$6),$AV376,dNULL)</f>
        <v>-99</v>
      </c>
      <c r="BA376">
        <f ca="1">IF(AND($AT376&lt;3,OFFSET(DATA!$C$14,$AS376,0)=BA$6),$AV376,dNULL)</f>
        <v>-99</v>
      </c>
      <c r="BB376">
        <f ca="1">IF(AND($AT376&lt;3,OFFSET(DATA!$C$14,$AS376,0)=BB$6),$AV376,dNULL)</f>
        <v>-99</v>
      </c>
      <c r="BC376">
        <f ca="1">IF(AND($AT376&lt;3,OFFSET(DATA!$C$14,$AS376,0)=BC$6),$AV376,dNULL)</f>
        <v>-99</v>
      </c>
      <c r="BD376">
        <f ca="1">IF(AND($AT376&lt;3,OFFSET(DATA!$C$14,$AS376,0)=BD$6),$AV376,dNULL)</f>
        <v>-99</v>
      </c>
      <c r="BE376">
        <f ca="1">IF(AND($AT376&lt;3,OFFSET(DATA!$C$14,$AS376,0)=BE$6),$AV376,dNULL)</f>
        <v>-99</v>
      </c>
      <c r="BF376">
        <f ca="1">IF(AND($AT376&lt;3,OFFSET(DATA!$C$14,$AS376,0)=BF$6),$AV376,dNULL)</f>
        <v>-99</v>
      </c>
      <c r="BG376">
        <f ca="1">IF(AND($AT376&lt;3,OFFSET(DATA!$C$14,$AS376,0)=BG$6),$AV376,dNULL)</f>
        <v>-99</v>
      </c>
      <c r="BH376">
        <f ca="1">IF(AND($AT376&lt;3,OFFSET(DATA!$C$14,$AS376,0)=BH$6),$AV376,dNULL)</f>
        <v>-99</v>
      </c>
    </row>
    <row r="377" spans="45:60" x14ac:dyDescent="0.25">
      <c r="AS377">
        <f t="shared" si="108"/>
        <v>11</v>
      </c>
      <c r="AT377">
        <f t="shared" si="109"/>
        <v>4</v>
      </c>
      <c r="AU377">
        <f t="shared" ca="1" si="110"/>
        <v>-99</v>
      </c>
      <c r="AV377">
        <f t="shared" ca="1" si="111"/>
        <v>-99</v>
      </c>
      <c r="AW377">
        <f ca="1">IF(AND($AT377&lt;3,OFFSET(DATA!$C$14,$AS377,0)=AW$6),$AV377,dNULL)</f>
        <v>-99</v>
      </c>
      <c r="AX377">
        <f ca="1">IF(AND($AT377&lt;3,OFFSET(DATA!$C$14,$AS377,0)=AX$6),$AV377,dNULL)</f>
        <v>-99</v>
      </c>
      <c r="AY377">
        <f ca="1">IF(AND($AT377&lt;3,OFFSET(DATA!$C$14,$AS377,0)=AY$6),$AV377,dNULL)</f>
        <v>-99</v>
      </c>
      <c r="AZ377">
        <f ca="1">IF(AND($AT377&lt;3,OFFSET(DATA!$C$14,$AS377,0)=AZ$6),$AV377,dNULL)</f>
        <v>-99</v>
      </c>
      <c r="BA377">
        <f ca="1">IF(AND($AT377&lt;3,OFFSET(DATA!$C$14,$AS377,0)=BA$6),$AV377,dNULL)</f>
        <v>-99</v>
      </c>
      <c r="BB377">
        <f ca="1">IF(AND($AT377&lt;3,OFFSET(DATA!$C$14,$AS377,0)=BB$6),$AV377,dNULL)</f>
        <v>-99</v>
      </c>
      <c r="BC377">
        <f ca="1">IF(AND($AT377&lt;3,OFFSET(DATA!$C$14,$AS377,0)=BC$6),$AV377,dNULL)</f>
        <v>-99</v>
      </c>
      <c r="BD377">
        <f ca="1">IF(AND($AT377&lt;3,OFFSET(DATA!$C$14,$AS377,0)=BD$6),$AV377,dNULL)</f>
        <v>-99</v>
      </c>
      <c r="BE377">
        <f ca="1">IF(AND($AT377&lt;3,OFFSET(DATA!$C$14,$AS377,0)=BE$6),$AV377,dNULL)</f>
        <v>-99</v>
      </c>
      <c r="BF377">
        <f ca="1">IF(AND($AT377&lt;3,OFFSET(DATA!$C$14,$AS377,0)=BF$6),$AV377,dNULL)</f>
        <v>-99</v>
      </c>
      <c r="BG377">
        <f ca="1">IF(AND($AT377&lt;3,OFFSET(DATA!$C$14,$AS377,0)=BG$6),$AV377,dNULL)</f>
        <v>-99</v>
      </c>
      <c r="BH377">
        <f ca="1">IF(AND($AT377&lt;3,OFFSET(DATA!$C$14,$AS377,0)=BH$6),$AV377,dNULL)</f>
        <v>-99</v>
      </c>
    </row>
    <row r="378" spans="45:60" x14ac:dyDescent="0.25">
      <c r="AS378">
        <f t="shared" si="108"/>
        <v>12</v>
      </c>
      <c r="AT378">
        <f t="shared" si="109"/>
        <v>4</v>
      </c>
      <c r="AU378">
        <f t="shared" ca="1" si="110"/>
        <v>-99</v>
      </c>
      <c r="AV378">
        <f t="shared" ca="1" si="111"/>
        <v>-99</v>
      </c>
      <c r="AW378">
        <f ca="1">IF(AND($AT378&lt;3,OFFSET(DATA!$C$14,$AS378,0)=AW$6),$AV378,dNULL)</f>
        <v>-99</v>
      </c>
      <c r="AX378">
        <f ca="1">IF(AND($AT378&lt;3,OFFSET(DATA!$C$14,$AS378,0)=AX$6),$AV378,dNULL)</f>
        <v>-99</v>
      </c>
      <c r="AY378">
        <f ca="1">IF(AND($AT378&lt;3,OFFSET(DATA!$C$14,$AS378,0)=AY$6),$AV378,dNULL)</f>
        <v>-99</v>
      </c>
      <c r="AZ378">
        <f ca="1">IF(AND($AT378&lt;3,OFFSET(DATA!$C$14,$AS378,0)=AZ$6),$AV378,dNULL)</f>
        <v>-99</v>
      </c>
      <c r="BA378">
        <f ca="1">IF(AND($AT378&lt;3,OFFSET(DATA!$C$14,$AS378,0)=BA$6),$AV378,dNULL)</f>
        <v>-99</v>
      </c>
      <c r="BB378">
        <f ca="1">IF(AND($AT378&lt;3,OFFSET(DATA!$C$14,$AS378,0)=BB$6),$AV378,dNULL)</f>
        <v>-99</v>
      </c>
      <c r="BC378">
        <f ca="1">IF(AND($AT378&lt;3,OFFSET(DATA!$C$14,$AS378,0)=BC$6),$AV378,dNULL)</f>
        <v>-99</v>
      </c>
      <c r="BD378">
        <f ca="1">IF(AND($AT378&lt;3,OFFSET(DATA!$C$14,$AS378,0)=BD$6),$AV378,dNULL)</f>
        <v>-99</v>
      </c>
      <c r="BE378">
        <f ca="1">IF(AND($AT378&lt;3,OFFSET(DATA!$C$14,$AS378,0)=BE$6),$AV378,dNULL)</f>
        <v>-99</v>
      </c>
      <c r="BF378">
        <f ca="1">IF(AND($AT378&lt;3,OFFSET(DATA!$C$14,$AS378,0)=BF$6),$AV378,dNULL)</f>
        <v>-99</v>
      </c>
      <c r="BG378">
        <f ca="1">IF(AND($AT378&lt;3,OFFSET(DATA!$C$14,$AS378,0)=BG$6),$AV378,dNULL)</f>
        <v>-99</v>
      </c>
      <c r="BH378">
        <f ca="1">IF(AND($AT378&lt;3,OFFSET(DATA!$C$14,$AS378,0)=BH$6),$AV378,dNULL)</f>
        <v>-99</v>
      </c>
    </row>
    <row r="379" spans="45:60" x14ac:dyDescent="0.25">
      <c r="AS379">
        <f t="shared" si="108"/>
        <v>13</v>
      </c>
      <c r="AT379">
        <f t="shared" si="109"/>
        <v>4</v>
      </c>
      <c r="AU379">
        <f t="shared" ca="1" si="110"/>
        <v>-99</v>
      </c>
      <c r="AV379">
        <f t="shared" ca="1" si="111"/>
        <v>-99</v>
      </c>
      <c r="AW379">
        <f ca="1">IF(AND($AT379&lt;3,OFFSET(DATA!$C$14,$AS379,0)=AW$6),$AV379,dNULL)</f>
        <v>-99</v>
      </c>
      <c r="AX379">
        <f ca="1">IF(AND($AT379&lt;3,OFFSET(DATA!$C$14,$AS379,0)=AX$6),$AV379,dNULL)</f>
        <v>-99</v>
      </c>
      <c r="AY379">
        <f ca="1">IF(AND($AT379&lt;3,OFFSET(DATA!$C$14,$AS379,0)=AY$6),$AV379,dNULL)</f>
        <v>-99</v>
      </c>
      <c r="AZ379">
        <f ca="1">IF(AND($AT379&lt;3,OFFSET(DATA!$C$14,$AS379,0)=AZ$6),$AV379,dNULL)</f>
        <v>-99</v>
      </c>
      <c r="BA379">
        <f ca="1">IF(AND($AT379&lt;3,OFFSET(DATA!$C$14,$AS379,0)=BA$6),$AV379,dNULL)</f>
        <v>-99</v>
      </c>
      <c r="BB379">
        <f ca="1">IF(AND($AT379&lt;3,OFFSET(DATA!$C$14,$AS379,0)=BB$6),$AV379,dNULL)</f>
        <v>-99</v>
      </c>
      <c r="BC379">
        <f ca="1">IF(AND($AT379&lt;3,OFFSET(DATA!$C$14,$AS379,0)=BC$6),$AV379,dNULL)</f>
        <v>-99</v>
      </c>
      <c r="BD379">
        <f ca="1">IF(AND($AT379&lt;3,OFFSET(DATA!$C$14,$AS379,0)=BD$6),$AV379,dNULL)</f>
        <v>-99</v>
      </c>
      <c r="BE379">
        <f ca="1">IF(AND($AT379&lt;3,OFFSET(DATA!$C$14,$AS379,0)=BE$6),$AV379,dNULL)</f>
        <v>-99</v>
      </c>
      <c r="BF379">
        <f ca="1">IF(AND($AT379&lt;3,OFFSET(DATA!$C$14,$AS379,0)=BF$6),$AV379,dNULL)</f>
        <v>-99</v>
      </c>
      <c r="BG379">
        <f ca="1">IF(AND($AT379&lt;3,OFFSET(DATA!$C$14,$AS379,0)=BG$6),$AV379,dNULL)</f>
        <v>-99</v>
      </c>
      <c r="BH379">
        <f ca="1">IF(AND($AT379&lt;3,OFFSET(DATA!$C$14,$AS379,0)=BH$6),$AV379,dNULL)</f>
        <v>-99</v>
      </c>
    </row>
    <row r="380" spans="45:60" x14ac:dyDescent="0.25">
      <c r="AS380">
        <f t="shared" si="108"/>
        <v>14</v>
      </c>
      <c r="AT380">
        <f t="shared" si="109"/>
        <v>4</v>
      </c>
      <c r="AU380">
        <f t="shared" ca="1" si="110"/>
        <v>-99</v>
      </c>
      <c r="AV380">
        <f t="shared" ca="1" si="111"/>
        <v>-99</v>
      </c>
      <c r="AW380">
        <f ca="1">IF(AND($AT380&lt;3,OFFSET(DATA!$C$14,$AS380,0)=AW$6),$AV380,dNULL)</f>
        <v>-99</v>
      </c>
      <c r="AX380">
        <f ca="1">IF(AND($AT380&lt;3,OFFSET(DATA!$C$14,$AS380,0)=AX$6),$AV380,dNULL)</f>
        <v>-99</v>
      </c>
      <c r="AY380">
        <f ca="1">IF(AND($AT380&lt;3,OFFSET(DATA!$C$14,$AS380,0)=AY$6),$AV380,dNULL)</f>
        <v>-99</v>
      </c>
      <c r="AZ380">
        <f ca="1">IF(AND($AT380&lt;3,OFFSET(DATA!$C$14,$AS380,0)=AZ$6),$AV380,dNULL)</f>
        <v>-99</v>
      </c>
      <c r="BA380">
        <f ca="1">IF(AND($AT380&lt;3,OFFSET(DATA!$C$14,$AS380,0)=BA$6),$AV380,dNULL)</f>
        <v>-99</v>
      </c>
      <c r="BB380">
        <f ca="1">IF(AND($AT380&lt;3,OFFSET(DATA!$C$14,$AS380,0)=BB$6),$AV380,dNULL)</f>
        <v>-99</v>
      </c>
      <c r="BC380">
        <f ca="1">IF(AND($AT380&lt;3,OFFSET(DATA!$C$14,$AS380,0)=BC$6),$AV380,dNULL)</f>
        <v>-99</v>
      </c>
      <c r="BD380">
        <f ca="1">IF(AND($AT380&lt;3,OFFSET(DATA!$C$14,$AS380,0)=BD$6),$AV380,dNULL)</f>
        <v>-99</v>
      </c>
      <c r="BE380">
        <f ca="1">IF(AND($AT380&lt;3,OFFSET(DATA!$C$14,$AS380,0)=BE$6),$AV380,dNULL)</f>
        <v>-99</v>
      </c>
      <c r="BF380">
        <f ca="1">IF(AND($AT380&lt;3,OFFSET(DATA!$C$14,$AS380,0)=BF$6),$AV380,dNULL)</f>
        <v>-99</v>
      </c>
      <c r="BG380">
        <f ca="1">IF(AND($AT380&lt;3,OFFSET(DATA!$C$14,$AS380,0)=BG$6),$AV380,dNULL)</f>
        <v>-99</v>
      </c>
      <c r="BH380">
        <f ca="1">IF(AND($AT380&lt;3,OFFSET(DATA!$C$14,$AS380,0)=BH$6),$AV380,dNULL)</f>
        <v>-99</v>
      </c>
    </row>
    <row r="381" spans="45:60" x14ac:dyDescent="0.25">
      <c r="AS381">
        <f t="shared" si="108"/>
        <v>15</v>
      </c>
      <c r="AT381">
        <f t="shared" si="109"/>
        <v>4</v>
      </c>
      <c r="AU381">
        <f t="shared" ca="1" si="110"/>
        <v>-99</v>
      </c>
      <c r="AV381">
        <f t="shared" ca="1" si="111"/>
        <v>-99</v>
      </c>
      <c r="AW381">
        <f ca="1">IF(AND($AT381&lt;3,OFFSET(DATA!$C$14,$AS381,0)=AW$6),$AV381,dNULL)</f>
        <v>-99</v>
      </c>
      <c r="AX381">
        <f ca="1">IF(AND($AT381&lt;3,OFFSET(DATA!$C$14,$AS381,0)=AX$6),$AV381,dNULL)</f>
        <v>-99</v>
      </c>
      <c r="AY381">
        <f ca="1">IF(AND($AT381&lt;3,OFFSET(DATA!$C$14,$AS381,0)=AY$6),$AV381,dNULL)</f>
        <v>-99</v>
      </c>
      <c r="AZ381">
        <f ca="1">IF(AND($AT381&lt;3,OFFSET(DATA!$C$14,$AS381,0)=AZ$6),$AV381,dNULL)</f>
        <v>-99</v>
      </c>
      <c r="BA381">
        <f ca="1">IF(AND($AT381&lt;3,OFFSET(DATA!$C$14,$AS381,0)=BA$6),$AV381,dNULL)</f>
        <v>-99</v>
      </c>
      <c r="BB381">
        <f ca="1">IF(AND($AT381&lt;3,OFFSET(DATA!$C$14,$AS381,0)=BB$6),$AV381,dNULL)</f>
        <v>-99</v>
      </c>
      <c r="BC381">
        <f ca="1">IF(AND($AT381&lt;3,OFFSET(DATA!$C$14,$AS381,0)=BC$6),$AV381,dNULL)</f>
        <v>-99</v>
      </c>
      <c r="BD381">
        <f ca="1">IF(AND($AT381&lt;3,OFFSET(DATA!$C$14,$AS381,0)=BD$6),$AV381,dNULL)</f>
        <v>-99</v>
      </c>
      <c r="BE381">
        <f ca="1">IF(AND($AT381&lt;3,OFFSET(DATA!$C$14,$AS381,0)=BE$6),$AV381,dNULL)</f>
        <v>-99</v>
      </c>
      <c r="BF381">
        <f ca="1">IF(AND($AT381&lt;3,OFFSET(DATA!$C$14,$AS381,0)=BF$6),$AV381,dNULL)</f>
        <v>-99</v>
      </c>
      <c r="BG381">
        <f ca="1">IF(AND($AT381&lt;3,OFFSET(DATA!$C$14,$AS381,0)=BG$6),$AV381,dNULL)</f>
        <v>-99</v>
      </c>
      <c r="BH381">
        <f ca="1">IF(AND($AT381&lt;3,OFFSET(DATA!$C$14,$AS381,0)=BH$6),$AV381,dNULL)</f>
        <v>-99</v>
      </c>
    </row>
    <row r="382" spans="45:60" x14ac:dyDescent="0.25">
      <c r="AS382">
        <f t="shared" si="108"/>
        <v>16</v>
      </c>
      <c r="AT382">
        <f t="shared" si="109"/>
        <v>4</v>
      </c>
      <c r="AU382">
        <f t="shared" ca="1" si="110"/>
        <v>-99</v>
      </c>
      <c r="AV382">
        <f t="shared" ca="1" si="111"/>
        <v>-99</v>
      </c>
      <c r="AW382">
        <f ca="1">IF(AND($AT382&lt;3,OFFSET(DATA!$C$14,$AS382,0)=AW$6),$AV382,dNULL)</f>
        <v>-99</v>
      </c>
      <c r="AX382">
        <f ca="1">IF(AND($AT382&lt;3,OFFSET(DATA!$C$14,$AS382,0)=AX$6),$AV382,dNULL)</f>
        <v>-99</v>
      </c>
      <c r="AY382">
        <f ca="1">IF(AND($AT382&lt;3,OFFSET(DATA!$C$14,$AS382,0)=AY$6),$AV382,dNULL)</f>
        <v>-99</v>
      </c>
      <c r="AZ382">
        <f ca="1">IF(AND($AT382&lt;3,OFFSET(DATA!$C$14,$AS382,0)=AZ$6),$AV382,dNULL)</f>
        <v>-99</v>
      </c>
      <c r="BA382">
        <f ca="1">IF(AND($AT382&lt;3,OFFSET(DATA!$C$14,$AS382,0)=BA$6),$AV382,dNULL)</f>
        <v>-99</v>
      </c>
      <c r="BB382">
        <f ca="1">IF(AND($AT382&lt;3,OFFSET(DATA!$C$14,$AS382,0)=BB$6),$AV382,dNULL)</f>
        <v>-99</v>
      </c>
      <c r="BC382">
        <f ca="1">IF(AND($AT382&lt;3,OFFSET(DATA!$C$14,$AS382,0)=BC$6),$AV382,dNULL)</f>
        <v>-99</v>
      </c>
      <c r="BD382">
        <f ca="1">IF(AND($AT382&lt;3,OFFSET(DATA!$C$14,$AS382,0)=BD$6),$AV382,dNULL)</f>
        <v>-99</v>
      </c>
      <c r="BE382">
        <f ca="1">IF(AND($AT382&lt;3,OFFSET(DATA!$C$14,$AS382,0)=BE$6),$AV382,dNULL)</f>
        <v>-99</v>
      </c>
      <c r="BF382">
        <f ca="1">IF(AND($AT382&lt;3,OFFSET(DATA!$C$14,$AS382,0)=BF$6),$AV382,dNULL)</f>
        <v>-99</v>
      </c>
      <c r="BG382">
        <f ca="1">IF(AND($AT382&lt;3,OFFSET(DATA!$C$14,$AS382,0)=BG$6),$AV382,dNULL)</f>
        <v>-99</v>
      </c>
      <c r="BH382">
        <f ca="1">IF(AND($AT382&lt;3,OFFSET(DATA!$C$14,$AS382,0)=BH$6),$AV382,dNULL)</f>
        <v>-99</v>
      </c>
    </row>
    <row r="383" spans="45:60" x14ac:dyDescent="0.25">
      <c r="AS383">
        <f t="shared" si="108"/>
        <v>17</v>
      </c>
      <c r="AT383">
        <f t="shared" si="109"/>
        <v>4</v>
      </c>
      <c r="AU383">
        <f t="shared" ca="1" si="110"/>
        <v>-99</v>
      </c>
      <c r="AV383">
        <f t="shared" ca="1" si="111"/>
        <v>-99</v>
      </c>
      <c r="AW383">
        <f ca="1">IF(AND($AT383&lt;3,OFFSET(DATA!$C$14,$AS383,0)=AW$6),$AV383,dNULL)</f>
        <v>-99</v>
      </c>
      <c r="AX383">
        <f ca="1">IF(AND($AT383&lt;3,OFFSET(DATA!$C$14,$AS383,0)=AX$6),$AV383,dNULL)</f>
        <v>-99</v>
      </c>
      <c r="AY383">
        <f ca="1">IF(AND($AT383&lt;3,OFFSET(DATA!$C$14,$AS383,0)=AY$6),$AV383,dNULL)</f>
        <v>-99</v>
      </c>
      <c r="AZ383">
        <f ca="1">IF(AND($AT383&lt;3,OFFSET(DATA!$C$14,$AS383,0)=AZ$6),$AV383,dNULL)</f>
        <v>-99</v>
      </c>
      <c r="BA383">
        <f ca="1">IF(AND($AT383&lt;3,OFFSET(DATA!$C$14,$AS383,0)=BA$6),$AV383,dNULL)</f>
        <v>-99</v>
      </c>
      <c r="BB383">
        <f ca="1">IF(AND($AT383&lt;3,OFFSET(DATA!$C$14,$AS383,0)=BB$6),$AV383,dNULL)</f>
        <v>-99</v>
      </c>
      <c r="BC383">
        <f ca="1">IF(AND($AT383&lt;3,OFFSET(DATA!$C$14,$AS383,0)=BC$6),$AV383,dNULL)</f>
        <v>-99</v>
      </c>
      <c r="BD383">
        <f ca="1">IF(AND($AT383&lt;3,OFFSET(DATA!$C$14,$AS383,0)=BD$6),$AV383,dNULL)</f>
        <v>-99</v>
      </c>
      <c r="BE383">
        <f ca="1">IF(AND($AT383&lt;3,OFFSET(DATA!$C$14,$AS383,0)=BE$6),$AV383,dNULL)</f>
        <v>-99</v>
      </c>
      <c r="BF383">
        <f ca="1">IF(AND($AT383&lt;3,OFFSET(DATA!$C$14,$AS383,0)=BF$6),$AV383,dNULL)</f>
        <v>-99</v>
      </c>
      <c r="BG383">
        <f ca="1">IF(AND($AT383&lt;3,OFFSET(DATA!$C$14,$AS383,0)=BG$6),$AV383,dNULL)</f>
        <v>-99</v>
      </c>
      <c r="BH383">
        <f ca="1">IF(AND($AT383&lt;3,OFFSET(DATA!$C$14,$AS383,0)=BH$6),$AV383,dNULL)</f>
        <v>-99</v>
      </c>
    </row>
    <row r="384" spans="45:60" x14ac:dyDescent="0.25">
      <c r="AS384">
        <f t="shared" si="108"/>
        <v>18</v>
      </c>
      <c r="AT384">
        <f t="shared" si="109"/>
        <v>4</v>
      </c>
      <c r="AU384">
        <f t="shared" ca="1" si="110"/>
        <v>-99</v>
      </c>
      <c r="AV384">
        <f t="shared" ca="1" si="111"/>
        <v>-99</v>
      </c>
      <c r="AW384">
        <f ca="1">IF(AND($AT384&lt;3,OFFSET(DATA!$C$14,$AS384,0)=AW$6),$AV384,dNULL)</f>
        <v>-99</v>
      </c>
      <c r="AX384">
        <f ca="1">IF(AND($AT384&lt;3,OFFSET(DATA!$C$14,$AS384,0)=AX$6),$AV384,dNULL)</f>
        <v>-99</v>
      </c>
      <c r="AY384">
        <f ca="1">IF(AND($AT384&lt;3,OFFSET(DATA!$C$14,$AS384,0)=AY$6),$AV384,dNULL)</f>
        <v>-99</v>
      </c>
      <c r="AZ384">
        <f ca="1">IF(AND($AT384&lt;3,OFFSET(DATA!$C$14,$AS384,0)=AZ$6),$AV384,dNULL)</f>
        <v>-99</v>
      </c>
      <c r="BA384">
        <f ca="1">IF(AND($AT384&lt;3,OFFSET(DATA!$C$14,$AS384,0)=BA$6),$AV384,dNULL)</f>
        <v>-99</v>
      </c>
      <c r="BB384">
        <f ca="1">IF(AND($AT384&lt;3,OFFSET(DATA!$C$14,$AS384,0)=BB$6),$AV384,dNULL)</f>
        <v>-99</v>
      </c>
      <c r="BC384">
        <f ca="1">IF(AND($AT384&lt;3,OFFSET(DATA!$C$14,$AS384,0)=BC$6),$AV384,dNULL)</f>
        <v>-99</v>
      </c>
      <c r="BD384">
        <f ca="1">IF(AND($AT384&lt;3,OFFSET(DATA!$C$14,$AS384,0)=BD$6),$AV384,dNULL)</f>
        <v>-99</v>
      </c>
      <c r="BE384">
        <f ca="1">IF(AND($AT384&lt;3,OFFSET(DATA!$C$14,$AS384,0)=BE$6),$AV384,dNULL)</f>
        <v>-99</v>
      </c>
      <c r="BF384">
        <f ca="1">IF(AND($AT384&lt;3,OFFSET(DATA!$C$14,$AS384,0)=BF$6),$AV384,dNULL)</f>
        <v>-99</v>
      </c>
      <c r="BG384">
        <f ca="1">IF(AND($AT384&lt;3,OFFSET(DATA!$C$14,$AS384,0)=BG$6),$AV384,dNULL)</f>
        <v>-99</v>
      </c>
      <c r="BH384">
        <f ca="1">IF(AND($AT384&lt;3,OFFSET(DATA!$C$14,$AS384,0)=BH$6),$AV384,dNULL)</f>
        <v>-99</v>
      </c>
    </row>
    <row r="385" spans="45:60" x14ac:dyDescent="0.25">
      <c r="AS385">
        <f t="shared" si="108"/>
        <v>19</v>
      </c>
      <c r="AT385">
        <f t="shared" si="109"/>
        <v>4</v>
      </c>
      <c r="AU385">
        <f t="shared" ca="1" si="110"/>
        <v>-99</v>
      </c>
      <c r="AV385">
        <f t="shared" ca="1" si="111"/>
        <v>-99</v>
      </c>
      <c r="AW385">
        <f ca="1">IF(AND($AT385&lt;3,OFFSET(DATA!$C$14,$AS385,0)=AW$6),$AV385,dNULL)</f>
        <v>-99</v>
      </c>
      <c r="AX385">
        <f ca="1">IF(AND($AT385&lt;3,OFFSET(DATA!$C$14,$AS385,0)=AX$6),$AV385,dNULL)</f>
        <v>-99</v>
      </c>
      <c r="AY385">
        <f ca="1">IF(AND($AT385&lt;3,OFFSET(DATA!$C$14,$AS385,0)=AY$6),$AV385,dNULL)</f>
        <v>-99</v>
      </c>
      <c r="AZ385">
        <f ca="1">IF(AND($AT385&lt;3,OFFSET(DATA!$C$14,$AS385,0)=AZ$6),$AV385,dNULL)</f>
        <v>-99</v>
      </c>
      <c r="BA385">
        <f ca="1">IF(AND($AT385&lt;3,OFFSET(DATA!$C$14,$AS385,0)=BA$6),$AV385,dNULL)</f>
        <v>-99</v>
      </c>
      <c r="BB385">
        <f ca="1">IF(AND($AT385&lt;3,OFFSET(DATA!$C$14,$AS385,0)=BB$6),$AV385,dNULL)</f>
        <v>-99</v>
      </c>
      <c r="BC385">
        <f ca="1">IF(AND($AT385&lt;3,OFFSET(DATA!$C$14,$AS385,0)=BC$6),$AV385,dNULL)</f>
        <v>-99</v>
      </c>
      <c r="BD385">
        <f ca="1">IF(AND($AT385&lt;3,OFFSET(DATA!$C$14,$AS385,0)=BD$6),$AV385,dNULL)</f>
        <v>-99</v>
      </c>
      <c r="BE385">
        <f ca="1">IF(AND($AT385&lt;3,OFFSET(DATA!$C$14,$AS385,0)=BE$6),$AV385,dNULL)</f>
        <v>-99</v>
      </c>
      <c r="BF385">
        <f ca="1">IF(AND($AT385&lt;3,OFFSET(DATA!$C$14,$AS385,0)=BF$6),$AV385,dNULL)</f>
        <v>-99</v>
      </c>
      <c r="BG385">
        <f ca="1">IF(AND($AT385&lt;3,OFFSET(DATA!$C$14,$AS385,0)=BG$6),$AV385,dNULL)</f>
        <v>-99</v>
      </c>
      <c r="BH385">
        <f ca="1">IF(AND($AT385&lt;3,OFFSET(DATA!$C$14,$AS385,0)=BH$6),$AV385,dNULL)</f>
        <v>-99</v>
      </c>
    </row>
    <row r="386" spans="45:60" x14ac:dyDescent="0.25">
      <c r="AS386">
        <f t="shared" si="108"/>
        <v>20</v>
      </c>
      <c r="AT386">
        <f t="shared" si="109"/>
        <v>4</v>
      </c>
      <c r="AU386">
        <f t="shared" ca="1" si="110"/>
        <v>-99</v>
      </c>
      <c r="AV386">
        <f t="shared" ca="1" si="111"/>
        <v>-99</v>
      </c>
      <c r="AW386">
        <f ca="1">IF(AND($AT386&lt;3,OFFSET(DATA!$C$14,$AS386,0)=AW$6),$AV386,dNULL)</f>
        <v>-99</v>
      </c>
      <c r="AX386">
        <f ca="1">IF(AND($AT386&lt;3,OFFSET(DATA!$C$14,$AS386,0)=AX$6),$AV386,dNULL)</f>
        <v>-99</v>
      </c>
      <c r="AY386">
        <f ca="1">IF(AND($AT386&lt;3,OFFSET(DATA!$C$14,$AS386,0)=AY$6),$AV386,dNULL)</f>
        <v>-99</v>
      </c>
      <c r="AZ386">
        <f ca="1">IF(AND($AT386&lt;3,OFFSET(DATA!$C$14,$AS386,0)=AZ$6),$AV386,dNULL)</f>
        <v>-99</v>
      </c>
      <c r="BA386">
        <f ca="1">IF(AND($AT386&lt;3,OFFSET(DATA!$C$14,$AS386,0)=BA$6),$AV386,dNULL)</f>
        <v>-99</v>
      </c>
      <c r="BB386">
        <f ca="1">IF(AND($AT386&lt;3,OFFSET(DATA!$C$14,$AS386,0)=BB$6),$AV386,dNULL)</f>
        <v>-99</v>
      </c>
      <c r="BC386">
        <f ca="1">IF(AND($AT386&lt;3,OFFSET(DATA!$C$14,$AS386,0)=BC$6),$AV386,dNULL)</f>
        <v>-99</v>
      </c>
      <c r="BD386">
        <f ca="1">IF(AND($AT386&lt;3,OFFSET(DATA!$C$14,$AS386,0)=BD$6),$AV386,dNULL)</f>
        <v>-99</v>
      </c>
      <c r="BE386">
        <f ca="1">IF(AND($AT386&lt;3,OFFSET(DATA!$C$14,$AS386,0)=BE$6),$AV386,dNULL)</f>
        <v>-99</v>
      </c>
      <c r="BF386">
        <f ca="1">IF(AND($AT386&lt;3,OFFSET(DATA!$C$14,$AS386,0)=BF$6),$AV386,dNULL)</f>
        <v>-99</v>
      </c>
      <c r="BG386">
        <f ca="1">IF(AND($AT386&lt;3,OFFSET(DATA!$C$14,$AS386,0)=BG$6),$AV386,dNULL)</f>
        <v>-99</v>
      </c>
      <c r="BH386">
        <f ca="1">IF(AND($AT386&lt;3,OFFSET(DATA!$C$14,$AS386,0)=BH$6),$AV386,dNULL)</f>
        <v>-99</v>
      </c>
    </row>
    <row r="387" spans="45:60" x14ac:dyDescent="0.25">
      <c r="AS387">
        <f t="shared" si="108"/>
        <v>21</v>
      </c>
      <c r="AT387">
        <f t="shared" si="109"/>
        <v>4</v>
      </c>
      <c r="AU387">
        <f t="shared" ca="1" si="110"/>
        <v>-99</v>
      </c>
      <c r="AV387">
        <f t="shared" ca="1" si="111"/>
        <v>-99</v>
      </c>
      <c r="AW387">
        <f ca="1">IF(AND($AT387&lt;3,OFFSET(DATA!$C$14,$AS387,0)=AW$6),$AV387,dNULL)</f>
        <v>-99</v>
      </c>
      <c r="AX387">
        <f ca="1">IF(AND($AT387&lt;3,OFFSET(DATA!$C$14,$AS387,0)=AX$6),$AV387,dNULL)</f>
        <v>-99</v>
      </c>
      <c r="AY387">
        <f ca="1">IF(AND($AT387&lt;3,OFFSET(DATA!$C$14,$AS387,0)=AY$6),$AV387,dNULL)</f>
        <v>-99</v>
      </c>
      <c r="AZ387">
        <f ca="1">IF(AND($AT387&lt;3,OFFSET(DATA!$C$14,$AS387,0)=AZ$6),$AV387,dNULL)</f>
        <v>-99</v>
      </c>
      <c r="BA387">
        <f ca="1">IF(AND($AT387&lt;3,OFFSET(DATA!$C$14,$AS387,0)=BA$6),$AV387,dNULL)</f>
        <v>-99</v>
      </c>
      <c r="BB387">
        <f ca="1">IF(AND($AT387&lt;3,OFFSET(DATA!$C$14,$AS387,0)=BB$6),$AV387,dNULL)</f>
        <v>-99</v>
      </c>
      <c r="BC387">
        <f ca="1">IF(AND($AT387&lt;3,OFFSET(DATA!$C$14,$AS387,0)=BC$6),$AV387,dNULL)</f>
        <v>-99</v>
      </c>
      <c r="BD387">
        <f ca="1">IF(AND($AT387&lt;3,OFFSET(DATA!$C$14,$AS387,0)=BD$6),$AV387,dNULL)</f>
        <v>-99</v>
      </c>
      <c r="BE387">
        <f ca="1">IF(AND($AT387&lt;3,OFFSET(DATA!$C$14,$AS387,0)=BE$6),$AV387,dNULL)</f>
        <v>-99</v>
      </c>
      <c r="BF387">
        <f ca="1">IF(AND($AT387&lt;3,OFFSET(DATA!$C$14,$AS387,0)=BF$6),$AV387,dNULL)</f>
        <v>-99</v>
      </c>
      <c r="BG387">
        <f ca="1">IF(AND($AT387&lt;3,OFFSET(DATA!$C$14,$AS387,0)=BG$6),$AV387,dNULL)</f>
        <v>-99</v>
      </c>
      <c r="BH387">
        <f ca="1">IF(AND($AT387&lt;3,OFFSET(DATA!$C$14,$AS387,0)=BH$6),$AV387,dNULL)</f>
        <v>-99</v>
      </c>
    </row>
    <row r="388" spans="45:60" x14ac:dyDescent="0.25">
      <c r="AS388">
        <f t="shared" si="108"/>
        <v>22</v>
      </c>
      <c r="AT388">
        <f t="shared" si="109"/>
        <v>4</v>
      </c>
      <c r="AU388">
        <f t="shared" ca="1" si="110"/>
        <v>-99</v>
      </c>
      <c r="AV388">
        <f t="shared" ca="1" si="111"/>
        <v>-99</v>
      </c>
      <c r="AW388">
        <f ca="1">IF(AND($AT388&lt;3,OFFSET(DATA!$C$14,$AS388,0)=AW$6),$AV388,dNULL)</f>
        <v>-99</v>
      </c>
      <c r="AX388">
        <f ca="1">IF(AND($AT388&lt;3,OFFSET(DATA!$C$14,$AS388,0)=AX$6),$AV388,dNULL)</f>
        <v>-99</v>
      </c>
      <c r="AY388">
        <f ca="1">IF(AND($AT388&lt;3,OFFSET(DATA!$C$14,$AS388,0)=AY$6),$AV388,dNULL)</f>
        <v>-99</v>
      </c>
      <c r="AZ388">
        <f ca="1">IF(AND($AT388&lt;3,OFFSET(DATA!$C$14,$AS388,0)=AZ$6),$AV388,dNULL)</f>
        <v>-99</v>
      </c>
      <c r="BA388">
        <f ca="1">IF(AND($AT388&lt;3,OFFSET(DATA!$C$14,$AS388,0)=BA$6),$AV388,dNULL)</f>
        <v>-99</v>
      </c>
      <c r="BB388">
        <f ca="1">IF(AND($AT388&lt;3,OFFSET(DATA!$C$14,$AS388,0)=BB$6),$AV388,dNULL)</f>
        <v>-99</v>
      </c>
      <c r="BC388">
        <f ca="1">IF(AND($AT388&lt;3,OFFSET(DATA!$C$14,$AS388,0)=BC$6),$AV388,dNULL)</f>
        <v>-99</v>
      </c>
      <c r="BD388">
        <f ca="1">IF(AND($AT388&lt;3,OFFSET(DATA!$C$14,$AS388,0)=BD$6),$AV388,dNULL)</f>
        <v>-99</v>
      </c>
      <c r="BE388">
        <f ca="1">IF(AND($AT388&lt;3,OFFSET(DATA!$C$14,$AS388,0)=BE$6),$AV388,dNULL)</f>
        <v>-99</v>
      </c>
      <c r="BF388">
        <f ca="1">IF(AND($AT388&lt;3,OFFSET(DATA!$C$14,$AS388,0)=BF$6),$AV388,dNULL)</f>
        <v>-99</v>
      </c>
      <c r="BG388">
        <f ca="1">IF(AND($AT388&lt;3,OFFSET(DATA!$C$14,$AS388,0)=BG$6),$AV388,dNULL)</f>
        <v>-99</v>
      </c>
      <c r="BH388">
        <f ca="1">IF(AND($AT388&lt;3,OFFSET(DATA!$C$14,$AS388,0)=BH$6),$AV388,dNULL)</f>
        <v>-99</v>
      </c>
    </row>
    <row r="389" spans="45:60" x14ac:dyDescent="0.25">
      <c r="AS389">
        <f t="shared" si="108"/>
        <v>23</v>
      </c>
      <c r="AT389">
        <f t="shared" si="109"/>
        <v>4</v>
      </c>
      <c r="AU389">
        <f t="shared" ca="1" si="110"/>
        <v>-99</v>
      </c>
      <c r="AV389">
        <f t="shared" ca="1" si="111"/>
        <v>-99</v>
      </c>
      <c r="AW389">
        <f ca="1">IF(AND($AT389&lt;3,OFFSET(DATA!$C$14,$AS389,0)=AW$6),$AV389,dNULL)</f>
        <v>-99</v>
      </c>
      <c r="AX389">
        <f ca="1">IF(AND($AT389&lt;3,OFFSET(DATA!$C$14,$AS389,0)=AX$6),$AV389,dNULL)</f>
        <v>-99</v>
      </c>
      <c r="AY389">
        <f ca="1">IF(AND($AT389&lt;3,OFFSET(DATA!$C$14,$AS389,0)=AY$6),$AV389,dNULL)</f>
        <v>-99</v>
      </c>
      <c r="AZ389">
        <f ca="1">IF(AND($AT389&lt;3,OFFSET(DATA!$C$14,$AS389,0)=AZ$6),$AV389,dNULL)</f>
        <v>-99</v>
      </c>
      <c r="BA389">
        <f ca="1">IF(AND($AT389&lt;3,OFFSET(DATA!$C$14,$AS389,0)=BA$6),$AV389,dNULL)</f>
        <v>-99</v>
      </c>
      <c r="BB389">
        <f ca="1">IF(AND($AT389&lt;3,OFFSET(DATA!$C$14,$AS389,0)=BB$6),$AV389,dNULL)</f>
        <v>-99</v>
      </c>
      <c r="BC389">
        <f ca="1">IF(AND($AT389&lt;3,OFFSET(DATA!$C$14,$AS389,0)=BC$6),$AV389,dNULL)</f>
        <v>-99</v>
      </c>
      <c r="BD389">
        <f ca="1">IF(AND($AT389&lt;3,OFFSET(DATA!$C$14,$AS389,0)=BD$6),$AV389,dNULL)</f>
        <v>-99</v>
      </c>
      <c r="BE389">
        <f ca="1">IF(AND($AT389&lt;3,OFFSET(DATA!$C$14,$AS389,0)=BE$6),$AV389,dNULL)</f>
        <v>-99</v>
      </c>
      <c r="BF389">
        <f ca="1">IF(AND($AT389&lt;3,OFFSET(DATA!$C$14,$AS389,0)=BF$6),$AV389,dNULL)</f>
        <v>-99</v>
      </c>
      <c r="BG389">
        <f ca="1">IF(AND($AT389&lt;3,OFFSET(DATA!$C$14,$AS389,0)=BG$6),$AV389,dNULL)</f>
        <v>-99</v>
      </c>
      <c r="BH389">
        <f ca="1">IF(AND($AT389&lt;3,OFFSET(DATA!$C$14,$AS389,0)=BH$6),$AV389,dNULL)</f>
        <v>-99</v>
      </c>
    </row>
    <row r="390" spans="45:60" x14ac:dyDescent="0.25">
      <c r="AS390">
        <f t="shared" si="108"/>
        <v>24</v>
      </c>
      <c r="AT390">
        <f t="shared" si="109"/>
        <v>4</v>
      </c>
      <c r="AU390">
        <f t="shared" ca="1" si="110"/>
        <v>-99</v>
      </c>
      <c r="AV390">
        <f t="shared" ca="1" si="111"/>
        <v>-99</v>
      </c>
      <c r="AW390">
        <f ca="1">IF(AND($AT390&lt;3,OFFSET(DATA!$C$14,$AS390,0)=AW$6),$AV390,dNULL)</f>
        <v>-99</v>
      </c>
      <c r="AX390">
        <f ca="1">IF(AND($AT390&lt;3,OFFSET(DATA!$C$14,$AS390,0)=AX$6),$AV390,dNULL)</f>
        <v>-99</v>
      </c>
      <c r="AY390">
        <f ca="1">IF(AND($AT390&lt;3,OFFSET(DATA!$C$14,$AS390,0)=AY$6),$AV390,dNULL)</f>
        <v>-99</v>
      </c>
      <c r="AZ390">
        <f ca="1">IF(AND($AT390&lt;3,OFFSET(DATA!$C$14,$AS390,0)=AZ$6),$AV390,dNULL)</f>
        <v>-99</v>
      </c>
      <c r="BA390">
        <f ca="1">IF(AND($AT390&lt;3,OFFSET(DATA!$C$14,$AS390,0)=BA$6),$AV390,dNULL)</f>
        <v>-99</v>
      </c>
      <c r="BB390">
        <f ca="1">IF(AND($AT390&lt;3,OFFSET(DATA!$C$14,$AS390,0)=BB$6),$AV390,dNULL)</f>
        <v>-99</v>
      </c>
      <c r="BC390">
        <f ca="1">IF(AND($AT390&lt;3,OFFSET(DATA!$C$14,$AS390,0)=BC$6),$AV390,dNULL)</f>
        <v>-99</v>
      </c>
      <c r="BD390">
        <f ca="1">IF(AND($AT390&lt;3,OFFSET(DATA!$C$14,$AS390,0)=BD$6),$AV390,dNULL)</f>
        <v>-99</v>
      </c>
      <c r="BE390">
        <f ca="1">IF(AND($AT390&lt;3,OFFSET(DATA!$C$14,$AS390,0)=BE$6),$AV390,dNULL)</f>
        <v>-99</v>
      </c>
      <c r="BF390">
        <f ca="1">IF(AND($AT390&lt;3,OFFSET(DATA!$C$14,$AS390,0)=BF$6),$AV390,dNULL)</f>
        <v>-99</v>
      </c>
      <c r="BG390">
        <f ca="1">IF(AND($AT390&lt;3,OFFSET(DATA!$C$14,$AS390,0)=BG$6),$AV390,dNULL)</f>
        <v>-99</v>
      </c>
      <c r="BH390">
        <f ca="1">IF(AND($AT390&lt;3,OFFSET(DATA!$C$14,$AS390,0)=BH$6),$AV390,dNULL)</f>
        <v>-99</v>
      </c>
    </row>
    <row r="391" spans="45:60" x14ac:dyDescent="0.25">
      <c r="AS391">
        <f t="shared" ref="AS391:AS454" si="112">MOD(ROW(AT391)-ROW($AT$7),lCNTsites)+1</f>
        <v>25</v>
      </c>
      <c r="AT391">
        <f t="shared" ref="AT391:AT454" si="113">INT((ROW(AT391)-ROW($AT$7))/lCNTsites)</f>
        <v>4</v>
      </c>
      <c r="AU391">
        <f t="shared" ref="AU391:AU454" ca="1" si="114">IF($AT391=0,(1-OFFSET($AL$6,$AS391,$AT391*2))-OFFSET($AL$6,$AS391,$AT391*2+1)*$K$8,IF($AT391=1,dAnionOFF+1+OFFSET($AL$6,$AS391,$AT391*2)+OFFSET($AL$6,$AS391,$AT391*2+1)/2,IF($AT391=2,$K$17-(1-OFFSET($AL$6,$AS391,$AT391*2))*0.5+(1-OFFSET($AL$6,$AS391,$AT391*2+1))*0.5,dNULL)))</f>
        <v>-99</v>
      </c>
      <c r="AV391">
        <f t="shared" ref="AV391:AV454" ca="1" si="115">IF($AT391=0,OFFSET($AL$6,$AS391,$AT391*2+1)*$L$8,IF($AT391=1,OFFSET($AL$6,$AS391,$AT391*2+1)*3^0.5/2,IF($AT391=2,$L$17+(2-OFFSET($AL$6,$AS391,$AT391*2)-OFFSET($AL$6,$AS391,$AT391*2+1))*$L$8,dNULL)))</f>
        <v>-99</v>
      </c>
      <c r="AW391">
        <f ca="1">IF(AND($AT391&lt;3,OFFSET(DATA!$C$14,$AS391,0)=AW$6),$AV391,dNULL)</f>
        <v>-99</v>
      </c>
      <c r="AX391">
        <f ca="1">IF(AND($AT391&lt;3,OFFSET(DATA!$C$14,$AS391,0)=AX$6),$AV391,dNULL)</f>
        <v>-99</v>
      </c>
      <c r="AY391">
        <f ca="1">IF(AND($AT391&lt;3,OFFSET(DATA!$C$14,$AS391,0)=AY$6),$AV391,dNULL)</f>
        <v>-99</v>
      </c>
      <c r="AZ391">
        <f ca="1">IF(AND($AT391&lt;3,OFFSET(DATA!$C$14,$AS391,0)=AZ$6),$AV391,dNULL)</f>
        <v>-99</v>
      </c>
      <c r="BA391">
        <f ca="1">IF(AND($AT391&lt;3,OFFSET(DATA!$C$14,$AS391,0)=BA$6),$AV391,dNULL)</f>
        <v>-99</v>
      </c>
      <c r="BB391">
        <f ca="1">IF(AND($AT391&lt;3,OFFSET(DATA!$C$14,$AS391,0)=BB$6),$AV391,dNULL)</f>
        <v>-99</v>
      </c>
      <c r="BC391">
        <f ca="1">IF(AND($AT391&lt;3,OFFSET(DATA!$C$14,$AS391,0)=BC$6),$AV391,dNULL)</f>
        <v>-99</v>
      </c>
      <c r="BD391">
        <f ca="1">IF(AND($AT391&lt;3,OFFSET(DATA!$C$14,$AS391,0)=BD$6),$AV391,dNULL)</f>
        <v>-99</v>
      </c>
      <c r="BE391">
        <f ca="1">IF(AND($AT391&lt;3,OFFSET(DATA!$C$14,$AS391,0)=BE$6),$AV391,dNULL)</f>
        <v>-99</v>
      </c>
      <c r="BF391">
        <f ca="1">IF(AND($AT391&lt;3,OFFSET(DATA!$C$14,$AS391,0)=BF$6),$AV391,dNULL)</f>
        <v>-99</v>
      </c>
      <c r="BG391">
        <f ca="1">IF(AND($AT391&lt;3,OFFSET(DATA!$C$14,$AS391,0)=BG$6),$AV391,dNULL)</f>
        <v>-99</v>
      </c>
      <c r="BH391">
        <f ca="1">IF(AND($AT391&lt;3,OFFSET(DATA!$C$14,$AS391,0)=BH$6),$AV391,dNULL)</f>
        <v>-99</v>
      </c>
    </row>
    <row r="392" spans="45:60" x14ac:dyDescent="0.25">
      <c r="AS392">
        <f t="shared" si="112"/>
        <v>26</v>
      </c>
      <c r="AT392">
        <f t="shared" si="113"/>
        <v>4</v>
      </c>
      <c r="AU392">
        <f t="shared" ca="1" si="114"/>
        <v>-99</v>
      </c>
      <c r="AV392">
        <f t="shared" ca="1" si="115"/>
        <v>-99</v>
      </c>
      <c r="AW392">
        <f ca="1">IF(AND($AT392&lt;3,OFFSET(DATA!$C$14,$AS392,0)=AW$6),$AV392,dNULL)</f>
        <v>-99</v>
      </c>
      <c r="AX392">
        <f ca="1">IF(AND($AT392&lt;3,OFFSET(DATA!$C$14,$AS392,0)=AX$6),$AV392,dNULL)</f>
        <v>-99</v>
      </c>
      <c r="AY392">
        <f ca="1">IF(AND($AT392&lt;3,OFFSET(DATA!$C$14,$AS392,0)=AY$6),$AV392,dNULL)</f>
        <v>-99</v>
      </c>
      <c r="AZ392">
        <f ca="1">IF(AND($AT392&lt;3,OFFSET(DATA!$C$14,$AS392,0)=AZ$6),$AV392,dNULL)</f>
        <v>-99</v>
      </c>
      <c r="BA392">
        <f ca="1">IF(AND($AT392&lt;3,OFFSET(DATA!$C$14,$AS392,0)=BA$6),$AV392,dNULL)</f>
        <v>-99</v>
      </c>
      <c r="BB392">
        <f ca="1">IF(AND($AT392&lt;3,OFFSET(DATA!$C$14,$AS392,0)=BB$6),$AV392,dNULL)</f>
        <v>-99</v>
      </c>
      <c r="BC392">
        <f ca="1">IF(AND($AT392&lt;3,OFFSET(DATA!$C$14,$AS392,0)=BC$6),$AV392,dNULL)</f>
        <v>-99</v>
      </c>
      <c r="BD392">
        <f ca="1">IF(AND($AT392&lt;3,OFFSET(DATA!$C$14,$AS392,0)=BD$6),$AV392,dNULL)</f>
        <v>-99</v>
      </c>
      <c r="BE392">
        <f ca="1">IF(AND($AT392&lt;3,OFFSET(DATA!$C$14,$AS392,0)=BE$6),$AV392,dNULL)</f>
        <v>-99</v>
      </c>
      <c r="BF392">
        <f ca="1">IF(AND($AT392&lt;3,OFFSET(DATA!$C$14,$AS392,0)=BF$6),$AV392,dNULL)</f>
        <v>-99</v>
      </c>
      <c r="BG392">
        <f ca="1">IF(AND($AT392&lt;3,OFFSET(DATA!$C$14,$AS392,0)=BG$6),$AV392,dNULL)</f>
        <v>-99</v>
      </c>
      <c r="BH392">
        <f ca="1">IF(AND($AT392&lt;3,OFFSET(DATA!$C$14,$AS392,0)=BH$6),$AV392,dNULL)</f>
        <v>-99</v>
      </c>
    </row>
    <row r="393" spans="45:60" x14ac:dyDescent="0.25">
      <c r="AS393">
        <f t="shared" si="112"/>
        <v>27</v>
      </c>
      <c r="AT393">
        <f t="shared" si="113"/>
        <v>4</v>
      </c>
      <c r="AU393">
        <f t="shared" ca="1" si="114"/>
        <v>-99</v>
      </c>
      <c r="AV393">
        <f t="shared" ca="1" si="115"/>
        <v>-99</v>
      </c>
      <c r="AW393">
        <f ca="1">IF(AND($AT393&lt;3,OFFSET(DATA!$C$14,$AS393,0)=AW$6),$AV393,dNULL)</f>
        <v>-99</v>
      </c>
      <c r="AX393">
        <f ca="1">IF(AND($AT393&lt;3,OFFSET(DATA!$C$14,$AS393,0)=AX$6),$AV393,dNULL)</f>
        <v>-99</v>
      </c>
      <c r="AY393">
        <f ca="1">IF(AND($AT393&lt;3,OFFSET(DATA!$C$14,$AS393,0)=AY$6),$AV393,dNULL)</f>
        <v>-99</v>
      </c>
      <c r="AZ393">
        <f ca="1">IF(AND($AT393&lt;3,OFFSET(DATA!$C$14,$AS393,0)=AZ$6),$AV393,dNULL)</f>
        <v>-99</v>
      </c>
      <c r="BA393">
        <f ca="1">IF(AND($AT393&lt;3,OFFSET(DATA!$C$14,$AS393,0)=BA$6),$AV393,dNULL)</f>
        <v>-99</v>
      </c>
      <c r="BB393">
        <f ca="1">IF(AND($AT393&lt;3,OFFSET(DATA!$C$14,$AS393,0)=BB$6),$AV393,dNULL)</f>
        <v>-99</v>
      </c>
      <c r="BC393">
        <f ca="1">IF(AND($AT393&lt;3,OFFSET(DATA!$C$14,$AS393,0)=BC$6),$AV393,dNULL)</f>
        <v>-99</v>
      </c>
      <c r="BD393">
        <f ca="1">IF(AND($AT393&lt;3,OFFSET(DATA!$C$14,$AS393,0)=BD$6),$AV393,dNULL)</f>
        <v>-99</v>
      </c>
      <c r="BE393">
        <f ca="1">IF(AND($AT393&lt;3,OFFSET(DATA!$C$14,$AS393,0)=BE$6),$AV393,dNULL)</f>
        <v>-99</v>
      </c>
      <c r="BF393">
        <f ca="1">IF(AND($AT393&lt;3,OFFSET(DATA!$C$14,$AS393,0)=BF$6),$AV393,dNULL)</f>
        <v>-99</v>
      </c>
      <c r="BG393">
        <f ca="1">IF(AND($AT393&lt;3,OFFSET(DATA!$C$14,$AS393,0)=BG$6),$AV393,dNULL)</f>
        <v>-99</v>
      </c>
      <c r="BH393">
        <f ca="1">IF(AND($AT393&lt;3,OFFSET(DATA!$C$14,$AS393,0)=BH$6),$AV393,dNULL)</f>
        <v>-99</v>
      </c>
    </row>
    <row r="394" spans="45:60" x14ac:dyDescent="0.25">
      <c r="AS394">
        <f t="shared" si="112"/>
        <v>28</v>
      </c>
      <c r="AT394">
        <f t="shared" si="113"/>
        <v>4</v>
      </c>
      <c r="AU394">
        <f t="shared" ca="1" si="114"/>
        <v>-99</v>
      </c>
      <c r="AV394">
        <f t="shared" ca="1" si="115"/>
        <v>-99</v>
      </c>
      <c r="AW394">
        <f ca="1">IF(AND($AT394&lt;3,OFFSET(DATA!$C$14,$AS394,0)=AW$6),$AV394,dNULL)</f>
        <v>-99</v>
      </c>
      <c r="AX394">
        <f ca="1">IF(AND($AT394&lt;3,OFFSET(DATA!$C$14,$AS394,0)=AX$6),$AV394,dNULL)</f>
        <v>-99</v>
      </c>
      <c r="AY394">
        <f ca="1">IF(AND($AT394&lt;3,OFFSET(DATA!$C$14,$AS394,0)=AY$6),$AV394,dNULL)</f>
        <v>-99</v>
      </c>
      <c r="AZ394">
        <f ca="1">IF(AND($AT394&lt;3,OFFSET(DATA!$C$14,$AS394,0)=AZ$6),$AV394,dNULL)</f>
        <v>-99</v>
      </c>
      <c r="BA394">
        <f ca="1">IF(AND($AT394&lt;3,OFFSET(DATA!$C$14,$AS394,0)=BA$6),$AV394,dNULL)</f>
        <v>-99</v>
      </c>
      <c r="BB394">
        <f ca="1">IF(AND($AT394&lt;3,OFFSET(DATA!$C$14,$AS394,0)=BB$6),$AV394,dNULL)</f>
        <v>-99</v>
      </c>
      <c r="BC394">
        <f ca="1">IF(AND($AT394&lt;3,OFFSET(DATA!$C$14,$AS394,0)=BC$6),$AV394,dNULL)</f>
        <v>-99</v>
      </c>
      <c r="BD394">
        <f ca="1">IF(AND($AT394&lt;3,OFFSET(DATA!$C$14,$AS394,0)=BD$6),$AV394,dNULL)</f>
        <v>-99</v>
      </c>
      <c r="BE394">
        <f ca="1">IF(AND($AT394&lt;3,OFFSET(DATA!$C$14,$AS394,0)=BE$6),$AV394,dNULL)</f>
        <v>-99</v>
      </c>
      <c r="BF394">
        <f ca="1">IF(AND($AT394&lt;3,OFFSET(DATA!$C$14,$AS394,0)=BF$6),$AV394,dNULL)</f>
        <v>-99</v>
      </c>
      <c r="BG394">
        <f ca="1">IF(AND($AT394&lt;3,OFFSET(DATA!$C$14,$AS394,0)=BG$6),$AV394,dNULL)</f>
        <v>-99</v>
      </c>
      <c r="BH394">
        <f ca="1">IF(AND($AT394&lt;3,OFFSET(DATA!$C$14,$AS394,0)=BH$6),$AV394,dNULL)</f>
        <v>-99</v>
      </c>
    </row>
    <row r="395" spans="45:60" x14ac:dyDescent="0.25">
      <c r="AS395">
        <f t="shared" si="112"/>
        <v>29</v>
      </c>
      <c r="AT395">
        <f t="shared" si="113"/>
        <v>4</v>
      </c>
      <c r="AU395">
        <f t="shared" ca="1" si="114"/>
        <v>-99</v>
      </c>
      <c r="AV395">
        <f t="shared" ca="1" si="115"/>
        <v>-99</v>
      </c>
      <c r="AW395">
        <f ca="1">IF(AND($AT395&lt;3,OFFSET(DATA!$C$14,$AS395,0)=AW$6),$AV395,dNULL)</f>
        <v>-99</v>
      </c>
      <c r="AX395">
        <f ca="1">IF(AND($AT395&lt;3,OFFSET(DATA!$C$14,$AS395,0)=AX$6),$AV395,dNULL)</f>
        <v>-99</v>
      </c>
      <c r="AY395">
        <f ca="1">IF(AND($AT395&lt;3,OFFSET(DATA!$C$14,$AS395,0)=AY$6),$AV395,dNULL)</f>
        <v>-99</v>
      </c>
      <c r="AZ395">
        <f ca="1">IF(AND($AT395&lt;3,OFFSET(DATA!$C$14,$AS395,0)=AZ$6),$AV395,dNULL)</f>
        <v>-99</v>
      </c>
      <c r="BA395">
        <f ca="1">IF(AND($AT395&lt;3,OFFSET(DATA!$C$14,$AS395,0)=BA$6),$AV395,dNULL)</f>
        <v>-99</v>
      </c>
      <c r="BB395">
        <f ca="1">IF(AND($AT395&lt;3,OFFSET(DATA!$C$14,$AS395,0)=BB$6),$AV395,dNULL)</f>
        <v>-99</v>
      </c>
      <c r="BC395">
        <f ca="1">IF(AND($AT395&lt;3,OFFSET(DATA!$C$14,$AS395,0)=BC$6),$AV395,dNULL)</f>
        <v>-99</v>
      </c>
      <c r="BD395">
        <f ca="1">IF(AND($AT395&lt;3,OFFSET(DATA!$C$14,$AS395,0)=BD$6),$AV395,dNULL)</f>
        <v>-99</v>
      </c>
      <c r="BE395">
        <f ca="1">IF(AND($AT395&lt;3,OFFSET(DATA!$C$14,$AS395,0)=BE$6),$AV395,dNULL)</f>
        <v>-99</v>
      </c>
      <c r="BF395">
        <f ca="1">IF(AND($AT395&lt;3,OFFSET(DATA!$C$14,$AS395,0)=BF$6),$AV395,dNULL)</f>
        <v>-99</v>
      </c>
      <c r="BG395">
        <f ca="1">IF(AND($AT395&lt;3,OFFSET(DATA!$C$14,$AS395,0)=BG$6),$AV395,dNULL)</f>
        <v>-99</v>
      </c>
      <c r="BH395">
        <f ca="1">IF(AND($AT395&lt;3,OFFSET(DATA!$C$14,$AS395,0)=BH$6),$AV395,dNULL)</f>
        <v>-99</v>
      </c>
    </row>
    <row r="396" spans="45:60" x14ac:dyDescent="0.25">
      <c r="AS396">
        <f t="shared" si="112"/>
        <v>30</v>
      </c>
      <c r="AT396">
        <f t="shared" si="113"/>
        <v>4</v>
      </c>
      <c r="AU396">
        <f t="shared" ca="1" si="114"/>
        <v>-99</v>
      </c>
      <c r="AV396">
        <f t="shared" ca="1" si="115"/>
        <v>-99</v>
      </c>
      <c r="AW396">
        <f ca="1">IF(AND($AT396&lt;3,OFFSET(DATA!$C$14,$AS396,0)=AW$6),$AV396,dNULL)</f>
        <v>-99</v>
      </c>
      <c r="AX396">
        <f ca="1">IF(AND($AT396&lt;3,OFFSET(DATA!$C$14,$AS396,0)=AX$6),$AV396,dNULL)</f>
        <v>-99</v>
      </c>
      <c r="AY396">
        <f ca="1">IF(AND($AT396&lt;3,OFFSET(DATA!$C$14,$AS396,0)=AY$6),$AV396,dNULL)</f>
        <v>-99</v>
      </c>
      <c r="AZ396">
        <f ca="1">IF(AND($AT396&lt;3,OFFSET(DATA!$C$14,$AS396,0)=AZ$6),$AV396,dNULL)</f>
        <v>-99</v>
      </c>
      <c r="BA396">
        <f ca="1">IF(AND($AT396&lt;3,OFFSET(DATA!$C$14,$AS396,0)=BA$6),$AV396,dNULL)</f>
        <v>-99</v>
      </c>
      <c r="BB396">
        <f ca="1">IF(AND($AT396&lt;3,OFFSET(DATA!$C$14,$AS396,0)=BB$6),$AV396,dNULL)</f>
        <v>-99</v>
      </c>
      <c r="BC396">
        <f ca="1">IF(AND($AT396&lt;3,OFFSET(DATA!$C$14,$AS396,0)=BC$6),$AV396,dNULL)</f>
        <v>-99</v>
      </c>
      <c r="BD396">
        <f ca="1">IF(AND($AT396&lt;3,OFFSET(DATA!$C$14,$AS396,0)=BD$6),$AV396,dNULL)</f>
        <v>-99</v>
      </c>
      <c r="BE396">
        <f ca="1">IF(AND($AT396&lt;3,OFFSET(DATA!$C$14,$AS396,0)=BE$6),$AV396,dNULL)</f>
        <v>-99</v>
      </c>
      <c r="BF396">
        <f ca="1">IF(AND($AT396&lt;3,OFFSET(DATA!$C$14,$AS396,0)=BF$6),$AV396,dNULL)</f>
        <v>-99</v>
      </c>
      <c r="BG396">
        <f ca="1">IF(AND($AT396&lt;3,OFFSET(DATA!$C$14,$AS396,0)=BG$6),$AV396,dNULL)</f>
        <v>-99</v>
      </c>
      <c r="BH396">
        <f ca="1">IF(AND($AT396&lt;3,OFFSET(DATA!$C$14,$AS396,0)=BH$6),$AV396,dNULL)</f>
        <v>-99</v>
      </c>
    </row>
    <row r="397" spans="45:60" x14ac:dyDescent="0.25">
      <c r="AS397">
        <f t="shared" si="112"/>
        <v>31</v>
      </c>
      <c r="AT397">
        <f t="shared" si="113"/>
        <v>4</v>
      </c>
      <c r="AU397">
        <f t="shared" ca="1" si="114"/>
        <v>-99</v>
      </c>
      <c r="AV397">
        <f t="shared" ca="1" si="115"/>
        <v>-99</v>
      </c>
      <c r="AW397">
        <f ca="1">IF(AND($AT397&lt;3,OFFSET(DATA!$C$14,$AS397,0)=AW$6),$AV397,dNULL)</f>
        <v>-99</v>
      </c>
      <c r="AX397">
        <f ca="1">IF(AND($AT397&lt;3,OFFSET(DATA!$C$14,$AS397,0)=AX$6),$AV397,dNULL)</f>
        <v>-99</v>
      </c>
      <c r="AY397">
        <f ca="1">IF(AND($AT397&lt;3,OFFSET(DATA!$C$14,$AS397,0)=AY$6),$AV397,dNULL)</f>
        <v>-99</v>
      </c>
      <c r="AZ397">
        <f ca="1">IF(AND($AT397&lt;3,OFFSET(DATA!$C$14,$AS397,0)=AZ$6),$AV397,dNULL)</f>
        <v>-99</v>
      </c>
      <c r="BA397">
        <f ca="1">IF(AND($AT397&lt;3,OFFSET(DATA!$C$14,$AS397,0)=BA$6),$AV397,dNULL)</f>
        <v>-99</v>
      </c>
      <c r="BB397">
        <f ca="1">IF(AND($AT397&lt;3,OFFSET(DATA!$C$14,$AS397,0)=BB$6),$AV397,dNULL)</f>
        <v>-99</v>
      </c>
      <c r="BC397">
        <f ca="1">IF(AND($AT397&lt;3,OFFSET(DATA!$C$14,$AS397,0)=BC$6),$AV397,dNULL)</f>
        <v>-99</v>
      </c>
      <c r="BD397">
        <f ca="1">IF(AND($AT397&lt;3,OFFSET(DATA!$C$14,$AS397,0)=BD$6),$AV397,dNULL)</f>
        <v>-99</v>
      </c>
      <c r="BE397">
        <f ca="1">IF(AND($AT397&lt;3,OFFSET(DATA!$C$14,$AS397,0)=BE$6),$AV397,dNULL)</f>
        <v>-99</v>
      </c>
      <c r="BF397">
        <f ca="1">IF(AND($AT397&lt;3,OFFSET(DATA!$C$14,$AS397,0)=BF$6),$AV397,dNULL)</f>
        <v>-99</v>
      </c>
      <c r="BG397">
        <f ca="1">IF(AND($AT397&lt;3,OFFSET(DATA!$C$14,$AS397,0)=BG$6),$AV397,dNULL)</f>
        <v>-99</v>
      </c>
      <c r="BH397">
        <f ca="1">IF(AND($AT397&lt;3,OFFSET(DATA!$C$14,$AS397,0)=BH$6),$AV397,dNULL)</f>
        <v>-99</v>
      </c>
    </row>
    <row r="398" spans="45:60" x14ac:dyDescent="0.25">
      <c r="AS398">
        <f t="shared" si="112"/>
        <v>32</v>
      </c>
      <c r="AT398">
        <f t="shared" si="113"/>
        <v>4</v>
      </c>
      <c r="AU398">
        <f t="shared" ca="1" si="114"/>
        <v>-99</v>
      </c>
      <c r="AV398">
        <f t="shared" ca="1" si="115"/>
        <v>-99</v>
      </c>
      <c r="AW398">
        <f ca="1">IF(AND($AT398&lt;3,OFFSET(DATA!$C$14,$AS398,0)=AW$6),$AV398,dNULL)</f>
        <v>-99</v>
      </c>
      <c r="AX398">
        <f ca="1">IF(AND($AT398&lt;3,OFFSET(DATA!$C$14,$AS398,0)=AX$6),$AV398,dNULL)</f>
        <v>-99</v>
      </c>
      <c r="AY398">
        <f ca="1">IF(AND($AT398&lt;3,OFFSET(DATA!$C$14,$AS398,0)=AY$6),$AV398,dNULL)</f>
        <v>-99</v>
      </c>
      <c r="AZ398">
        <f ca="1">IF(AND($AT398&lt;3,OFFSET(DATA!$C$14,$AS398,0)=AZ$6),$AV398,dNULL)</f>
        <v>-99</v>
      </c>
      <c r="BA398">
        <f ca="1">IF(AND($AT398&lt;3,OFFSET(DATA!$C$14,$AS398,0)=BA$6),$AV398,dNULL)</f>
        <v>-99</v>
      </c>
      <c r="BB398">
        <f ca="1">IF(AND($AT398&lt;3,OFFSET(DATA!$C$14,$AS398,0)=BB$6),$AV398,dNULL)</f>
        <v>-99</v>
      </c>
      <c r="BC398">
        <f ca="1">IF(AND($AT398&lt;3,OFFSET(DATA!$C$14,$AS398,0)=BC$6),$AV398,dNULL)</f>
        <v>-99</v>
      </c>
      <c r="BD398">
        <f ca="1">IF(AND($AT398&lt;3,OFFSET(DATA!$C$14,$AS398,0)=BD$6),$AV398,dNULL)</f>
        <v>-99</v>
      </c>
      <c r="BE398">
        <f ca="1">IF(AND($AT398&lt;3,OFFSET(DATA!$C$14,$AS398,0)=BE$6),$AV398,dNULL)</f>
        <v>-99</v>
      </c>
      <c r="BF398">
        <f ca="1">IF(AND($AT398&lt;3,OFFSET(DATA!$C$14,$AS398,0)=BF$6),$AV398,dNULL)</f>
        <v>-99</v>
      </c>
      <c r="BG398">
        <f ca="1">IF(AND($AT398&lt;3,OFFSET(DATA!$C$14,$AS398,0)=BG$6),$AV398,dNULL)</f>
        <v>-99</v>
      </c>
      <c r="BH398">
        <f ca="1">IF(AND($AT398&lt;3,OFFSET(DATA!$C$14,$AS398,0)=BH$6),$AV398,dNULL)</f>
        <v>-99</v>
      </c>
    </row>
    <row r="399" spans="45:60" x14ac:dyDescent="0.25">
      <c r="AS399">
        <f t="shared" si="112"/>
        <v>33</v>
      </c>
      <c r="AT399">
        <f t="shared" si="113"/>
        <v>4</v>
      </c>
      <c r="AU399">
        <f t="shared" ca="1" si="114"/>
        <v>-99</v>
      </c>
      <c r="AV399">
        <f t="shared" ca="1" si="115"/>
        <v>-99</v>
      </c>
      <c r="AW399">
        <f ca="1">IF(AND($AT399&lt;3,OFFSET(DATA!$C$14,$AS399,0)=AW$6),$AV399,dNULL)</f>
        <v>-99</v>
      </c>
      <c r="AX399">
        <f ca="1">IF(AND($AT399&lt;3,OFFSET(DATA!$C$14,$AS399,0)=AX$6),$AV399,dNULL)</f>
        <v>-99</v>
      </c>
      <c r="AY399">
        <f ca="1">IF(AND($AT399&lt;3,OFFSET(DATA!$C$14,$AS399,0)=AY$6),$AV399,dNULL)</f>
        <v>-99</v>
      </c>
      <c r="AZ399">
        <f ca="1">IF(AND($AT399&lt;3,OFFSET(DATA!$C$14,$AS399,0)=AZ$6),$AV399,dNULL)</f>
        <v>-99</v>
      </c>
      <c r="BA399">
        <f ca="1">IF(AND($AT399&lt;3,OFFSET(DATA!$C$14,$AS399,0)=BA$6),$AV399,dNULL)</f>
        <v>-99</v>
      </c>
      <c r="BB399">
        <f ca="1">IF(AND($AT399&lt;3,OFFSET(DATA!$C$14,$AS399,0)=BB$6),$AV399,dNULL)</f>
        <v>-99</v>
      </c>
      <c r="BC399">
        <f ca="1">IF(AND($AT399&lt;3,OFFSET(DATA!$C$14,$AS399,0)=BC$6),$AV399,dNULL)</f>
        <v>-99</v>
      </c>
      <c r="BD399">
        <f ca="1">IF(AND($AT399&lt;3,OFFSET(DATA!$C$14,$AS399,0)=BD$6),$AV399,dNULL)</f>
        <v>-99</v>
      </c>
      <c r="BE399">
        <f ca="1">IF(AND($AT399&lt;3,OFFSET(DATA!$C$14,$AS399,0)=BE$6),$AV399,dNULL)</f>
        <v>-99</v>
      </c>
      <c r="BF399">
        <f ca="1">IF(AND($AT399&lt;3,OFFSET(DATA!$C$14,$AS399,0)=BF$6),$AV399,dNULL)</f>
        <v>-99</v>
      </c>
      <c r="BG399">
        <f ca="1">IF(AND($AT399&lt;3,OFFSET(DATA!$C$14,$AS399,0)=BG$6),$AV399,dNULL)</f>
        <v>-99</v>
      </c>
      <c r="BH399">
        <f ca="1">IF(AND($AT399&lt;3,OFFSET(DATA!$C$14,$AS399,0)=BH$6),$AV399,dNULL)</f>
        <v>-99</v>
      </c>
    </row>
    <row r="400" spans="45:60" x14ac:dyDescent="0.25">
      <c r="AS400">
        <f t="shared" si="112"/>
        <v>34</v>
      </c>
      <c r="AT400">
        <f t="shared" si="113"/>
        <v>4</v>
      </c>
      <c r="AU400">
        <f t="shared" ca="1" si="114"/>
        <v>-99</v>
      </c>
      <c r="AV400">
        <f t="shared" ca="1" si="115"/>
        <v>-99</v>
      </c>
      <c r="AW400">
        <f ca="1">IF(AND($AT400&lt;3,OFFSET(DATA!$C$14,$AS400,0)=AW$6),$AV400,dNULL)</f>
        <v>-99</v>
      </c>
      <c r="AX400">
        <f ca="1">IF(AND($AT400&lt;3,OFFSET(DATA!$C$14,$AS400,0)=AX$6),$AV400,dNULL)</f>
        <v>-99</v>
      </c>
      <c r="AY400">
        <f ca="1">IF(AND($AT400&lt;3,OFFSET(DATA!$C$14,$AS400,0)=AY$6),$AV400,dNULL)</f>
        <v>-99</v>
      </c>
      <c r="AZ400">
        <f ca="1">IF(AND($AT400&lt;3,OFFSET(DATA!$C$14,$AS400,0)=AZ$6),$AV400,dNULL)</f>
        <v>-99</v>
      </c>
      <c r="BA400">
        <f ca="1">IF(AND($AT400&lt;3,OFFSET(DATA!$C$14,$AS400,0)=BA$6),$AV400,dNULL)</f>
        <v>-99</v>
      </c>
      <c r="BB400">
        <f ca="1">IF(AND($AT400&lt;3,OFFSET(DATA!$C$14,$AS400,0)=BB$6),$AV400,dNULL)</f>
        <v>-99</v>
      </c>
      <c r="BC400">
        <f ca="1">IF(AND($AT400&lt;3,OFFSET(DATA!$C$14,$AS400,0)=BC$6),$AV400,dNULL)</f>
        <v>-99</v>
      </c>
      <c r="BD400">
        <f ca="1">IF(AND($AT400&lt;3,OFFSET(DATA!$C$14,$AS400,0)=BD$6),$AV400,dNULL)</f>
        <v>-99</v>
      </c>
      <c r="BE400">
        <f ca="1">IF(AND($AT400&lt;3,OFFSET(DATA!$C$14,$AS400,0)=BE$6),$AV400,dNULL)</f>
        <v>-99</v>
      </c>
      <c r="BF400">
        <f ca="1">IF(AND($AT400&lt;3,OFFSET(DATA!$C$14,$AS400,0)=BF$6),$AV400,dNULL)</f>
        <v>-99</v>
      </c>
      <c r="BG400">
        <f ca="1">IF(AND($AT400&lt;3,OFFSET(DATA!$C$14,$AS400,0)=BG$6),$AV400,dNULL)</f>
        <v>-99</v>
      </c>
      <c r="BH400">
        <f ca="1">IF(AND($AT400&lt;3,OFFSET(DATA!$C$14,$AS400,0)=BH$6),$AV400,dNULL)</f>
        <v>-99</v>
      </c>
    </row>
    <row r="401" spans="45:60" x14ac:dyDescent="0.25">
      <c r="AS401">
        <f t="shared" si="112"/>
        <v>35</v>
      </c>
      <c r="AT401">
        <f t="shared" si="113"/>
        <v>4</v>
      </c>
      <c r="AU401">
        <f t="shared" ca="1" si="114"/>
        <v>-99</v>
      </c>
      <c r="AV401">
        <f t="shared" ca="1" si="115"/>
        <v>-99</v>
      </c>
      <c r="AW401">
        <f ca="1">IF(AND($AT401&lt;3,OFFSET(DATA!$C$14,$AS401,0)=AW$6),$AV401,dNULL)</f>
        <v>-99</v>
      </c>
      <c r="AX401">
        <f ca="1">IF(AND($AT401&lt;3,OFFSET(DATA!$C$14,$AS401,0)=AX$6),$AV401,dNULL)</f>
        <v>-99</v>
      </c>
      <c r="AY401">
        <f ca="1">IF(AND($AT401&lt;3,OFFSET(DATA!$C$14,$AS401,0)=AY$6),$AV401,dNULL)</f>
        <v>-99</v>
      </c>
      <c r="AZ401">
        <f ca="1">IF(AND($AT401&lt;3,OFFSET(DATA!$C$14,$AS401,0)=AZ$6),$AV401,dNULL)</f>
        <v>-99</v>
      </c>
      <c r="BA401">
        <f ca="1">IF(AND($AT401&lt;3,OFFSET(DATA!$C$14,$AS401,0)=BA$6),$AV401,dNULL)</f>
        <v>-99</v>
      </c>
      <c r="BB401">
        <f ca="1">IF(AND($AT401&lt;3,OFFSET(DATA!$C$14,$AS401,0)=BB$6),$AV401,dNULL)</f>
        <v>-99</v>
      </c>
      <c r="BC401">
        <f ca="1">IF(AND($AT401&lt;3,OFFSET(DATA!$C$14,$AS401,0)=BC$6),$AV401,dNULL)</f>
        <v>-99</v>
      </c>
      <c r="BD401">
        <f ca="1">IF(AND($AT401&lt;3,OFFSET(DATA!$C$14,$AS401,0)=BD$6),$AV401,dNULL)</f>
        <v>-99</v>
      </c>
      <c r="BE401">
        <f ca="1">IF(AND($AT401&lt;3,OFFSET(DATA!$C$14,$AS401,0)=BE$6),$AV401,dNULL)</f>
        <v>-99</v>
      </c>
      <c r="BF401">
        <f ca="1">IF(AND($AT401&lt;3,OFFSET(DATA!$C$14,$AS401,0)=BF$6),$AV401,dNULL)</f>
        <v>-99</v>
      </c>
      <c r="BG401">
        <f ca="1">IF(AND($AT401&lt;3,OFFSET(DATA!$C$14,$AS401,0)=BG$6),$AV401,dNULL)</f>
        <v>-99</v>
      </c>
      <c r="BH401">
        <f ca="1">IF(AND($AT401&lt;3,OFFSET(DATA!$C$14,$AS401,0)=BH$6),$AV401,dNULL)</f>
        <v>-99</v>
      </c>
    </row>
    <row r="402" spans="45:60" x14ac:dyDescent="0.25">
      <c r="AS402">
        <f t="shared" si="112"/>
        <v>36</v>
      </c>
      <c r="AT402">
        <f t="shared" si="113"/>
        <v>4</v>
      </c>
      <c r="AU402">
        <f t="shared" ca="1" si="114"/>
        <v>-99</v>
      </c>
      <c r="AV402">
        <f t="shared" ca="1" si="115"/>
        <v>-99</v>
      </c>
      <c r="AW402">
        <f ca="1">IF(AND($AT402&lt;3,OFFSET(DATA!$C$14,$AS402,0)=AW$6),$AV402,dNULL)</f>
        <v>-99</v>
      </c>
      <c r="AX402">
        <f ca="1">IF(AND($AT402&lt;3,OFFSET(DATA!$C$14,$AS402,0)=AX$6),$AV402,dNULL)</f>
        <v>-99</v>
      </c>
      <c r="AY402">
        <f ca="1">IF(AND($AT402&lt;3,OFFSET(DATA!$C$14,$AS402,0)=AY$6),$AV402,dNULL)</f>
        <v>-99</v>
      </c>
      <c r="AZ402">
        <f ca="1">IF(AND($AT402&lt;3,OFFSET(DATA!$C$14,$AS402,0)=AZ$6),$AV402,dNULL)</f>
        <v>-99</v>
      </c>
      <c r="BA402">
        <f ca="1">IF(AND($AT402&lt;3,OFFSET(DATA!$C$14,$AS402,0)=BA$6),$AV402,dNULL)</f>
        <v>-99</v>
      </c>
      <c r="BB402">
        <f ca="1">IF(AND($AT402&lt;3,OFFSET(DATA!$C$14,$AS402,0)=BB$6),$AV402,dNULL)</f>
        <v>-99</v>
      </c>
      <c r="BC402">
        <f ca="1">IF(AND($AT402&lt;3,OFFSET(DATA!$C$14,$AS402,0)=BC$6),$AV402,dNULL)</f>
        <v>-99</v>
      </c>
      <c r="BD402">
        <f ca="1">IF(AND($AT402&lt;3,OFFSET(DATA!$C$14,$AS402,0)=BD$6),$AV402,dNULL)</f>
        <v>-99</v>
      </c>
      <c r="BE402">
        <f ca="1">IF(AND($AT402&lt;3,OFFSET(DATA!$C$14,$AS402,0)=BE$6),$AV402,dNULL)</f>
        <v>-99</v>
      </c>
      <c r="BF402">
        <f ca="1">IF(AND($AT402&lt;3,OFFSET(DATA!$C$14,$AS402,0)=BF$6),$AV402,dNULL)</f>
        <v>-99</v>
      </c>
      <c r="BG402">
        <f ca="1">IF(AND($AT402&lt;3,OFFSET(DATA!$C$14,$AS402,0)=BG$6),$AV402,dNULL)</f>
        <v>-99</v>
      </c>
      <c r="BH402">
        <f ca="1">IF(AND($AT402&lt;3,OFFSET(DATA!$C$14,$AS402,0)=BH$6),$AV402,dNULL)</f>
        <v>-99</v>
      </c>
    </row>
    <row r="403" spans="45:60" x14ac:dyDescent="0.25">
      <c r="AS403">
        <f t="shared" si="112"/>
        <v>37</v>
      </c>
      <c r="AT403">
        <f t="shared" si="113"/>
        <v>4</v>
      </c>
      <c r="AU403">
        <f t="shared" ca="1" si="114"/>
        <v>-99</v>
      </c>
      <c r="AV403">
        <f t="shared" ca="1" si="115"/>
        <v>-99</v>
      </c>
      <c r="AW403">
        <f ca="1">IF(AND($AT403&lt;3,OFFSET(DATA!$C$14,$AS403,0)=AW$6),$AV403,dNULL)</f>
        <v>-99</v>
      </c>
      <c r="AX403">
        <f ca="1">IF(AND($AT403&lt;3,OFFSET(DATA!$C$14,$AS403,0)=AX$6),$AV403,dNULL)</f>
        <v>-99</v>
      </c>
      <c r="AY403">
        <f ca="1">IF(AND($AT403&lt;3,OFFSET(DATA!$C$14,$AS403,0)=AY$6),$AV403,dNULL)</f>
        <v>-99</v>
      </c>
      <c r="AZ403">
        <f ca="1">IF(AND($AT403&lt;3,OFFSET(DATA!$C$14,$AS403,0)=AZ$6),$AV403,dNULL)</f>
        <v>-99</v>
      </c>
      <c r="BA403">
        <f ca="1">IF(AND($AT403&lt;3,OFFSET(DATA!$C$14,$AS403,0)=BA$6),$AV403,dNULL)</f>
        <v>-99</v>
      </c>
      <c r="BB403">
        <f ca="1">IF(AND($AT403&lt;3,OFFSET(DATA!$C$14,$AS403,0)=BB$6),$AV403,dNULL)</f>
        <v>-99</v>
      </c>
      <c r="BC403">
        <f ca="1">IF(AND($AT403&lt;3,OFFSET(DATA!$C$14,$AS403,0)=BC$6),$AV403,dNULL)</f>
        <v>-99</v>
      </c>
      <c r="BD403">
        <f ca="1">IF(AND($AT403&lt;3,OFFSET(DATA!$C$14,$AS403,0)=BD$6),$AV403,dNULL)</f>
        <v>-99</v>
      </c>
      <c r="BE403">
        <f ca="1">IF(AND($AT403&lt;3,OFFSET(DATA!$C$14,$AS403,0)=BE$6),$AV403,dNULL)</f>
        <v>-99</v>
      </c>
      <c r="BF403">
        <f ca="1">IF(AND($AT403&lt;3,OFFSET(DATA!$C$14,$AS403,0)=BF$6),$AV403,dNULL)</f>
        <v>-99</v>
      </c>
      <c r="BG403">
        <f ca="1">IF(AND($AT403&lt;3,OFFSET(DATA!$C$14,$AS403,0)=BG$6),$AV403,dNULL)</f>
        <v>-99</v>
      </c>
      <c r="BH403">
        <f ca="1">IF(AND($AT403&lt;3,OFFSET(DATA!$C$14,$AS403,0)=BH$6),$AV403,dNULL)</f>
        <v>-99</v>
      </c>
    </row>
    <row r="404" spans="45:60" x14ac:dyDescent="0.25">
      <c r="AS404">
        <f t="shared" si="112"/>
        <v>38</v>
      </c>
      <c r="AT404">
        <f t="shared" si="113"/>
        <v>4</v>
      </c>
      <c r="AU404">
        <f t="shared" ca="1" si="114"/>
        <v>-99</v>
      </c>
      <c r="AV404">
        <f t="shared" ca="1" si="115"/>
        <v>-99</v>
      </c>
      <c r="AW404">
        <f ca="1">IF(AND($AT404&lt;3,OFFSET(DATA!$C$14,$AS404,0)=AW$6),$AV404,dNULL)</f>
        <v>-99</v>
      </c>
      <c r="AX404">
        <f ca="1">IF(AND($AT404&lt;3,OFFSET(DATA!$C$14,$AS404,0)=AX$6),$AV404,dNULL)</f>
        <v>-99</v>
      </c>
      <c r="AY404">
        <f ca="1">IF(AND($AT404&lt;3,OFFSET(DATA!$C$14,$AS404,0)=AY$6),$AV404,dNULL)</f>
        <v>-99</v>
      </c>
      <c r="AZ404">
        <f ca="1">IF(AND($AT404&lt;3,OFFSET(DATA!$C$14,$AS404,0)=AZ$6),$AV404,dNULL)</f>
        <v>-99</v>
      </c>
      <c r="BA404">
        <f ca="1">IF(AND($AT404&lt;3,OFFSET(DATA!$C$14,$AS404,0)=BA$6),$AV404,dNULL)</f>
        <v>-99</v>
      </c>
      <c r="BB404">
        <f ca="1">IF(AND($AT404&lt;3,OFFSET(DATA!$C$14,$AS404,0)=BB$6),$AV404,dNULL)</f>
        <v>-99</v>
      </c>
      <c r="BC404">
        <f ca="1">IF(AND($AT404&lt;3,OFFSET(DATA!$C$14,$AS404,0)=BC$6),$AV404,dNULL)</f>
        <v>-99</v>
      </c>
      <c r="BD404">
        <f ca="1">IF(AND($AT404&lt;3,OFFSET(DATA!$C$14,$AS404,0)=BD$6),$AV404,dNULL)</f>
        <v>-99</v>
      </c>
      <c r="BE404">
        <f ca="1">IF(AND($AT404&lt;3,OFFSET(DATA!$C$14,$AS404,0)=BE$6),$AV404,dNULL)</f>
        <v>-99</v>
      </c>
      <c r="BF404">
        <f ca="1">IF(AND($AT404&lt;3,OFFSET(DATA!$C$14,$AS404,0)=BF$6),$AV404,dNULL)</f>
        <v>-99</v>
      </c>
      <c r="BG404">
        <f ca="1">IF(AND($AT404&lt;3,OFFSET(DATA!$C$14,$AS404,0)=BG$6),$AV404,dNULL)</f>
        <v>-99</v>
      </c>
      <c r="BH404">
        <f ca="1">IF(AND($AT404&lt;3,OFFSET(DATA!$C$14,$AS404,0)=BH$6),$AV404,dNULL)</f>
        <v>-99</v>
      </c>
    </row>
    <row r="405" spans="45:60" x14ac:dyDescent="0.25">
      <c r="AS405">
        <f t="shared" si="112"/>
        <v>39</v>
      </c>
      <c r="AT405">
        <f t="shared" si="113"/>
        <v>4</v>
      </c>
      <c r="AU405">
        <f t="shared" ca="1" si="114"/>
        <v>-99</v>
      </c>
      <c r="AV405">
        <f t="shared" ca="1" si="115"/>
        <v>-99</v>
      </c>
      <c r="AW405">
        <f ca="1">IF(AND($AT405&lt;3,OFFSET(DATA!$C$14,$AS405,0)=AW$6),$AV405,dNULL)</f>
        <v>-99</v>
      </c>
      <c r="AX405">
        <f ca="1">IF(AND($AT405&lt;3,OFFSET(DATA!$C$14,$AS405,0)=AX$6),$AV405,dNULL)</f>
        <v>-99</v>
      </c>
      <c r="AY405">
        <f ca="1">IF(AND($AT405&lt;3,OFFSET(DATA!$C$14,$AS405,0)=AY$6),$AV405,dNULL)</f>
        <v>-99</v>
      </c>
      <c r="AZ405">
        <f ca="1">IF(AND($AT405&lt;3,OFFSET(DATA!$C$14,$AS405,0)=AZ$6),$AV405,dNULL)</f>
        <v>-99</v>
      </c>
      <c r="BA405">
        <f ca="1">IF(AND($AT405&lt;3,OFFSET(DATA!$C$14,$AS405,0)=BA$6),$AV405,dNULL)</f>
        <v>-99</v>
      </c>
      <c r="BB405">
        <f ca="1">IF(AND($AT405&lt;3,OFFSET(DATA!$C$14,$AS405,0)=BB$6),$AV405,dNULL)</f>
        <v>-99</v>
      </c>
      <c r="BC405">
        <f ca="1">IF(AND($AT405&lt;3,OFFSET(DATA!$C$14,$AS405,0)=BC$6),$AV405,dNULL)</f>
        <v>-99</v>
      </c>
      <c r="BD405">
        <f ca="1">IF(AND($AT405&lt;3,OFFSET(DATA!$C$14,$AS405,0)=BD$6),$AV405,dNULL)</f>
        <v>-99</v>
      </c>
      <c r="BE405">
        <f ca="1">IF(AND($AT405&lt;3,OFFSET(DATA!$C$14,$AS405,0)=BE$6),$AV405,dNULL)</f>
        <v>-99</v>
      </c>
      <c r="BF405">
        <f ca="1">IF(AND($AT405&lt;3,OFFSET(DATA!$C$14,$AS405,0)=BF$6),$AV405,dNULL)</f>
        <v>-99</v>
      </c>
      <c r="BG405">
        <f ca="1">IF(AND($AT405&lt;3,OFFSET(DATA!$C$14,$AS405,0)=BG$6),$AV405,dNULL)</f>
        <v>-99</v>
      </c>
      <c r="BH405">
        <f ca="1">IF(AND($AT405&lt;3,OFFSET(DATA!$C$14,$AS405,0)=BH$6),$AV405,dNULL)</f>
        <v>-99</v>
      </c>
    </row>
    <row r="406" spans="45:60" x14ac:dyDescent="0.25">
      <c r="AS406">
        <f t="shared" si="112"/>
        <v>40</v>
      </c>
      <c r="AT406">
        <f t="shared" si="113"/>
        <v>4</v>
      </c>
      <c r="AU406">
        <f t="shared" ca="1" si="114"/>
        <v>-99</v>
      </c>
      <c r="AV406">
        <f t="shared" ca="1" si="115"/>
        <v>-99</v>
      </c>
      <c r="AW406">
        <f ca="1">IF(AND($AT406&lt;3,OFFSET(DATA!$C$14,$AS406,0)=AW$6),$AV406,dNULL)</f>
        <v>-99</v>
      </c>
      <c r="AX406">
        <f ca="1">IF(AND($AT406&lt;3,OFFSET(DATA!$C$14,$AS406,0)=AX$6),$AV406,dNULL)</f>
        <v>-99</v>
      </c>
      <c r="AY406">
        <f ca="1">IF(AND($AT406&lt;3,OFFSET(DATA!$C$14,$AS406,0)=AY$6),$AV406,dNULL)</f>
        <v>-99</v>
      </c>
      <c r="AZ406">
        <f ca="1">IF(AND($AT406&lt;3,OFFSET(DATA!$C$14,$AS406,0)=AZ$6),$AV406,dNULL)</f>
        <v>-99</v>
      </c>
      <c r="BA406">
        <f ca="1">IF(AND($AT406&lt;3,OFFSET(DATA!$C$14,$AS406,0)=BA$6),$AV406,dNULL)</f>
        <v>-99</v>
      </c>
      <c r="BB406">
        <f ca="1">IF(AND($AT406&lt;3,OFFSET(DATA!$C$14,$AS406,0)=BB$6),$AV406,dNULL)</f>
        <v>-99</v>
      </c>
      <c r="BC406">
        <f ca="1">IF(AND($AT406&lt;3,OFFSET(DATA!$C$14,$AS406,0)=BC$6),$AV406,dNULL)</f>
        <v>-99</v>
      </c>
      <c r="BD406">
        <f ca="1">IF(AND($AT406&lt;3,OFFSET(DATA!$C$14,$AS406,0)=BD$6),$AV406,dNULL)</f>
        <v>-99</v>
      </c>
      <c r="BE406">
        <f ca="1">IF(AND($AT406&lt;3,OFFSET(DATA!$C$14,$AS406,0)=BE$6),$AV406,dNULL)</f>
        <v>-99</v>
      </c>
      <c r="BF406">
        <f ca="1">IF(AND($AT406&lt;3,OFFSET(DATA!$C$14,$AS406,0)=BF$6),$AV406,dNULL)</f>
        <v>-99</v>
      </c>
      <c r="BG406">
        <f ca="1">IF(AND($AT406&lt;3,OFFSET(DATA!$C$14,$AS406,0)=BG$6),$AV406,dNULL)</f>
        <v>-99</v>
      </c>
      <c r="BH406">
        <f ca="1">IF(AND($AT406&lt;3,OFFSET(DATA!$C$14,$AS406,0)=BH$6),$AV406,dNULL)</f>
        <v>-99</v>
      </c>
    </row>
    <row r="407" spans="45:60" x14ac:dyDescent="0.25">
      <c r="AS407">
        <f t="shared" si="112"/>
        <v>41</v>
      </c>
      <c r="AT407">
        <f t="shared" si="113"/>
        <v>4</v>
      </c>
      <c r="AU407">
        <f t="shared" ca="1" si="114"/>
        <v>-99</v>
      </c>
      <c r="AV407">
        <f t="shared" ca="1" si="115"/>
        <v>-99</v>
      </c>
      <c r="AW407">
        <f ca="1">IF(AND($AT407&lt;3,OFFSET(DATA!$C$14,$AS407,0)=AW$6),$AV407,dNULL)</f>
        <v>-99</v>
      </c>
      <c r="AX407">
        <f ca="1">IF(AND($AT407&lt;3,OFFSET(DATA!$C$14,$AS407,0)=AX$6),$AV407,dNULL)</f>
        <v>-99</v>
      </c>
      <c r="AY407">
        <f ca="1">IF(AND($AT407&lt;3,OFFSET(DATA!$C$14,$AS407,0)=AY$6),$AV407,dNULL)</f>
        <v>-99</v>
      </c>
      <c r="AZ407">
        <f ca="1">IF(AND($AT407&lt;3,OFFSET(DATA!$C$14,$AS407,0)=AZ$6),$AV407,dNULL)</f>
        <v>-99</v>
      </c>
      <c r="BA407">
        <f ca="1">IF(AND($AT407&lt;3,OFFSET(DATA!$C$14,$AS407,0)=BA$6),$AV407,dNULL)</f>
        <v>-99</v>
      </c>
      <c r="BB407">
        <f ca="1">IF(AND($AT407&lt;3,OFFSET(DATA!$C$14,$AS407,0)=BB$6),$AV407,dNULL)</f>
        <v>-99</v>
      </c>
      <c r="BC407">
        <f ca="1">IF(AND($AT407&lt;3,OFFSET(DATA!$C$14,$AS407,0)=BC$6),$AV407,dNULL)</f>
        <v>-99</v>
      </c>
      <c r="BD407">
        <f ca="1">IF(AND($AT407&lt;3,OFFSET(DATA!$C$14,$AS407,0)=BD$6),$AV407,dNULL)</f>
        <v>-99</v>
      </c>
      <c r="BE407">
        <f ca="1">IF(AND($AT407&lt;3,OFFSET(DATA!$C$14,$AS407,0)=BE$6),$AV407,dNULL)</f>
        <v>-99</v>
      </c>
      <c r="BF407">
        <f ca="1">IF(AND($AT407&lt;3,OFFSET(DATA!$C$14,$AS407,0)=BF$6),$AV407,dNULL)</f>
        <v>-99</v>
      </c>
      <c r="BG407">
        <f ca="1">IF(AND($AT407&lt;3,OFFSET(DATA!$C$14,$AS407,0)=BG$6),$AV407,dNULL)</f>
        <v>-99</v>
      </c>
      <c r="BH407">
        <f ca="1">IF(AND($AT407&lt;3,OFFSET(DATA!$C$14,$AS407,0)=BH$6),$AV407,dNULL)</f>
        <v>-99</v>
      </c>
    </row>
    <row r="408" spans="45:60" x14ac:dyDescent="0.25">
      <c r="AS408">
        <f t="shared" si="112"/>
        <v>42</v>
      </c>
      <c r="AT408">
        <f t="shared" si="113"/>
        <v>4</v>
      </c>
      <c r="AU408">
        <f t="shared" ca="1" si="114"/>
        <v>-99</v>
      </c>
      <c r="AV408">
        <f t="shared" ca="1" si="115"/>
        <v>-99</v>
      </c>
      <c r="AW408">
        <f ca="1">IF(AND($AT408&lt;3,OFFSET(DATA!$C$14,$AS408,0)=AW$6),$AV408,dNULL)</f>
        <v>-99</v>
      </c>
      <c r="AX408">
        <f ca="1">IF(AND($AT408&lt;3,OFFSET(DATA!$C$14,$AS408,0)=AX$6),$AV408,dNULL)</f>
        <v>-99</v>
      </c>
      <c r="AY408">
        <f ca="1">IF(AND($AT408&lt;3,OFFSET(DATA!$C$14,$AS408,0)=AY$6),$AV408,dNULL)</f>
        <v>-99</v>
      </c>
      <c r="AZ408">
        <f ca="1">IF(AND($AT408&lt;3,OFFSET(DATA!$C$14,$AS408,0)=AZ$6),$AV408,dNULL)</f>
        <v>-99</v>
      </c>
      <c r="BA408">
        <f ca="1">IF(AND($AT408&lt;3,OFFSET(DATA!$C$14,$AS408,0)=BA$6),$AV408,dNULL)</f>
        <v>-99</v>
      </c>
      <c r="BB408">
        <f ca="1">IF(AND($AT408&lt;3,OFFSET(DATA!$C$14,$AS408,0)=BB$6),$AV408,dNULL)</f>
        <v>-99</v>
      </c>
      <c r="BC408">
        <f ca="1">IF(AND($AT408&lt;3,OFFSET(DATA!$C$14,$AS408,0)=BC$6),$AV408,dNULL)</f>
        <v>-99</v>
      </c>
      <c r="BD408">
        <f ca="1">IF(AND($AT408&lt;3,OFFSET(DATA!$C$14,$AS408,0)=BD$6),$AV408,dNULL)</f>
        <v>-99</v>
      </c>
      <c r="BE408">
        <f ca="1">IF(AND($AT408&lt;3,OFFSET(DATA!$C$14,$AS408,0)=BE$6),$AV408,dNULL)</f>
        <v>-99</v>
      </c>
      <c r="BF408">
        <f ca="1">IF(AND($AT408&lt;3,OFFSET(DATA!$C$14,$AS408,0)=BF$6),$AV408,dNULL)</f>
        <v>-99</v>
      </c>
      <c r="BG408">
        <f ca="1">IF(AND($AT408&lt;3,OFFSET(DATA!$C$14,$AS408,0)=BG$6),$AV408,dNULL)</f>
        <v>-99</v>
      </c>
      <c r="BH408">
        <f ca="1">IF(AND($AT408&lt;3,OFFSET(DATA!$C$14,$AS408,0)=BH$6),$AV408,dNULL)</f>
        <v>-99</v>
      </c>
    </row>
    <row r="409" spans="45:60" x14ac:dyDescent="0.25">
      <c r="AS409">
        <f t="shared" si="112"/>
        <v>43</v>
      </c>
      <c r="AT409">
        <f t="shared" si="113"/>
        <v>4</v>
      </c>
      <c r="AU409">
        <f t="shared" ca="1" si="114"/>
        <v>-99</v>
      </c>
      <c r="AV409">
        <f t="shared" ca="1" si="115"/>
        <v>-99</v>
      </c>
      <c r="AW409">
        <f ca="1">IF(AND($AT409&lt;3,OFFSET(DATA!$C$14,$AS409,0)=AW$6),$AV409,dNULL)</f>
        <v>-99</v>
      </c>
      <c r="AX409">
        <f ca="1">IF(AND($AT409&lt;3,OFFSET(DATA!$C$14,$AS409,0)=AX$6),$AV409,dNULL)</f>
        <v>-99</v>
      </c>
      <c r="AY409">
        <f ca="1">IF(AND($AT409&lt;3,OFFSET(DATA!$C$14,$AS409,0)=AY$6),$AV409,dNULL)</f>
        <v>-99</v>
      </c>
      <c r="AZ409">
        <f ca="1">IF(AND($AT409&lt;3,OFFSET(DATA!$C$14,$AS409,0)=AZ$6),$AV409,dNULL)</f>
        <v>-99</v>
      </c>
      <c r="BA409">
        <f ca="1">IF(AND($AT409&lt;3,OFFSET(DATA!$C$14,$AS409,0)=BA$6),$AV409,dNULL)</f>
        <v>-99</v>
      </c>
      <c r="BB409">
        <f ca="1">IF(AND($AT409&lt;3,OFFSET(DATA!$C$14,$AS409,0)=BB$6),$AV409,dNULL)</f>
        <v>-99</v>
      </c>
      <c r="BC409">
        <f ca="1">IF(AND($AT409&lt;3,OFFSET(DATA!$C$14,$AS409,0)=BC$6),$AV409,dNULL)</f>
        <v>-99</v>
      </c>
      <c r="BD409">
        <f ca="1">IF(AND($AT409&lt;3,OFFSET(DATA!$C$14,$AS409,0)=BD$6),$AV409,dNULL)</f>
        <v>-99</v>
      </c>
      <c r="BE409">
        <f ca="1">IF(AND($AT409&lt;3,OFFSET(DATA!$C$14,$AS409,0)=BE$6),$AV409,dNULL)</f>
        <v>-99</v>
      </c>
      <c r="BF409">
        <f ca="1">IF(AND($AT409&lt;3,OFFSET(DATA!$C$14,$AS409,0)=BF$6),$AV409,dNULL)</f>
        <v>-99</v>
      </c>
      <c r="BG409">
        <f ca="1">IF(AND($AT409&lt;3,OFFSET(DATA!$C$14,$AS409,0)=BG$6),$AV409,dNULL)</f>
        <v>-99</v>
      </c>
      <c r="BH409">
        <f ca="1">IF(AND($AT409&lt;3,OFFSET(DATA!$C$14,$AS409,0)=BH$6),$AV409,dNULL)</f>
        <v>-99</v>
      </c>
    </row>
    <row r="410" spans="45:60" x14ac:dyDescent="0.25">
      <c r="AS410">
        <f t="shared" si="112"/>
        <v>44</v>
      </c>
      <c r="AT410">
        <f t="shared" si="113"/>
        <v>4</v>
      </c>
      <c r="AU410">
        <f t="shared" ca="1" si="114"/>
        <v>-99</v>
      </c>
      <c r="AV410">
        <f t="shared" ca="1" si="115"/>
        <v>-99</v>
      </c>
      <c r="AW410">
        <f ca="1">IF(AND($AT410&lt;3,OFFSET(DATA!$C$14,$AS410,0)=AW$6),$AV410,dNULL)</f>
        <v>-99</v>
      </c>
      <c r="AX410">
        <f ca="1">IF(AND($AT410&lt;3,OFFSET(DATA!$C$14,$AS410,0)=AX$6),$AV410,dNULL)</f>
        <v>-99</v>
      </c>
      <c r="AY410">
        <f ca="1">IF(AND($AT410&lt;3,OFFSET(DATA!$C$14,$AS410,0)=AY$6),$AV410,dNULL)</f>
        <v>-99</v>
      </c>
      <c r="AZ410">
        <f ca="1">IF(AND($AT410&lt;3,OFFSET(DATA!$C$14,$AS410,0)=AZ$6),$AV410,dNULL)</f>
        <v>-99</v>
      </c>
      <c r="BA410">
        <f ca="1">IF(AND($AT410&lt;3,OFFSET(DATA!$C$14,$AS410,0)=BA$6),$AV410,dNULL)</f>
        <v>-99</v>
      </c>
      <c r="BB410">
        <f ca="1">IF(AND($AT410&lt;3,OFFSET(DATA!$C$14,$AS410,0)=BB$6),$AV410,dNULL)</f>
        <v>-99</v>
      </c>
      <c r="BC410">
        <f ca="1">IF(AND($AT410&lt;3,OFFSET(DATA!$C$14,$AS410,0)=BC$6),$AV410,dNULL)</f>
        <v>-99</v>
      </c>
      <c r="BD410">
        <f ca="1">IF(AND($AT410&lt;3,OFFSET(DATA!$C$14,$AS410,0)=BD$6),$AV410,dNULL)</f>
        <v>-99</v>
      </c>
      <c r="BE410">
        <f ca="1">IF(AND($AT410&lt;3,OFFSET(DATA!$C$14,$AS410,0)=BE$6),$AV410,dNULL)</f>
        <v>-99</v>
      </c>
      <c r="BF410">
        <f ca="1">IF(AND($AT410&lt;3,OFFSET(DATA!$C$14,$AS410,0)=BF$6),$AV410,dNULL)</f>
        <v>-99</v>
      </c>
      <c r="BG410">
        <f ca="1">IF(AND($AT410&lt;3,OFFSET(DATA!$C$14,$AS410,0)=BG$6),$AV410,dNULL)</f>
        <v>-99</v>
      </c>
      <c r="BH410">
        <f ca="1">IF(AND($AT410&lt;3,OFFSET(DATA!$C$14,$AS410,0)=BH$6),$AV410,dNULL)</f>
        <v>-99</v>
      </c>
    </row>
    <row r="411" spans="45:60" x14ac:dyDescent="0.25">
      <c r="AS411">
        <f t="shared" si="112"/>
        <v>45</v>
      </c>
      <c r="AT411">
        <f t="shared" si="113"/>
        <v>4</v>
      </c>
      <c r="AU411">
        <f t="shared" ca="1" si="114"/>
        <v>-99</v>
      </c>
      <c r="AV411">
        <f t="shared" ca="1" si="115"/>
        <v>-99</v>
      </c>
      <c r="AW411">
        <f ca="1">IF(AND($AT411&lt;3,OFFSET(DATA!$C$14,$AS411,0)=AW$6),$AV411,dNULL)</f>
        <v>-99</v>
      </c>
      <c r="AX411">
        <f ca="1">IF(AND($AT411&lt;3,OFFSET(DATA!$C$14,$AS411,0)=AX$6),$AV411,dNULL)</f>
        <v>-99</v>
      </c>
      <c r="AY411">
        <f ca="1">IF(AND($AT411&lt;3,OFFSET(DATA!$C$14,$AS411,0)=AY$6),$AV411,dNULL)</f>
        <v>-99</v>
      </c>
      <c r="AZ411">
        <f ca="1">IF(AND($AT411&lt;3,OFFSET(DATA!$C$14,$AS411,0)=AZ$6),$AV411,dNULL)</f>
        <v>-99</v>
      </c>
      <c r="BA411">
        <f ca="1">IF(AND($AT411&lt;3,OFFSET(DATA!$C$14,$AS411,0)=BA$6),$AV411,dNULL)</f>
        <v>-99</v>
      </c>
      <c r="BB411">
        <f ca="1">IF(AND($AT411&lt;3,OFFSET(DATA!$C$14,$AS411,0)=BB$6),$AV411,dNULL)</f>
        <v>-99</v>
      </c>
      <c r="BC411">
        <f ca="1">IF(AND($AT411&lt;3,OFFSET(DATA!$C$14,$AS411,0)=BC$6),$AV411,dNULL)</f>
        <v>-99</v>
      </c>
      <c r="BD411">
        <f ca="1">IF(AND($AT411&lt;3,OFFSET(DATA!$C$14,$AS411,0)=BD$6),$AV411,dNULL)</f>
        <v>-99</v>
      </c>
      <c r="BE411">
        <f ca="1">IF(AND($AT411&lt;3,OFFSET(DATA!$C$14,$AS411,0)=BE$6),$AV411,dNULL)</f>
        <v>-99</v>
      </c>
      <c r="BF411">
        <f ca="1">IF(AND($AT411&lt;3,OFFSET(DATA!$C$14,$AS411,0)=BF$6),$AV411,dNULL)</f>
        <v>-99</v>
      </c>
      <c r="BG411">
        <f ca="1">IF(AND($AT411&lt;3,OFFSET(DATA!$C$14,$AS411,0)=BG$6),$AV411,dNULL)</f>
        <v>-99</v>
      </c>
      <c r="BH411">
        <f ca="1">IF(AND($AT411&lt;3,OFFSET(DATA!$C$14,$AS411,0)=BH$6),$AV411,dNULL)</f>
        <v>-99</v>
      </c>
    </row>
    <row r="412" spans="45:60" x14ac:dyDescent="0.25">
      <c r="AS412">
        <f t="shared" si="112"/>
        <v>46</v>
      </c>
      <c r="AT412">
        <f t="shared" si="113"/>
        <v>4</v>
      </c>
      <c r="AU412">
        <f t="shared" ca="1" si="114"/>
        <v>-99</v>
      </c>
      <c r="AV412">
        <f t="shared" ca="1" si="115"/>
        <v>-99</v>
      </c>
      <c r="AW412">
        <f ca="1">IF(AND($AT412&lt;3,OFFSET(DATA!$C$14,$AS412,0)=AW$6),$AV412,dNULL)</f>
        <v>-99</v>
      </c>
      <c r="AX412">
        <f ca="1">IF(AND($AT412&lt;3,OFFSET(DATA!$C$14,$AS412,0)=AX$6),$AV412,dNULL)</f>
        <v>-99</v>
      </c>
      <c r="AY412">
        <f ca="1">IF(AND($AT412&lt;3,OFFSET(DATA!$C$14,$AS412,0)=AY$6),$AV412,dNULL)</f>
        <v>-99</v>
      </c>
      <c r="AZ412">
        <f ca="1">IF(AND($AT412&lt;3,OFFSET(DATA!$C$14,$AS412,0)=AZ$6),$AV412,dNULL)</f>
        <v>-99</v>
      </c>
      <c r="BA412">
        <f ca="1">IF(AND($AT412&lt;3,OFFSET(DATA!$C$14,$AS412,0)=BA$6),$AV412,dNULL)</f>
        <v>-99</v>
      </c>
      <c r="BB412">
        <f ca="1">IF(AND($AT412&lt;3,OFFSET(DATA!$C$14,$AS412,0)=BB$6),$AV412,dNULL)</f>
        <v>-99</v>
      </c>
      <c r="BC412">
        <f ca="1">IF(AND($AT412&lt;3,OFFSET(DATA!$C$14,$AS412,0)=BC$6),$AV412,dNULL)</f>
        <v>-99</v>
      </c>
      <c r="BD412">
        <f ca="1">IF(AND($AT412&lt;3,OFFSET(DATA!$C$14,$AS412,0)=BD$6),$AV412,dNULL)</f>
        <v>-99</v>
      </c>
      <c r="BE412">
        <f ca="1">IF(AND($AT412&lt;3,OFFSET(DATA!$C$14,$AS412,0)=BE$6),$AV412,dNULL)</f>
        <v>-99</v>
      </c>
      <c r="BF412">
        <f ca="1">IF(AND($AT412&lt;3,OFFSET(DATA!$C$14,$AS412,0)=BF$6),$AV412,dNULL)</f>
        <v>-99</v>
      </c>
      <c r="BG412">
        <f ca="1">IF(AND($AT412&lt;3,OFFSET(DATA!$C$14,$AS412,0)=BG$6),$AV412,dNULL)</f>
        <v>-99</v>
      </c>
      <c r="BH412">
        <f ca="1">IF(AND($AT412&lt;3,OFFSET(DATA!$C$14,$AS412,0)=BH$6),$AV412,dNULL)</f>
        <v>-99</v>
      </c>
    </row>
    <row r="413" spans="45:60" x14ac:dyDescent="0.25">
      <c r="AS413">
        <f t="shared" si="112"/>
        <v>47</v>
      </c>
      <c r="AT413">
        <f t="shared" si="113"/>
        <v>4</v>
      </c>
      <c r="AU413">
        <f t="shared" ca="1" si="114"/>
        <v>-99</v>
      </c>
      <c r="AV413">
        <f t="shared" ca="1" si="115"/>
        <v>-99</v>
      </c>
      <c r="AW413">
        <f ca="1">IF(AND($AT413&lt;3,OFFSET(DATA!$C$14,$AS413,0)=AW$6),$AV413,dNULL)</f>
        <v>-99</v>
      </c>
      <c r="AX413">
        <f ca="1">IF(AND($AT413&lt;3,OFFSET(DATA!$C$14,$AS413,0)=AX$6),$AV413,dNULL)</f>
        <v>-99</v>
      </c>
      <c r="AY413">
        <f ca="1">IF(AND($AT413&lt;3,OFFSET(DATA!$C$14,$AS413,0)=AY$6),$AV413,dNULL)</f>
        <v>-99</v>
      </c>
      <c r="AZ413">
        <f ca="1">IF(AND($AT413&lt;3,OFFSET(DATA!$C$14,$AS413,0)=AZ$6),$AV413,dNULL)</f>
        <v>-99</v>
      </c>
      <c r="BA413">
        <f ca="1">IF(AND($AT413&lt;3,OFFSET(DATA!$C$14,$AS413,0)=BA$6),$AV413,dNULL)</f>
        <v>-99</v>
      </c>
      <c r="BB413">
        <f ca="1">IF(AND($AT413&lt;3,OFFSET(DATA!$C$14,$AS413,0)=BB$6),$AV413,dNULL)</f>
        <v>-99</v>
      </c>
      <c r="BC413">
        <f ca="1">IF(AND($AT413&lt;3,OFFSET(DATA!$C$14,$AS413,0)=BC$6),$AV413,dNULL)</f>
        <v>-99</v>
      </c>
      <c r="BD413">
        <f ca="1">IF(AND($AT413&lt;3,OFFSET(DATA!$C$14,$AS413,0)=BD$6),$AV413,dNULL)</f>
        <v>-99</v>
      </c>
      <c r="BE413">
        <f ca="1">IF(AND($AT413&lt;3,OFFSET(DATA!$C$14,$AS413,0)=BE$6),$AV413,dNULL)</f>
        <v>-99</v>
      </c>
      <c r="BF413">
        <f ca="1">IF(AND($AT413&lt;3,OFFSET(DATA!$C$14,$AS413,0)=BF$6),$AV413,dNULL)</f>
        <v>-99</v>
      </c>
      <c r="BG413">
        <f ca="1">IF(AND($AT413&lt;3,OFFSET(DATA!$C$14,$AS413,0)=BG$6),$AV413,dNULL)</f>
        <v>-99</v>
      </c>
      <c r="BH413">
        <f ca="1">IF(AND($AT413&lt;3,OFFSET(DATA!$C$14,$AS413,0)=BH$6),$AV413,dNULL)</f>
        <v>-99</v>
      </c>
    </row>
    <row r="414" spans="45:60" x14ac:dyDescent="0.25">
      <c r="AS414">
        <f t="shared" si="112"/>
        <v>48</v>
      </c>
      <c r="AT414">
        <f t="shared" si="113"/>
        <v>4</v>
      </c>
      <c r="AU414">
        <f t="shared" ca="1" si="114"/>
        <v>-99</v>
      </c>
      <c r="AV414">
        <f t="shared" ca="1" si="115"/>
        <v>-99</v>
      </c>
      <c r="AW414">
        <f ca="1">IF(AND($AT414&lt;3,OFFSET(DATA!$C$14,$AS414,0)=AW$6),$AV414,dNULL)</f>
        <v>-99</v>
      </c>
      <c r="AX414">
        <f ca="1">IF(AND($AT414&lt;3,OFFSET(DATA!$C$14,$AS414,0)=AX$6),$AV414,dNULL)</f>
        <v>-99</v>
      </c>
      <c r="AY414">
        <f ca="1">IF(AND($AT414&lt;3,OFFSET(DATA!$C$14,$AS414,0)=AY$6),$AV414,dNULL)</f>
        <v>-99</v>
      </c>
      <c r="AZ414">
        <f ca="1">IF(AND($AT414&lt;3,OFFSET(DATA!$C$14,$AS414,0)=AZ$6),$AV414,dNULL)</f>
        <v>-99</v>
      </c>
      <c r="BA414">
        <f ca="1">IF(AND($AT414&lt;3,OFFSET(DATA!$C$14,$AS414,0)=BA$6),$AV414,dNULL)</f>
        <v>-99</v>
      </c>
      <c r="BB414">
        <f ca="1">IF(AND($AT414&lt;3,OFFSET(DATA!$C$14,$AS414,0)=BB$6),$AV414,dNULL)</f>
        <v>-99</v>
      </c>
      <c r="BC414">
        <f ca="1">IF(AND($AT414&lt;3,OFFSET(DATA!$C$14,$AS414,0)=BC$6),$AV414,dNULL)</f>
        <v>-99</v>
      </c>
      <c r="BD414">
        <f ca="1">IF(AND($AT414&lt;3,OFFSET(DATA!$C$14,$AS414,0)=BD$6),$AV414,dNULL)</f>
        <v>-99</v>
      </c>
      <c r="BE414">
        <f ca="1">IF(AND($AT414&lt;3,OFFSET(DATA!$C$14,$AS414,0)=BE$6),$AV414,dNULL)</f>
        <v>-99</v>
      </c>
      <c r="BF414">
        <f ca="1">IF(AND($AT414&lt;3,OFFSET(DATA!$C$14,$AS414,0)=BF$6),$AV414,dNULL)</f>
        <v>-99</v>
      </c>
      <c r="BG414">
        <f ca="1">IF(AND($AT414&lt;3,OFFSET(DATA!$C$14,$AS414,0)=BG$6),$AV414,dNULL)</f>
        <v>-99</v>
      </c>
      <c r="BH414">
        <f ca="1">IF(AND($AT414&lt;3,OFFSET(DATA!$C$14,$AS414,0)=BH$6),$AV414,dNULL)</f>
        <v>-99</v>
      </c>
    </row>
    <row r="415" spans="45:60" x14ac:dyDescent="0.25">
      <c r="AS415">
        <f t="shared" si="112"/>
        <v>49</v>
      </c>
      <c r="AT415">
        <f t="shared" si="113"/>
        <v>4</v>
      </c>
      <c r="AU415">
        <f t="shared" ca="1" si="114"/>
        <v>-99</v>
      </c>
      <c r="AV415">
        <f t="shared" ca="1" si="115"/>
        <v>-99</v>
      </c>
      <c r="AW415">
        <f ca="1">IF(AND($AT415&lt;3,OFFSET(DATA!$C$14,$AS415,0)=AW$6),$AV415,dNULL)</f>
        <v>-99</v>
      </c>
      <c r="AX415">
        <f ca="1">IF(AND($AT415&lt;3,OFFSET(DATA!$C$14,$AS415,0)=AX$6),$AV415,dNULL)</f>
        <v>-99</v>
      </c>
      <c r="AY415">
        <f ca="1">IF(AND($AT415&lt;3,OFFSET(DATA!$C$14,$AS415,0)=AY$6),$AV415,dNULL)</f>
        <v>-99</v>
      </c>
      <c r="AZ415">
        <f ca="1">IF(AND($AT415&lt;3,OFFSET(DATA!$C$14,$AS415,0)=AZ$6),$AV415,dNULL)</f>
        <v>-99</v>
      </c>
      <c r="BA415">
        <f ca="1">IF(AND($AT415&lt;3,OFFSET(DATA!$C$14,$AS415,0)=BA$6),$AV415,dNULL)</f>
        <v>-99</v>
      </c>
      <c r="BB415">
        <f ca="1">IF(AND($AT415&lt;3,OFFSET(DATA!$C$14,$AS415,0)=BB$6),$AV415,dNULL)</f>
        <v>-99</v>
      </c>
      <c r="BC415">
        <f ca="1">IF(AND($AT415&lt;3,OFFSET(DATA!$C$14,$AS415,0)=BC$6),$AV415,dNULL)</f>
        <v>-99</v>
      </c>
      <c r="BD415">
        <f ca="1">IF(AND($AT415&lt;3,OFFSET(DATA!$C$14,$AS415,0)=BD$6),$AV415,dNULL)</f>
        <v>-99</v>
      </c>
      <c r="BE415">
        <f ca="1">IF(AND($AT415&lt;3,OFFSET(DATA!$C$14,$AS415,0)=BE$6),$AV415,dNULL)</f>
        <v>-99</v>
      </c>
      <c r="BF415">
        <f ca="1">IF(AND($AT415&lt;3,OFFSET(DATA!$C$14,$AS415,0)=BF$6),$AV415,dNULL)</f>
        <v>-99</v>
      </c>
      <c r="BG415">
        <f ca="1">IF(AND($AT415&lt;3,OFFSET(DATA!$C$14,$AS415,0)=BG$6),$AV415,dNULL)</f>
        <v>-99</v>
      </c>
      <c r="BH415">
        <f ca="1">IF(AND($AT415&lt;3,OFFSET(DATA!$C$14,$AS415,0)=BH$6),$AV415,dNULL)</f>
        <v>-99</v>
      </c>
    </row>
    <row r="416" spans="45:60" x14ac:dyDescent="0.25">
      <c r="AS416">
        <f t="shared" si="112"/>
        <v>50</v>
      </c>
      <c r="AT416">
        <f t="shared" si="113"/>
        <v>4</v>
      </c>
      <c r="AU416">
        <f t="shared" ca="1" si="114"/>
        <v>-99</v>
      </c>
      <c r="AV416">
        <f t="shared" ca="1" si="115"/>
        <v>-99</v>
      </c>
      <c r="AW416">
        <f ca="1">IF(AND($AT416&lt;3,OFFSET(DATA!$C$14,$AS416,0)=AW$6),$AV416,dNULL)</f>
        <v>-99</v>
      </c>
      <c r="AX416">
        <f ca="1">IF(AND($AT416&lt;3,OFFSET(DATA!$C$14,$AS416,0)=AX$6),$AV416,dNULL)</f>
        <v>-99</v>
      </c>
      <c r="AY416">
        <f ca="1">IF(AND($AT416&lt;3,OFFSET(DATA!$C$14,$AS416,0)=AY$6),$AV416,dNULL)</f>
        <v>-99</v>
      </c>
      <c r="AZ416">
        <f ca="1">IF(AND($AT416&lt;3,OFFSET(DATA!$C$14,$AS416,0)=AZ$6),$AV416,dNULL)</f>
        <v>-99</v>
      </c>
      <c r="BA416">
        <f ca="1">IF(AND($AT416&lt;3,OFFSET(DATA!$C$14,$AS416,0)=BA$6),$AV416,dNULL)</f>
        <v>-99</v>
      </c>
      <c r="BB416">
        <f ca="1">IF(AND($AT416&lt;3,OFFSET(DATA!$C$14,$AS416,0)=BB$6),$AV416,dNULL)</f>
        <v>-99</v>
      </c>
      <c r="BC416">
        <f ca="1">IF(AND($AT416&lt;3,OFFSET(DATA!$C$14,$AS416,0)=BC$6),$AV416,dNULL)</f>
        <v>-99</v>
      </c>
      <c r="BD416">
        <f ca="1">IF(AND($AT416&lt;3,OFFSET(DATA!$C$14,$AS416,0)=BD$6),$AV416,dNULL)</f>
        <v>-99</v>
      </c>
      <c r="BE416">
        <f ca="1">IF(AND($AT416&lt;3,OFFSET(DATA!$C$14,$AS416,0)=BE$6),$AV416,dNULL)</f>
        <v>-99</v>
      </c>
      <c r="BF416">
        <f ca="1">IF(AND($AT416&lt;3,OFFSET(DATA!$C$14,$AS416,0)=BF$6),$AV416,dNULL)</f>
        <v>-99</v>
      </c>
      <c r="BG416">
        <f ca="1">IF(AND($AT416&lt;3,OFFSET(DATA!$C$14,$AS416,0)=BG$6),$AV416,dNULL)</f>
        <v>-99</v>
      </c>
      <c r="BH416">
        <f ca="1">IF(AND($AT416&lt;3,OFFSET(DATA!$C$14,$AS416,0)=BH$6),$AV416,dNULL)</f>
        <v>-99</v>
      </c>
    </row>
    <row r="417" spans="45:60" x14ac:dyDescent="0.25">
      <c r="AS417">
        <f t="shared" si="112"/>
        <v>51</v>
      </c>
      <c r="AT417">
        <f t="shared" si="113"/>
        <v>4</v>
      </c>
      <c r="AU417">
        <f t="shared" ca="1" si="114"/>
        <v>-99</v>
      </c>
      <c r="AV417">
        <f t="shared" ca="1" si="115"/>
        <v>-99</v>
      </c>
      <c r="AW417">
        <f ca="1">IF(AND($AT417&lt;3,OFFSET(DATA!$C$14,$AS417,0)=AW$6),$AV417,dNULL)</f>
        <v>-99</v>
      </c>
      <c r="AX417">
        <f ca="1">IF(AND($AT417&lt;3,OFFSET(DATA!$C$14,$AS417,0)=AX$6),$AV417,dNULL)</f>
        <v>-99</v>
      </c>
      <c r="AY417">
        <f ca="1">IF(AND($AT417&lt;3,OFFSET(DATA!$C$14,$AS417,0)=AY$6),$AV417,dNULL)</f>
        <v>-99</v>
      </c>
      <c r="AZ417">
        <f ca="1">IF(AND($AT417&lt;3,OFFSET(DATA!$C$14,$AS417,0)=AZ$6),$AV417,dNULL)</f>
        <v>-99</v>
      </c>
      <c r="BA417">
        <f ca="1">IF(AND($AT417&lt;3,OFFSET(DATA!$C$14,$AS417,0)=BA$6),$AV417,dNULL)</f>
        <v>-99</v>
      </c>
      <c r="BB417">
        <f ca="1">IF(AND($AT417&lt;3,OFFSET(DATA!$C$14,$AS417,0)=BB$6),$AV417,dNULL)</f>
        <v>-99</v>
      </c>
      <c r="BC417">
        <f ca="1">IF(AND($AT417&lt;3,OFFSET(DATA!$C$14,$AS417,0)=BC$6),$AV417,dNULL)</f>
        <v>-99</v>
      </c>
      <c r="BD417">
        <f ca="1">IF(AND($AT417&lt;3,OFFSET(DATA!$C$14,$AS417,0)=BD$6),$AV417,dNULL)</f>
        <v>-99</v>
      </c>
      <c r="BE417">
        <f ca="1">IF(AND($AT417&lt;3,OFFSET(DATA!$C$14,$AS417,0)=BE$6),$AV417,dNULL)</f>
        <v>-99</v>
      </c>
      <c r="BF417">
        <f ca="1">IF(AND($AT417&lt;3,OFFSET(DATA!$C$14,$AS417,0)=BF$6),$AV417,dNULL)</f>
        <v>-99</v>
      </c>
      <c r="BG417">
        <f ca="1">IF(AND($AT417&lt;3,OFFSET(DATA!$C$14,$AS417,0)=BG$6),$AV417,dNULL)</f>
        <v>-99</v>
      </c>
      <c r="BH417">
        <f ca="1">IF(AND($AT417&lt;3,OFFSET(DATA!$C$14,$AS417,0)=BH$6),$AV417,dNULL)</f>
        <v>-99</v>
      </c>
    </row>
    <row r="418" spans="45:60" x14ac:dyDescent="0.25">
      <c r="AS418">
        <f t="shared" si="112"/>
        <v>52</v>
      </c>
      <c r="AT418">
        <f t="shared" si="113"/>
        <v>4</v>
      </c>
      <c r="AU418">
        <f t="shared" ca="1" si="114"/>
        <v>-99</v>
      </c>
      <c r="AV418">
        <f t="shared" ca="1" si="115"/>
        <v>-99</v>
      </c>
      <c r="AW418">
        <f ca="1">IF(AND($AT418&lt;3,OFFSET(DATA!$C$14,$AS418,0)=AW$6),$AV418,dNULL)</f>
        <v>-99</v>
      </c>
      <c r="AX418">
        <f ca="1">IF(AND($AT418&lt;3,OFFSET(DATA!$C$14,$AS418,0)=AX$6),$AV418,dNULL)</f>
        <v>-99</v>
      </c>
      <c r="AY418">
        <f ca="1">IF(AND($AT418&lt;3,OFFSET(DATA!$C$14,$AS418,0)=AY$6),$AV418,dNULL)</f>
        <v>-99</v>
      </c>
      <c r="AZ418">
        <f ca="1">IF(AND($AT418&lt;3,OFFSET(DATA!$C$14,$AS418,0)=AZ$6),$AV418,dNULL)</f>
        <v>-99</v>
      </c>
      <c r="BA418">
        <f ca="1">IF(AND($AT418&lt;3,OFFSET(DATA!$C$14,$AS418,0)=BA$6),$AV418,dNULL)</f>
        <v>-99</v>
      </c>
      <c r="BB418">
        <f ca="1">IF(AND($AT418&lt;3,OFFSET(DATA!$C$14,$AS418,0)=BB$6),$AV418,dNULL)</f>
        <v>-99</v>
      </c>
      <c r="BC418">
        <f ca="1">IF(AND($AT418&lt;3,OFFSET(DATA!$C$14,$AS418,0)=BC$6),$AV418,dNULL)</f>
        <v>-99</v>
      </c>
      <c r="BD418">
        <f ca="1">IF(AND($AT418&lt;3,OFFSET(DATA!$C$14,$AS418,0)=BD$6),$AV418,dNULL)</f>
        <v>-99</v>
      </c>
      <c r="BE418">
        <f ca="1">IF(AND($AT418&lt;3,OFFSET(DATA!$C$14,$AS418,0)=BE$6),$AV418,dNULL)</f>
        <v>-99</v>
      </c>
      <c r="BF418">
        <f ca="1">IF(AND($AT418&lt;3,OFFSET(DATA!$C$14,$AS418,0)=BF$6),$AV418,dNULL)</f>
        <v>-99</v>
      </c>
      <c r="BG418">
        <f ca="1">IF(AND($AT418&lt;3,OFFSET(DATA!$C$14,$AS418,0)=BG$6),$AV418,dNULL)</f>
        <v>-99</v>
      </c>
      <c r="BH418">
        <f ca="1">IF(AND($AT418&lt;3,OFFSET(DATA!$C$14,$AS418,0)=BH$6),$AV418,dNULL)</f>
        <v>-99</v>
      </c>
    </row>
    <row r="419" spans="45:60" x14ac:dyDescent="0.25">
      <c r="AS419">
        <f t="shared" si="112"/>
        <v>53</v>
      </c>
      <c r="AT419">
        <f t="shared" si="113"/>
        <v>4</v>
      </c>
      <c r="AU419">
        <f t="shared" ca="1" si="114"/>
        <v>-99</v>
      </c>
      <c r="AV419">
        <f t="shared" ca="1" si="115"/>
        <v>-99</v>
      </c>
      <c r="AW419">
        <f ca="1">IF(AND($AT419&lt;3,OFFSET(DATA!$C$14,$AS419,0)=AW$6),$AV419,dNULL)</f>
        <v>-99</v>
      </c>
      <c r="AX419">
        <f ca="1">IF(AND($AT419&lt;3,OFFSET(DATA!$C$14,$AS419,0)=AX$6),$AV419,dNULL)</f>
        <v>-99</v>
      </c>
      <c r="AY419">
        <f ca="1">IF(AND($AT419&lt;3,OFFSET(DATA!$C$14,$AS419,0)=AY$6),$AV419,dNULL)</f>
        <v>-99</v>
      </c>
      <c r="AZ419">
        <f ca="1">IF(AND($AT419&lt;3,OFFSET(DATA!$C$14,$AS419,0)=AZ$6),$AV419,dNULL)</f>
        <v>-99</v>
      </c>
      <c r="BA419">
        <f ca="1">IF(AND($AT419&lt;3,OFFSET(DATA!$C$14,$AS419,0)=BA$6),$AV419,dNULL)</f>
        <v>-99</v>
      </c>
      <c r="BB419">
        <f ca="1">IF(AND($AT419&lt;3,OFFSET(DATA!$C$14,$AS419,0)=BB$6),$AV419,dNULL)</f>
        <v>-99</v>
      </c>
      <c r="BC419">
        <f ca="1">IF(AND($AT419&lt;3,OFFSET(DATA!$C$14,$AS419,0)=BC$6),$AV419,dNULL)</f>
        <v>-99</v>
      </c>
      <c r="BD419">
        <f ca="1">IF(AND($AT419&lt;3,OFFSET(DATA!$C$14,$AS419,0)=BD$6),$AV419,dNULL)</f>
        <v>-99</v>
      </c>
      <c r="BE419">
        <f ca="1">IF(AND($AT419&lt;3,OFFSET(DATA!$C$14,$AS419,0)=BE$6),$AV419,dNULL)</f>
        <v>-99</v>
      </c>
      <c r="BF419">
        <f ca="1">IF(AND($AT419&lt;3,OFFSET(DATA!$C$14,$AS419,0)=BF$6),$AV419,dNULL)</f>
        <v>-99</v>
      </c>
      <c r="BG419">
        <f ca="1">IF(AND($AT419&lt;3,OFFSET(DATA!$C$14,$AS419,0)=BG$6),$AV419,dNULL)</f>
        <v>-99</v>
      </c>
      <c r="BH419">
        <f ca="1">IF(AND($AT419&lt;3,OFFSET(DATA!$C$14,$AS419,0)=BH$6),$AV419,dNULL)</f>
        <v>-99</v>
      </c>
    </row>
    <row r="420" spans="45:60" x14ac:dyDescent="0.25">
      <c r="AS420">
        <f t="shared" si="112"/>
        <v>54</v>
      </c>
      <c r="AT420">
        <f t="shared" si="113"/>
        <v>4</v>
      </c>
      <c r="AU420">
        <f t="shared" ca="1" si="114"/>
        <v>-99</v>
      </c>
      <c r="AV420">
        <f t="shared" ca="1" si="115"/>
        <v>-99</v>
      </c>
      <c r="AW420">
        <f ca="1">IF(AND($AT420&lt;3,OFFSET(DATA!$C$14,$AS420,0)=AW$6),$AV420,dNULL)</f>
        <v>-99</v>
      </c>
      <c r="AX420">
        <f ca="1">IF(AND($AT420&lt;3,OFFSET(DATA!$C$14,$AS420,0)=AX$6),$AV420,dNULL)</f>
        <v>-99</v>
      </c>
      <c r="AY420">
        <f ca="1">IF(AND($AT420&lt;3,OFFSET(DATA!$C$14,$AS420,0)=AY$6),$AV420,dNULL)</f>
        <v>-99</v>
      </c>
      <c r="AZ420">
        <f ca="1">IF(AND($AT420&lt;3,OFFSET(DATA!$C$14,$AS420,0)=AZ$6),$AV420,dNULL)</f>
        <v>-99</v>
      </c>
      <c r="BA420">
        <f ca="1">IF(AND($AT420&lt;3,OFFSET(DATA!$C$14,$AS420,0)=BA$6),$AV420,dNULL)</f>
        <v>-99</v>
      </c>
      <c r="BB420">
        <f ca="1">IF(AND($AT420&lt;3,OFFSET(DATA!$C$14,$AS420,0)=BB$6),$AV420,dNULL)</f>
        <v>-99</v>
      </c>
      <c r="BC420">
        <f ca="1">IF(AND($AT420&lt;3,OFFSET(DATA!$C$14,$AS420,0)=BC$6),$AV420,dNULL)</f>
        <v>-99</v>
      </c>
      <c r="BD420">
        <f ca="1">IF(AND($AT420&lt;3,OFFSET(DATA!$C$14,$AS420,0)=BD$6),$AV420,dNULL)</f>
        <v>-99</v>
      </c>
      <c r="BE420">
        <f ca="1">IF(AND($AT420&lt;3,OFFSET(DATA!$C$14,$AS420,0)=BE$6),$AV420,dNULL)</f>
        <v>-99</v>
      </c>
      <c r="BF420">
        <f ca="1">IF(AND($AT420&lt;3,OFFSET(DATA!$C$14,$AS420,0)=BF$6),$AV420,dNULL)</f>
        <v>-99</v>
      </c>
      <c r="BG420">
        <f ca="1">IF(AND($AT420&lt;3,OFFSET(DATA!$C$14,$AS420,0)=BG$6),$AV420,dNULL)</f>
        <v>-99</v>
      </c>
      <c r="BH420">
        <f ca="1">IF(AND($AT420&lt;3,OFFSET(DATA!$C$14,$AS420,0)=BH$6),$AV420,dNULL)</f>
        <v>-99</v>
      </c>
    </row>
    <row r="421" spans="45:60" x14ac:dyDescent="0.25">
      <c r="AS421">
        <f t="shared" si="112"/>
        <v>55</v>
      </c>
      <c r="AT421">
        <f t="shared" si="113"/>
        <v>4</v>
      </c>
      <c r="AU421">
        <f t="shared" ca="1" si="114"/>
        <v>-99</v>
      </c>
      <c r="AV421">
        <f t="shared" ca="1" si="115"/>
        <v>-99</v>
      </c>
      <c r="AW421">
        <f ca="1">IF(AND($AT421&lt;3,OFFSET(DATA!$C$14,$AS421,0)=AW$6),$AV421,dNULL)</f>
        <v>-99</v>
      </c>
      <c r="AX421">
        <f ca="1">IF(AND($AT421&lt;3,OFFSET(DATA!$C$14,$AS421,0)=AX$6),$AV421,dNULL)</f>
        <v>-99</v>
      </c>
      <c r="AY421">
        <f ca="1">IF(AND($AT421&lt;3,OFFSET(DATA!$C$14,$AS421,0)=AY$6),$AV421,dNULL)</f>
        <v>-99</v>
      </c>
      <c r="AZ421">
        <f ca="1">IF(AND($AT421&lt;3,OFFSET(DATA!$C$14,$AS421,0)=AZ$6),$AV421,dNULL)</f>
        <v>-99</v>
      </c>
      <c r="BA421">
        <f ca="1">IF(AND($AT421&lt;3,OFFSET(DATA!$C$14,$AS421,0)=BA$6),$AV421,dNULL)</f>
        <v>-99</v>
      </c>
      <c r="BB421">
        <f ca="1">IF(AND($AT421&lt;3,OFFSET(DATA!$C$14,$AS421,0)=BB$6),$AV421,dNULL)</f>
        <v>-99</v>
      </c>
      <c r="BC421">
        <f ca="1">IF(AND($AT421&lt;3,OFFSET(DATA!$C$14,$AS421,0)=BC$6),$AV421,dNULL)</f>
        <v>-99</v>
      </c>
      <c r="BD421">
        <f ca="1">IF(AND($AT421&lt;3,OFFSET(DATA!$C$14,$AS421,0)=BD$6),$AV421,dNULL)</f>
        <v>-99</v>
      </c>
      <c r="BE421">
        <f ca="1">IF(AND($AT421&lt;3,OFFSET(DATA!$C$14,$AS421,0)=BE$6),$AV421,dNULL)</f>
        <v>-99</v>
      </c>
      <c r="BF421">
        <f ca="1">IF(AND($AT421&lt;3,OFFSET(DATA!$C$14,$AS421,0)=BF$6),$AV421,dNULL)</f>
        <v>-99</v>
      </c>
      <c r="BG421">
        <f ca="1">IF(AND($AT421&lt;3,OFFSET(DATA!$C$14,$AS421,0)=BG$6),$AV421,dNULL)</f>
        <v>-99</v>
      </c>
      <c r="BH421">
        <f ca="1">IF(AND($AT421&lt;3,OFFSET(DATA!$C$14,$AS421,0)=BH$6),$AV421,dNULL)</f>
        <v>-99</v>
      </c>
    </row>
    <row r="422" spans="45:60" x14ac:dyDescent="0.25">
      <c r="AS422">
        <f t="shared" si="112"/>
        <v>56</v>
      </c>
      <c r="AT422">
        <f t="shared" si="113"/>
        <v>4</v>
      </c>
      <c r="AU422">
        <f t="shared" ca="1" si="114"/>
        <v>-99</v>
      </c>
      <c r="AV422">
        <f t="shared" ca="1" si="115"/>
        <v>-99</v>
      </c>
      <c r="AW422">
        <f ca="1">IF(AND($AT422&lt;3,OFFSET(DATA!$C$14,$AS422,0)=AW$6),$AV422,dNULL)</f>
        <v>-99</v>
      </c>
      <c r="AX422">
        <f ca="1">IF(AND($AT422&lt;3,OFFSET(DATA!$C$14,$AS422,0)=AX$6),$AV422,dNULL)</f>
        <v>-99</v>
      </c>
      <c r="AY422">
        <f ca="1">IF(AND($AT422&lt;3,OFFSET(DATA!$C$14,$AS422,0)=AY$6),$AV422,dNULL)</f>
        <v>-99</v>
      </c>
      <c r="AZ422">
        <f ca="1">IF(AND($AT422&lt;3,OFFSET(DATA!$C$14,$AS422,0)=AZ$6),$AV422,dNULL)</f>
        <v>-99</v>
      </c>
      <c r="BA422">
        <f ca="1">IF(AND($AT422&lt;3,OFFSET(DATA!$C$14,$AS422,0)=BA$6),$AV422,dNULL)</f>
        <v>-99</v>
      </c>
      <c r="BB422">
        <f ca="1">IF(AND($AT422&lt;3,OFFSET(DATA!$C$14,$AS422,0)=BB$6),$AV422,dNULL)</f>
        <v>-99</v>
      </c>
      <c r="BC422">
        <f ca="1">IF(AND($AT422&lt;3,OFFSET(DATA!$C$14,$AS422,0)=BC$6),$AV422,dNULL)</f>
        <v>-99</v>
      </c>
      <c r="BD422">
        <f ca="1">IF(AND($AT422&lt;3,OFFSET(DATA!$C$14,$AS422,0)=BD$6),$AV422,dNULL)</f>
        <v>-99</v>
      </c>
      <c r="BE422">
        <f ca="1">IF(AND($AT422&lt;3,OFFSET(DATA!$C$14,$AS422,0)=BE$6),$AV422,dNULL)</f>
        <v>-99</v>
      </c>
      <c r="BF422">
        <f ca="1">IF(AND($AT422&lt;3,OFFSET(DATA!$C$14,$AS422,0)=BF$6),$AV422,dNULL)</f>
        <v>-99</v>
      </c>
      <c r="BG422">
        <f ca="1">IF(AND($AT422&lt;3,OFFSET(DATA!$C$14,$AS422,0)=BG$6),$AV422,dNULL)</f>
        <v>-99</v>
      </c>
      <c r="BH422">
        <f ca="1">IF(AND($AT422&lt;3,OFFSET(DATA!$C$14,$AS422,0)=BH$6),$AV422,dNULL)</f>
        <v>-99</v>
      </c>
    </row>
    <row r="423" spans="45:60" x14ac:dyDescent="0.25">
      <c r="AS423">
        <f t="shared" si="112"/>
        <v>57</v>
      </c>
      <c r="AT423">
        <f t="shared" si="113"/>
        <v>4</v>
      </c>
      <c r="AU423">
        <f t="shared" ca="1" si="114"/>
        <v>-99</v>
      </c>
      <c r="AV423">
        <f t="shared" ca="1" si="115"/>
        <v>-99</v>
      </c>
      <c r="AW423">
        <f ca="1">IF(AND($AT423&lt;3,OFFSET(DATA!$C$14,$AS423,0)=AW$6),$AV423,dNULL)</f>
        <v>-99</v>
      </c>
      <c r="AX423">
        <f ca="1">IF(AND($AT423&lt;3,OFFSET(DATA!$C$14,$AS423,0)=AX$6),$AV423,dNULL)</f>
        <v>-99</v>
      </c>
      <c r="AY423">
        <f ca="1">IF(AND($AT423&lt;3,OFFSET(DATA!$C$14,$AS423,0)=AY$6),$AV423,dNULL)</f>
        <v>-99</v>
      </c>
      <c r="AZ423">
        <f ca="1">IF(AND($AT423&lt;3,OFFSET(DATA!$C$14,$AS423,0)=AZ$6),$AV423,dNULL)</f>
        <v>-99</v>
      </c>
      <c r="BA423">
        <f ca="1">IF(AND($AT423&lt;3,OFFSET(DATA!$C$14,$AS423,0)=BA$6),$AV423,dNULL)</f>
        <v>-99</v>
      </c>
      <c r="BB423">
        <f ca="1">IF(AND($AT423&lt;3,OFFSET(DATA!$C$14,$AS423,0)=BB$6),$AV423,dNULL)</f>
        <v>-99</v>
      </c>
      <c r="BC423">
        <f ca="1">IF(AND($AT423&lt;3,OFFSET(DATA!$C$14,$AS423,0)=BC$6),$AV423,dNULL)</f>
        <v>-99</v>
      </c>
      <c r="BD423">
        <f ca="1">IF(AND($AT423&lt;3,OFFSET(DATA!$C$14,$AS423,0)=BD$6),$AV423,dNULL)</f>
        <v>-99</v>
      </c>
      <c r="BE423">
        <f ca="1">IF(AND($AT423&lt;3,OFFSET(DATA!$C$14,$AS423,0)=BE$6),$AV423,dNULL)</f>
        <v>-99</v>
      </c>
      <c r="BF423">
        <f ca="1">IF(AND($AT423&lt;3,OFFSET(DATA!$C$14,$AS423,0)=BF$6),$AV423,dNULL)</f>
        <v>-99</v>
      </c>
      <c r="BG423">
        <f ca="1">IF(AND($AT423&lt;3,OFFSET(DATA!$C$14,$AS423,0)=BG$6),$AV423,dNULL)</f>
        <v>-99</v>
      </c>
      <c r="BH423">
        <f ca="1">IF(AND($AT423&lt;3,OFFSET(DATA!$C$14,$AS423,0)=BH$6),$AV423,dNULL)</f>
        <v>-99</v>
      </c>
    </row>
    <row r="424" spans="45:60" x14ac:dyDescent="0.25">
      <c r="AS424">
        <f t="shared" si="112"/>
        <v>58</v>
      </c>
      <c r="AT424">
        <f t="shared" si="113"/>
        <v>4</v>
      </c>
      <c r="AU424">
        <f t="shared" ca="1" si="114"/>
        <v>-99</v>
      </c>
      <c r="AV424">
        <f t="shared" ca="1" si="115"/>
        <v>-99</v>
      </c>
      <c r="AW424">
        <f ca="1">IF(AND($AT424&lt;3,OFFSET(DATA!$C$14,$AS424,0)=AW$6),$AV424,dNULL)</f>
        <v>-99</v>
      </c>
      <c r="AX424">
        <f ca="1">IF(AND($AT424&lt;3,OFFSET(DATA!$C$14,$AS424,0)=AX$6),$AV424,dNULL)</f>
        <v>-99</v>
      </c>
      <c r="AY424">
        <f ca="1">IF(AND($AT424&lt;3,OFFSET(DATA!$C$14,$AS424,0)=AY$6),$AV424,dNULL)</f>
        <v>-99</v>
      </c>
      <c r="AZ424">
        <f ca="1">IF(AND($AT424&lt;3,OFFSET(DATA!$C$14,$AS424,0)=AZ$6),$AV424,dNULL)</f>
        <v>-99</v>
      </c>
      <c r="BA424">
        <f ca="1">IF(AND($AT424&lt;3,OFFSET(DATA!$C$14,$AS424,0)=BA$6),$AV424,dNULL)</f>
        <v>-99</v>
      </c>
      <c r="BB424">
        <f ca="1">IF(AND($AT424&lt;3,OFFSET(DATA!$C$14,$AS424,0)=BB$6),$AV424,dNULL)</f>
        <v>-99</v>
      </c>
      <c r="BC424">
        <f ca="1">IF(AND($AT424&lt;3,OFFSET(DATA!$C$14,$AS424,0)=BC$6),$AV424,dNULL)</f>
        <v>-99</v>
      </c>
      <c r="BD424">
        <f ca="1">IF(AND($AT424&lt;3,OFFSET(DATA!$C$14,$AS424,0)=BD$6),$AV424,dNULL)</f>
        <v>-99</v>
      </c>
      <c r="BE424">
        <f ca="1">IF(AND($AT424&lt;3,OFFSET(DATA!$C$14,$AS424,0)=BE$6),$AV424,dNULL)</f>
        <v>-99</v>
      </c>
      <c r="BF424">
        <f ca="1">IF(AND($AT424&lt;3,OFFSET(DATA!$C$14,$AS424,0)=BF$6),$AV424,dNULL)</f>
        <v>-99</v>
      </c>
      <c r="BG424">
        <f ca="1">IF(AND($AT424&lt;3,OFFSET(DATA!$C$14,$AS424,0)=BG$6),$AV424,dNULL)</f>
        <v>-99</v>
      </c>
      <c r="BH424">
        <f ca="1">IF(AND($AT424&lt;3,OFFSET(DATA!$C$14,$AS424,0)=BH$6),$AV424,dNULL)</f>
        <v>-99</v>
      </c>
    </row>
    <row r="425" spans="45:60" x14ac:dyDescent="0.25">
      <c r="AS425">
        <f t="shared" si="112"/>
        <v>59</v>
      </c>
      <c r="AT425">
        <f t="shared" si="113"/>
        <v>4</v>
      </c>
      <c r="AU425">
        <f t="shared" ca="1" si="114"/>
        <v>-99</v>
      </c>
      <c r="AV425">
        <f t="shared" ca="1" si="115"/>
        <v>-99</v>
      </c>
      <c r="AW425">
        <f ca="1">IF(AND($AT425&lt;3,OFFSET(DATA!$C$14,$AS425,0)=AW$6),$AV425,dNULL)</f>
        <v>-99</v>
      </c>
      <c r="AX425">
        <f ca="1">IF(AND($AT425&lt;3,OFFSET(DATA!$C$14,$AS425,0)=AX$6),$AV425,dNULL)</f>
        <v>-99</v>
      </c>
      <c r="AY425">
        <f ca="1">IF(AND($AT425&lt;3,OFFSET(DATA!$C$14,$AS425,0)=AY$6),$AV425,dNULL)</f>
        <v>-99</v>
      </c>
      <c r="AZ425">
        <f ca="1">IF(AND($AT425&lt;3,OFFSET(DATA!$C$14,$AS425,0)=AZ$6),$AV425,dNULL)</f>
        <v>-99</v>
      </c>
      <c r="BA425">
        <f ca="1">IF(AND($AT425&lt;3,OFFSET(DATA!$C$14,$AS425,0)=BA$6),$AV425,dNULL)</f>
        <v>-99</v>
      </c>
      <c r="BB425">
        <f ca="1">IF(AND($AT425&lt;3,OFFSET(DATA!$C$14,$AS425,0)=BB$6),$AV425,dNULL)</f>
        <v>-99</v>
      </c>
      <c r="BC425">
        <f ca="1">IF(AND($AT425&lt;3,OFFSET(DATA!$C$14,$AS425,0)=BC$6),$AV425,dNULL)</f>
        <v>-99</v>
      </c>
      <c r="BD425">
        <f ca="1">IF(AND($AT425&lt;3,OFFSET(DATA!$C$14,$AS425,0)=BD$6),$AV425,dNULL)</f>
        <v>-99</v>
      </c>
      <c r="BE425">
        <f ca="1">IF(AND($AT425&lt;3,OFFSET(DATA!$C$14,$AS425,0)=BE$6),$AV425,dNULL)</f>
        <v>-99</v>
      </c>
      <c r="BF425">
        <f ca="1">IF(AND($AT425&lt;3,OFFSET(DATA!$C$14,$AS425,0)=BF$6),$AV425,dNULL)</f>
        <v>-99</v>
      </c>
      <c r="BG425">
        <f ca="1">IF(AND($AT425&lt;3,OFFSET(DATA!$C$14,$AS425,0)=BG$6),$AV425,dNULL)</f>
        <v>-99</v>
      </c>
      <c r="BH425">
        <f ca="1">IF(AND($AT425&lt;3,OFFSET(DATA!$C$14,$AS425,0)=BH$6),$AV425,dNULL)</f>
        <v>-99</v>
      </c>
    </row>
    <row r="426" spans="45:60" x14ac:dyDescent="0.25">
      <c r="AS426">
        <f t="shared" si="112"/>
        <v>60</v>
      </c>
      <c r="AT426">
        <f t="shared" si="113"/>
        <v>4</v>
      </c>
      <c r="AU426">
        <f t="shared" ca="1" si="114"/>
        <v>-99</v>
      </c>
      <c r="AV426">
        <f t="shared" ca="1" si="115"/>
        <v>-99</v>
      </c>
      <c r="AW426">
        <f ca="1">IF(AND($AT426&lt;3,OFFSET(DATA!$C$14,$AS426,0)=AW$6),$AV426,dNULL)</f>
        <v>-99</v>
      </c>
      <c r="AX426">
        <f ca="1">IF(AND($AT426&lt;3,OFFSET(DATA!$C$14,$AS426,0)=AX$6),$AV426,dNULL)</f>
        <v>-99</v>
      </c>
      <c r="AY426">
        <f ca="1">IF(AND($AT426&lt;3,OFFSET(DATA!$C$14,$AS426,0)=AY$6),$AV426,dNULL)</f>
        <v>-99</v>
      </c>
      <c r="AZ426">
        <f ca="1">IF(AND($AT426&lt;3,OFFSET(DATA!$C$14,$AS426,0)=AZ$6),$AV426,dNULL)</f>
        <v>-99</v>
      </c>
      <c r="BA426">
        <f ca="1">IF(AND($AT426&lt;3,OFFSET(DATA!$C$14,$AS426,0)=BA$6),$AV426,dNULL)</f>
        <v>-99</v>
      </c>
      <c r="BB426">
        <f ca="1">IF(AND($AT426&lt;3,OFFSET(DATA!$C$14,$AS426,0)=BB$6),$AV426,dNULL)</f>
        <v>-99</v>
      </c>
      <c r="BC426">
        <f ca="1">IF(AND($AT426&lt;3,OFFSET(DATA!$C$14,$AS426,0)=BC$6),$AV426,dNULL)</f>
        <v>-99</v>
      </c>
      <c r="BD426">
        <f ca="1">IF(AND($AT426&lt;3,OFFSET(DATA!$C$14,$AS426,0)=BD$6),$AV426,dNULL)</f>
        <v>-99</v>
      </c>
      <c r="BE426">
        <f ca="1">IF(AND($AT426&lt;3,OFFSET(DATA!$C$14,$AS426,0)=BE$6),$AV426,dNULL)</f>
        <v>-99</v>
      </c>
      <c r="BF426">
        <f ca="1">IF(AND($AT426&lt;3,OFFSET(DATA!$C$14,$AS426,0)=BF$6),$AV426,dNULL)</f>
        <v>-99</v>
      </c>
      <c r="BG426">
        <f ca="1">IF(AND($AT426&lt;3,OFFSET(DATA!$C$14,$AS426,0)=BG$6),$AV426,dNULL)</f>
        <v>-99</v>
      </c>
      <c r="BH426">
        <f ca="1">IF(AND($AT426&lt;3,OFFSET(DATA!$C$14,$AS426,0)=BH$6),$AV426,dNULL)</f>
        <v>-99</v>
      </c>
    </row>
    <row r="427" spans="45:60" x14ac:dyDescent="0.25">
      <c r="AS427">
        <f t="shared" si="112"/>
        <v>61</v>
      </c>
      <c r="AT427">
        <f t="shared" si="113"/>
        <v>4</v>
      </c>
      <c r="AU427">
        <f t="shared" ca="1" si="114"/>
        <v>-99</v>
      </c>
      <c r="AV427">
        <f t="shared" ca="1" si="115"/>
        <v>-99</v>
      </c>
      <c r="AW427">
        <f ca="1">IF(AND($AT427&lt;3,OFFSET(DATA!$C$14,$AS427,0)=AW$6),$AV427,dNULL)</f>
        <v>-99</v>
      </c>
      <c r="AX427">
        <f ca="1">IF(AND($AT427&lt;3,OFFSET(DATA!$C$14,$AS427,0)=AX$6),$AV427,dNULL)</f>
        <v>-99</v>
      </c>
      <c r="AY427">
        <f ca="1">IF(AND($AT427&lt;3,OFFSET(DATA!$C$14,$AS427,0)=AY$6),$AV427,dNULL)</f>
        <v>-99</v>
      </c>
      <c r="AZ427">
        <f ca="1">IF(AND($AT427&lt;3,OFFSET(DATA!$C$14,$AS427,0)=AZ$6),$AV427,dNULL)</f>
        <v>-99</v>
      </c>
      <c r="BA427">
        <f ca="1">IF(AND($AT427&lt;3,OFFSET(DATA!$C$14,$AS427,0)=BA$6),$AV427,dNULL)</f>
        <v>-99</v>
      </c>
      <c r="BB427">
        <f ca="1">IF(AND($AT427&lt;3,OFFSET(DATA!$C$14,$AS427,0)=BB$6),$AV427,dNULL)</f>
        <v>-99</v>
      </c>
      <c r="BC427">
        <f ca="1">IF(AND($AT427&lt;3,OFFSET(DATA!$C$14,$AS427,0)=BC$6),$AV427,dNULL)</f>
        <v>-99</v>
      </c>
      <c r="BD427">
        <f ca="1">IF(AND($AT427&lt;3,OFFSET(DATA!$C$14,$AS427,0)=BD$6),$AV427,dNULL)</f>
        <v>-99</v>
      </c>
      <c r="BE427">
        <f ca="1">IF(AND($AT427&lt;3,OFFSET(DATA!$C$14,$AS427,0)=BE$6),$AV427,dNULL)</f>
        <v>-99</v>
      </c>
      <c r="BF427">
        <f ca="1">IF(AND($AT427&lt;3,OFFSET(DATA!$C$14,$AS427,0)=BF$6),$AV427,dNULL)</f>
        <v>-99</v>
      </c>
      <c r="BG427">
        <f ca="1">IF(AND($AT427&lt;3,OFFSET(DATA!$C$14,$AS427,0)=BG$6),$AV427,dNULL)</f>
        <v>-99</v>
      </c>
      <c r="BH427">
        <f ca="1">IF(AND($AT427&lt;3,OFFSET(DATA!$C$14,$AS427,0)=BH$6),$AV427,dNULL)</f>
        <v>-99</v>
      </c>
    </row>
    <row r="428" spans="45:60" x14ac:dyDescent="0.25">
      <c r="AS428">
        <f t="shared" si="112"/>
        <v>62</v>
      </c>
      <c r="AT428">
        <f t="shared" si="113"/>
        <v>4</v>
      </c>
      <c r="AU428">
        <f t="shared" ca="1" si="114"/>
        <v>-99</v>
      </c>
      <c r="AV428">
        <f t="shared" ca="1" si="115"/>
        <v>-99</v>
      </c>
      <c r="AW428">
        <f ca="1">IF(AND($AT428&lt;3,OFFSET(DATA!$C$14,$AS428,0)=AW$6),$AV428,dNULL)</f>
        <v>-99</v>
      </c>
      <c r="AX428">
        <f ca="1">IF(AND($AT428&lt;3,OFFSET(DATA!$C$14,$AS428,0)=AX$6),$AV428,dNULL)</f>
        <v>-99</v>
      </c>
      <c r="AY428">
        <f ca="1">IF(AND($AT428&lt;3,OFFSET(DATA!$C$14,$AS428,0)=AY$6),$AV428,dNULL)</f>
        <v>-99</v>
      </c>
      <c r="AZ428">
        <f ca="1">IF(AND($AT428&lt;3,OFFSET(DATA!$C$14,$AS428,0)=AZ$6),$AV428,dNULL)</f>
        <v>-99</v>
      </c>
      <c r="BA428">
        <f ca="1">IF(AND($AT428&lt;3,OFFSET(DATA!$C$14,$AS428,0)=BA$6),$AV428,dNULL)</f>
        <v>-99</v>
      </c>
      <c r="BB428">
        <f ca="1">IF(AND($AT428&lt;3,OFFSET(DATA!$C$14,$AS428,0)=BB$6),$AV428,dNULL)</f>
        <v>-99</v>
      </c>
      <c r="BC428">
        <f ca="1">IF(AND($AT428&lt;3,OFFSET(DATA!$C$14,$AS428,0)=BC$6),$AV428,dNULL)</f>
        <v>-99</v>
      </c>
      <c r="BD428">
        <f ca="1">IF(AND($AT428&lt;3,OFFSET(DATA!$C$14,$AS428,0)=BD$6),$AV428,dNULL)</f>
        <v>-99</v>
      </c>
      <c r="BE428">
        <f ca="1">IF(AND($AT428&lt;3,OFFSET(DATA!$C$14,$AS428,0)=BE$6),$AV428,dNULL)</f>
        <v>-99</v>
      </c>
      <c r="BF428">
        <f ca="1">IF(AND($AT428&lt;3,OFFSET(DATA!$C$14,$AS428,0)=BF$6),$AV428,dNULL)</f>
        <v>-99</v>
      </c>
      <c r="BG428">
        <f ca="1">IF(AND($AT428&lt;3,OFFSET(DATA!$C$14,$AS428,0)=BG$6),$AV428,dNULL)</f>
        <v>-99</v>
      </c>
      <c r="BH428">
        <f ca="1">IF(AND($AT428&lt;3,OFFSET(DATA!$C$14,$AS428,0)=BH$6),$AV428,dNULL)</f>
        <v>-99</v>
      </c>
    </row>
    <row r="429" spans="45:60" x14ac:dyDescent="0.25">
      <c r="AS429">
        <f t="shared" si="112"/>
        <v>63</v>
      </c>
      <c r="AT429">
        <f t="shared" si="113"/>
        <v>4</v>
      </c>
      <c r="AU429">
        <f t="shared" ca="1" si="114"/>
        <v>-99</v>
      </c>
      <c r="AV429">
        <f t="shared" ca="1" si="115"/>
        <v>-99</v>
      </c>
      <c r="AW429">
        <f ca="1">IF(AND($AT429&lt;3,OFFSET(DATA!$C$14,$AS429,0)=AW$6),$AV429,dNULL)</f>
        <v>-99</v>
      </c>
      <c r="AX429">
        <f ca="1">IF(AND($AT429&lt;3,OFFSET(DATA!$C$14,$AS429,0)=AX$6),$AV429,dNULL)</f>
        <v>-99</v>
      </c>
      <c r="AY429">
        <f ca="1">IF(AND($AT429&lt;3,OFFSET(DATA!$C$14,$AS429,0)=AY$6),$AV429,dNULL)</f>
        <v>-99</v>
      </c>
      <c r="AZ429">
        <f ca="1">IF(AND($AT429&lt;3,OFFSET(DATA!$C$14,$AS429,0)=AZ$6),$AV429,dNULL)</f>
        <v>-99</v>
      </c>
      <c r="BA429">
        <f ca="1">IF(AND($AT429&lt;3,OFFSET(DATA!$C$14,$AS429,0)=BA$6),$AV429,dNULL)</f>
        <v>-99</v>
      </c>
      <c r="BB429">
        <f ca="1">IF(AND($AT429&lt;3,OFFSET(DATA!$C$14,$AS429,0)=BB$6),$AV429,dNULL)</f>
        <v>-99</v>
      </c>
      <c r="BC429">
        <f ca="1">IF(AND($AT429&lt;3,OFFSET(DATA!$C$14,$AS429,0)=BC$6),$AV429,dNULL)</f>
        <v>-99</v>
      </c>
      <c r="BD429">
        <f ca="1">IF(AND($AT429&lt;3,OFFSET(DATA!$C$14,$AS429,0)=BD$6),$AV429,dNULL)</f>
        <v>-99</v>
      </c>
      <c r="BE429">
        <f ca="1">IF(AND($AT429&lt;3,OFFSET(DATA!$C$14,$AS429,0)=BE$6),$AV429,dNULL)</f>
        <v>-99</v>
      </c>
      <c r="BF429">
        <f ca="1">IF(AND($AT429&lt;3,OFFSET(DATA!$C$14,$AS429,0)=BF$6),$AV429,dNULL)</f>
        <v>-99</v>
      </c>
      <c r="BG429">
        <f ca="1">IF(AND($AT429&lt;3,OFFSET(DATA!$C$14,$AS429,0)=BG$6),$AV429,dNULL)</f>
        <v>-99</v>
      </c>
      <c r="BH429">
        <f ca="1">IF(AND($AT429&lt;3,OFFSET(DATA!$C$14,$AS429,0)=BH$6),$AV429,dNULL)</f>
        <v>-99</v>
      </c>
    </row>
    <row r="430" spans="45:60" x14ac:dyDescent="0.25">
      <c r="AS430">
        <f t="shared" si="112"/>
        <v>64</v>
      </c>
      <c r="AT430">
        <f t="shared" si="113"/>
        <v>4</v>
      </c>
      <c r="AU430">
        <f t="shared" ca="1" si="114"/>
        <v>-99</v>
      </c>
      <c r="AV430">
        <f t="shared" ca="1" si="115"/>
        <v>-99</v>
      </c>
      <c r="AW430">
        <f ca="1">IF(AND($AT430&lt;3,OFFSET(DATA!$C$14,$AS430,0)=AW$6),$AV430,dNULL)</f>
        <v>-99</v>
      </c>
      <c r="AX430">
        <f ca="1">IF(AND($AT430&lt;3,OFFSET(DATA!$C$14,$AS430,0)=AX$6),$AV430,dNULL)</f>
        <v>-99</v>
      </c>
      <c r="AY430">
        <f ca="1">IF(AND($AT430&lt;3,OFFSET(DATA!$C$14,$AS430,0)=AY$6),$AV430,dNULL)</f>
        <v>-99</v>
      </c>
      <c r="AZ430">
        <f ca="1">IF(AND($AT430&lt;3,OFFSET(DATA!$C$14,$AS430,0)=AZ$6),$AV430,dNULL)</f>
        <v>-99</v>
      </c>
      <c r="BA430">
        <f ca="1">IF(AND($AT430&lt;3,OFFSET(DATA!$C$14,$AS430,0)=BA$6),$AV430,dNULL)</f>
        <v>-99</v>
      </c>
      <c r="BB430">
        <f ca="1">IF(AND($AT430&lt;3,OFFSET(DATA!$C$14,$AS430,0)=BB$6),$AV430,dNULL)</f>
        <v>-99</v>
      </c>
      <c r="BC430">
        <f ca="1">IF(AND($AT430&lt;3,OFFSET(DATA!$C$14,$AS430,0)=BC$6),$AV430,dNULL)</f>
        <v>-99</v>
      </c>
      <c r="BD430">
        <f ca="1">IF(AND($AT430&lt;3,OFFSET(DATA!$C$14,$AS430,0)=BD$6),$AV430,dNULL)</f>
        <v>-99</v>
      </c>
      <c r="BE430">
        <f ca="1">IF(AND($AT430&lt;3,OFFSET(DATA!$C$14,$AS430,0)=BE$6),$AV430,dNULL)</f>
        <v>-99</v>
      </c>
      <c r="BF430">
        <f ca="1">IF(AND($AT430&lt;3,OFFSET(DATA!$C$14,$AS430,0)=BF$6),$AV430,dNULL)</f>
        <v>-99</v>
      </c>
      <c r="BG430">
        <f ca="1">IF(AND($AT430&lt;3,OFFSET(DATA!$C$14,$AS430,0)=BG$6),$AV430,dNULL)</f>
        <v>-99</v>
      </c>
      <c r="BH430">
        <f ca="1">IF(AND($AT430&lt;3,OFFSET(DATA!$C$14,$AS430,0)=BH$6),$AV430,dNULL)</f>
        <v>-99</v>
      </c>
    </row>
    <row r="431" spans="45:60" x14ac:dyDescent="0.25">
      <c r="AS431">
        <f t="shared" si="112"/>
        <v>65</v>
      </c>
      <c r="AT431">
        <f t="shared" si="113"/>
        <v>4</v>
      </c>
      <c r="AU431">
        <f t="shared" ca="1" si="114"/>
        <v>-99</v>
      </c>
      <c r="AV431">
        <f t="shared" ca="1" si="115"/>
        <v>-99</v>
      </c>
      <c r="AW431">
        <f ca="1">IF(AND($AT431&lt;3,OFFSET(DATA!$C$14,$AS431,0)=AW$6),$AV431,dNULL)</f>
        <v>-99</v>
      </c>
      <c r="AX431">
        <f ca="1">IF(AND($AT431&lt;3,OFFSET(DATA!$C$14,$AS431,0)=AX$6),$AV431,dNULL)</f>
        <v>-99</v>
      </c>
      <c r="AY431">
        <f ca="1">IF(AND($AT431&lt;3,OFFSET(DATA!$C$14,$AS431,0)=AY$6),$AV431,dNULL)</f>
        <v>-99</v>
      </c>
      <c r="AZ431">
        <f ca="1">IF(AND($AT431&lt;3,OFFSET(DATA!$C$14,$AS431,0)=AZ$6),$AV431,dNULL)</f>
        <v>-99</v>
      </c>
      <c r="BA431">
        <f ca="1">IF(AND($AT431&lt;3,OFFSET(DATA!$C$14,$AS431,0)=BA$6),$AV431,dNULL)</f>
        <v>-99</v>
      </c>
      <c r="BB431">
        <f ca="1">IF(AND($AT431&lt;3,OFFSET(DATA!$C$14,$AS431,0)=BB$6),$AV431,dNULL)</f>
        <v>-99</v>
      </c>
      <c r="BC431">
        <f ca="1">IF(AND($AT431&lt;3,OFFSET(DATA!$C$14,$AS431,0)=BC$6),$AV431,dNULL)</f>
        <v>-99</v>
      </c>
      <c r="BD431">
        <f ca="1">IF(AND($AT431&lt;3,OFFSET(DATA!$C$14,$AS431,0)=BD$6),$AV431,dNULL)</f>
        <v>-99</v>
      </c>
      <c r="BE431">
        <f ca="1">IF(AND($AT431&lt;3,OFFSET(DATA!$C$14,$AS431,0)=BE$6),$AV431,dNULL)</f>
        <v>-99</v>
      </c>
      <c r="BF431">
        <f ca="1">IF(AND($AT431&lt;3,OFFSET(DATA!$C$14,$AS431,0)=BF$6),$AV431,dNULL)</f>
        <v>-99</v>
      </c>
      <c r="BG431">
        <f ca="1">IF(AND($AT431&lt;3,OFFSET(DATA!$C$14,$AS431,0)=BG$6),$AV431,dNULL)</f>
        <v>-99</v>
      </c>
      <c r="BH431">
        <f ca="1">IF(AND($AT431&lt;3,OFFSET(DATA!$C$14,$AS431,0)=BH$6),$AV431,dNULL)</f>
        <v>-99</v>
      </c>
    </row>
    <row r="432" spans="45:60" x14ac:dyDescent="0.25">
      <c r="AS432">
        <f t="shared" si="112"/>
        <v>66</v>
      </c>
      <c r="AT432">
        <f t="shared" si="113"/>
        <v>4</v>
      </c>
      <c r="AU432">
        <f t="shared" ca="1" si="114"/>
        <v>-99</v>
      </c>
      <c r="AV432">
        <f t="shared" ca="1" si="115"/>
        <v>-99</v>
      </c>
      <c r="AW432">
        <f ca="1">IF(AND($AT432&lt;3,OFFSET(DATA!$C$14,$AS432,0)=AW$6),$AV432,dNULL)</f>
        <v>-99</v>
      </c>
      <c r="AX432">
        <f ca="1">IF(AND($AT432&lt;3,OFFSET(DATA!$C$14,$AS432,0)=AX$6),$AV432,dNULL)</f>
        <v>-99</v>
      </c>
      <c r="AY432">
        <f ca="1">IF(AND($AT432&lt;3,OFFSET(DATA!$C$14,$AS432,0)=AY$6),$AV432,dNULL)</f>
        <v>-99</v>
      </c>
      <c r="AZ432">
        <f ca="1">IF(AND($AT432&lt;3,OFFSET(DATA!$C$14,$AS432,0)=AZ$6),$AV432,dNULL)</f>
        <v>-99</v>
      </c>
      <c r="BA432">
        <f ca="1">IF(AND($AT432&lt;3,OFFSET(DATA!$C$14,$AS432,0)=BA$6),$AV432,dNULL)</f>
        <v>-99</v>
      </c>
      <c r="BB432">
        <f ca="1">IF(AND($AT432&lt;3,OFFSET(DATA!$C$14,$AS432,0)=BB$6),$AV432,dNULL)</f>
        <v>-99</v>
      </c>
      <c r="BC432">
        <f ca="1">IF(AND($AT432&lt;3,OFFSET(DATA!$C$14,$AS432,0)=BC$6),$AV432,dNULL)</f>
        <v>-99</v>
      </c>
      <c r="BD432">
        <f ca="1">IF(AND($AT432&lt;3,OFFSET(DATA!$C$14,$AS432,0)=BD$6),$AV432,dNULL)</f>
        <v>-99</v>
      </c>
      <c r="BE432">
        <f ca="1">IF(AND($AT432&lt;3,OFFSET(DATA!$C$14,$AS432,0)=BE$6),$AV432,dNULL)</f>
        <v>-99</v>
      </c>
      <c r="BF432">
        <f ca="1">IF(AND($AT432&lt;3,OFFSET(DATA!$C$14,$AS432,0)=BF$6),$AV432,dNULL)</f>
        <v>-99</v>
      </c>
      <c r="BG432">
        <f ca="1">IF(AND($AT432&lt;3,OFFSET(DATA!$C$14,$AS432,0)=BG$6),$AV432,dNULL)</f>
        <v>-99</v>
      </c>
      <c r="BH432">
        <f ca="1">IF(AND($AT432&lt;3,OFFSET(DATA!$C$14,$AS432,0)=BH$6),$AV432,dNULL)</f>
        <v>-99</v>
      </c>
    </row>
    <row r="433" spans="45:60" x14ac:dyDescent="0.25">
      <c r="AS433">
        <f t="shared" si="112"/>
        <v>67</v>
      </c>
      <c r="AT433">
        <f t="shared" si="113"/>
        <v>4</v>
      </c>
      <c r="AU433">
        <f t="shared" ca="1" si="114"/>
        <v>-99</v>
      </c>
      <c r="AV433">
        <f t="shared" ca="1" si="115"/>
        <v>-99</v>
      </c>
      <c r="AW433">
        <f ca="1">IF(AND($AT433&lt;3,OFFSET(DATA!$C$14,$AS433,0)=AW$6),$AV433,dNULL)</f>
        <v>-99</v>
      </c>
      <c r="AX433">
        <f ca="1">IF(AND($AT433&lt;3,OFFSET(DATA!$C$14,$AS433,0)=AX$6),$AV433,dNULL)</f>
        <v>-99</v>
      </c>
      <c r="AY433">
        <f ca="1">IF(AND($AT433&lt;3,OFFSET(DATA!$C$14,$AS433,0)=AY$6),$AV433,dNULL)</f>
        <v>-99</v>
      </c>
      <c r="AZ433">
        <f ca="1">IF(AND($AT433&lt;3,OFFSET(DATA!$C$14,$AS433,0)=AZ$6),$AV433,dNULL)</f>
        <v>-99</v>
      </c>
      <c r="BA433">
        <f ca="1">IF(AND($AT433&lt;3,OFFSET(DATA!$C$14,$AS433,0)=BA$6),$AV433,dNULL)</f>
        <v>-99</v>
      </c>
      <c r="BB433">
        <f ca="1">IF(AND($AT433&lt;3,OFFSET(DATA!$C$14,$AS433,0)=BB$6),$AV433,dNULL)</f>
        <v>-99</v>
      </c>
      <c r="BC433">
        <f ca="1">IF(AND($AT433&lt;3,OFFSET(DATA!$C$14,$AS433,0)=BC$6),$AV433,dNULL)</f>
        <v>-99</v>
      </c>
      <c r="BD433">
        <f ca="1">IF(AND($AT433&lt;3,OFFSET(DATA!$C$14,$AS433,0)=BD$6),$AV433,dNULL)</f>
        <v>-99</v>
      </c>
      <c r="BE433">
        <f ca="1">IF(AND($AT433&lt;3,OFFSET(DATA!$C$14,$AS433,0)=BE$6),$AV433,dNULL)</f>
        <v>-99</v>
      </c>
      <c r="BF433">
        <f ca="1">IF(AND($AT433&lt;3,OFFSET(DATA!$C$14,$AS433,0)=BF$6),$AV433,dNULL)</f>
        <v>-99</v>
      </c>
      <c r="BG433">
        <f ca="1">IF(AND($AT433&lt;3,OFFSET(DATA!$C$14,$AS433,0)=BG$6),$AV433,dNULL)</f>
        <v>-99</v>
      </c>
      <c r="BH433">
        <f ca="1">IF(AND($AT433&lt;3,OFFSET(DATA!$C$14,$AS433,0)=BH$6),$AV433,dNULL)</f>
        <v>-99</v>
      </c>
    </row>
    <row r="434" spans="45:60" x14ac:dyDescent="0.25">
      <c r="AS434">
        <f t="shared" si="112"/>
        <v>68</v>
      </c>
      <c r="AT434">
        <f t="shared" si="113"/>
        <v>4</v>
      </c>
      <c r="AU434">
        <f t="shared" ca="1" si="114"/>
        <v>-99</v>
      </c>
      <c r="AV434">
        <f t="shared" ca="1" si="115"/>
        <v>-99</v>
      </c>
      <c r="AW434">
        <f ca="1">IF(AND($AT434&lt;3,OFFSET(DATA!$C$14,$AS434,0)=AW$6),$AV434,dNULL)</f>
        <v>-99</v>
      </c>
      <c r="AX434">
        <f ca="1">IF(AND($AT434&lt;3,OFFSET(DATA!$C$14,$AS434,0)=AX$6),$AV434,dNULL)</f>
        <v>-99</v>
      </c>
      <c r="AY434">
        <f ca="1">IF(AND($AT434&lt;3,OFFSET(DATA!$C$14,$AS434,0)=AY$6),$AV434,dNULL)</f>
        <v>-99</v>
      </c>
      <c r="AZ434">
        <f ca="1">IF(AND($AT434&lt;3,OFFSET(DATA!$C$14,$AS434,0)=AZ$6),$AV434,dNULL)</f>
        <v>-99</v>
      </c>
      <c r="BA434">
        <f ca="1">IF(AND($AT434&lt;3,OFFSET(DATA!$C$14,$AS434,0)=BA$6),$AV434,dNULL)</f>
        <v>-99</v>
      </c>
      <c r="BB434">
        <f ca="1">IF(AND($AT434&lt;3,OFFSET(DATA!$C$14,$AS434,0)=BB$6),$AV434,dNULL)</f>
        <v>-99</v>
      </c>
      <c r="BC434">
        <f ca="1">IF(AND($AT434&lt;3,OFFSET(DATA!$C$14,$AS434,0)=BC$6),$AV434,dNULL)</f>
        <v>-99</v>
      </c>
      <c r="BD434">
        <f ca="1">IF(AND($AT434&lt;3,OFFSET(DATA!$C$14,$AS434,0)=BD$6),$AV434,dNULL)</f>
        <v>-99</v>
      </c>
      <c r="BE434">
        <f ca="1">IF(AND($AT434&lt;3,OFFSET(DATA!$C$14,$AS434,0)=BE$6),$AV434,dNULL)</f>
        <v>-99</v>
      </c>
      <c r="BF434">
        <f ca="1">IF(AND($AT434&lt;3,OFFSET(DATA!$C$14,$AS434,0)=BF$6),$AV434,dNULL)</f>
        <v>-99</v>
      </c>
      <c r="BG434">
        <f ca="1">IF(AND($AT434&lt;3,OFFSET(DATA!$C$14,$AS434,0)=BG$6),$AV434,dNULL)</f>
        <v>-99</v>
      </c>
      <c r="BH434">
        <f ca="1">IF(AND($AT434&lt;3,OFFSET(DATA!$C$14,$AS434,0)=BH$6),$AV434,dNULL)</f>
        <v>-99</v>
      </c>
    </row>
    <row r="435" spans="45:60" x14ac:dyDescent="0.25">
      <c r="AS435">
        <f t="shared" si="112"/>
        <v>69</v>
      </c>
      <c r="AT435">
        <f t="shared" si="113"/>
        <v>4</v>
      </c>
      <c r="AU435">
        <f t="shared" ca="1" si="114"/>
        <v>-99</v>
      </c>
      <c r="AV435">
        <f t="shared" ca="1" si="115"/>
        <v>-99</v>
      </c>
      <c r="AW435">
        <f ca="1">IF(AND($AT435&lt;3,OFFSET(DATA!$C$14,$AS435,0)=AW$6),$AV435,dNULL)</f>
        <v>-99</v>
      </c>
      <c r="AX435">
        <f ca="1">IF(AND($AT435&lt;3,OFFSET(DATA!$C$14,$AS435,0)=AX$6),$AV435,dNULL)</f>
        <v>-99</v>
      </c>
      <c r="AY435">
        <f ca="1">IF(AND($AT435&lt;3,OFFSET(DATA!$C$14,$AS435,0)=AY$6),$AV435,dNULL)</f>
        <v>-99</v>
      </c>
      <c r="AZ435">
        <f ca="1">IF(AND($AT435&lt;3,OFFSET(DATA!$C$14,$AS435,0)=AZ$6),$AV435,dNULL)</f>
        <v>-99</v>
      </c>
      <c r="BA435">
        <f ca="1">IF(AND($AT435&lt;3,OFFSET(DATA!$C$14,$AS435,0)=BA$6),$AV435,dNULL)</f>
        <v>-99</v>
      </c>
      <c r="BB435">
        <f ca="1">IF(AND($AT435&lt;3,OFFSET(DATA!$C$14,$AS435,0)=BB$6),$AV435,dNULL)</f>
        <v>-99</v>
      </c>
      <c r="BC435">
        <f ca="1">IF(AND($AT435&lt;3,OFFSET(DATA!$C$14,$AS435,0)=BC$6),$AV435,dNULL)</f>
        <v>-99</v>
      </c>
      <c r="BD435">
        <f ca="1">IF(AND($AT435&lt;3,OFFSET(DATA!$C$14,$AS435,0)=BD$6),$AV435,dNULL)</f>
        <v>-99</v>
      </c>
      <c r="BE435">
        <f ca="1">IF(AND($AT435&lt;3,OFFSET(DATA!$C$14,$AS435,0)=BE$6),$AV435,dNULL)</f>
        <v>-99</v>
      </c>
      <c r="BF435">
        <f ca="1">IF(AND($AT435&lt;3,OFFSET(DATA!$C$14,$AS435,0)=BF$6),$AV435,dNULL)</f>
        <v>-99</v>
      </c>
      <c r="BG435">
        <f ca="1">IF(AND($AT435&lt;3,OFFSET(DATA!$C$14,$AS435,0)=BG$6),$AV435,dNULL)</f>
        <v>-99</v>
      </c>
      <c r="BH435">
        <f ca="1">IF(AND($AT435&lt;3,OFFSET(DATA!$C$14,$AS435,0)=BH$6),$AV435,dNULL)</f>
        <v>-99</v>
      </c>
    </row>
    <row r="436" spans="45:60" x14ac:dyDescent="0.25">
      <c r="AS436">
        <f t="shared" si="112"/>
        <v>70</v>
      </c>
      <c r="AT436">
        <f t="shared" si="113"/>
        <v>4</v>
      </c>
      <c r="AU436">
        <f t="shared" ca="1" si="114"/>
        <v>-99</v>
      </c>
      <c r="AV436">
        <f t="shared" ca="1" si="115"/>
        <v>-99</v>
      </c>
      <c r="AW436">
        <f ca="1">IF(AND($AT436&lt;3,OFFSET(DATA!$C$14,$AS436,0)=AW$6),$AV436,dNULL)</f>
        <v>-99</v>
      </c>
      <c r="AX436">
        <f ca="1">IF(AND($AT436&lt;3,OFFSET(DATA!$C$14,$AS436,0)=AX$6),$AV436,dNULL)</f>
        <v>-99</v>
      </c>
      <c r="AY436">
        <f ca="1">IF(AND($AT436&lt;3,OFFSET(DATA!$C$14,$AS436,0)=AY$6),$AV436,dNULL)</f>
        <v>-99</v>
      </c>
      <c r="AZ436">
        <f ca="1">IF(AND($AT436&lt;3,OFFSET(DATA!$C$14,$AS436,0)=AZ$6),$AV436,dNULL)</f>
        <v>-99</v>
      </c>
      <c r="BA436">
        <f ca="1">IF(AND($AT436&lt;3,OFFSET(DATA!$C$14,$AS436,0)=BA$6),$AV436,dNULL)</f>
        <v>-99</v>
      </c>
      <c r="BB436">
        <f ca="1">IF(AND($AT436&lt;3,OFFSET(DATA!$C$14,$AS436,0)=BB$6),$AV436,dNULL)</f>
        <v>-99</v>
      </c>
      <c r="BC436">
        <f ca="1">IF(AND($AT436&lt;3,OFFSET(DATA!$C$14,$AS436,0)=BC$6),$AV436,dNULL)</f>
        <v>-99</v>
      </c>
      <c r="BD436">
        <f ca="1">IF(AND($AT436&lt;3,OFFSET(DATA!$C$14,$AS436,0)=BD$6),$AV436,dNULL)</f>
        <v>-99</v>
      </c>
      <c r="BE436">
        <f ca="1">IF(AND($AT436&lt;3,OFFSET(DATA!$C$14,$AS436,0)=BE$6),$AV436,dNULL)</f>
        <v>-99</v>
      </c>
      <c r="BF436">
        <f ca="1">IF(AND($AT436&lt;3,OFFSET(DATA!$C$14,$AS436,0)=BF$6),$AV436,dNULL)</f>
        <v>-99</v>
      </c>
      <c r="BG436">
        <f ca="1">IF(AND($AT436&lt;3,OFFSET(DATA!$C$14,$AS436,0)=BG$6),$AV436,dNULL)</f>
        <v>-99</v>
      </c>
      <c r="BH436">
        <f ca="1">IF(AND($AT436&lt;3,OFFSET(DATA!$C$14,$AS436,0)=BH$6),$AV436,dNULL)</f>
        <v>-99</v>
      </c>
    </row>
    <row r="437" spans="45:60" x14ac:dyDescent="0.25">
      <c r="AS437">
        <f t="shared" si="112"/>
        <v>71</v>
      </c>
      <c r="AT437">
        <f t="shared" si="113"/>
        <v>4</v>
      </c>
      <c r="AU437">
        <f t="shared" ca="1" si="114"/>
        <v>-99</v>
      </c>
      <c r="AV437">
        <f t="shared" ca="1" si="115"/>
        <v>-99</v>
      </c>
      <c r="AW437">
        <f ca="1">IF(AND($AT437&lt;3,OFFSET(DATA!$C$14,$AS437,0)=AW$6),$AV437,dNULL)</f>
        <v>-99</v>
      </c>
      <c r="AX437">
        <f ca="1">IF(AND($AT437&lt;3,OFFSET(DATA!$C$14,$AS437,0)=AX$6),$AV437,dNULL)</f>
        <v>-99</v>
      </c>
      <c r="AY437">
        <f ca="1">IF(AND($AT437&lt;3,OFFSET(DATA!$C$14,$AS437,0)=AY$6),$AV437,dNULL)</f>
        <v>-99</v>
      </c>
      <c r="AZ437">
        <f ca="1">IF(AND($AT437&lt;3,OFFSET(DATA!$C$14,$AS437,0)=AZ$6),$AV437,dNULL)</f>
        <v>-99</v>
      </c>
      <c r="BA437">
        <f ca="1">IF(AND($AT437&lt;3,OFFSET(DATA!$C$14,$AS437,0)=BA$6),$AV437,dNULL)</f>
        <v>-99</v>
      </c>
      <c r="BB437">
        <f ca="1">IF(AND($AT437&lt;3,OFFSET(DATA!$C$14,$AS437,0)=BB$6),$AV437,dNULL)</f>
        <v>-99</v>
      </c>
      <c r="BC437">
        <f ca="1">IF(AND($AT437&lt;3,OFFSET(DATA!$C$14,$AS437,0)=BC$6),$AV437,dNULL)</f>
        <v>-99</v>
      </c>
      <c r="BD437">
        <f ca="1">IF(AND($AT437&lt;3,OFFSET(DATA!$C$14,$AS437,0)=BD$6),$AV437,dNULL)</f>
        <v>-99</v>
      </c>
      <c r="BE437">
        <f ca="1">IF(AND($AT437&lt;3,OFFSET(DATA!$C$14,$AS437,0)=BE$6),$AV437,dNULL)</f>
        <v>-99</v>
      </c>
      <c r="BF437">
        <f ca="1">IF(AND($AT437&lt;3,OFFSET(DATA!$C$14,$AS437,0)=BF$6),$AV437,dNULL)</f>
        <v>-99</v>
      </c>
      <c r="BG437">
        <f ca="1">IF(AND($AT437&lt;3,OFFSET(DATA!$C$14,$AS437,0)=BG$6),$AV437,dNULL)</f>
        <v>-99</v>
      </c>
      <c r="BH437">
        <f ca="1">IF(AND($AT437&lt;3,OFFSET(DATA!$C$14,$AS437,0)=BH$6),$AV437,dNULL)</f>
        <v>-99</v>
      </c>
    </row>
    <row r="438" spans="45:60" x14ac:dyDescent="0.25">
      <c r="AS438">
        <f t="shared" si="112"/>
        <v>72</v>
      </c>
      <c r="AT438">
        <f t="shared" si="113"/>
        <v>4</v>
      </c>
      <c r="AU438">
        <f t="shared" ca="1" si="114"/>
        <v>-99</v>
      </c>
      <c r="AV438">
        <f t="shared" ca="1" si="115"/>
        <v>-99</v>
      </c>
      <c r="AW438">
        <f ca="1">IF(AND($AT438&lt;3,OFFSET(DATA!$C$14,$AS438,0)=AW$6),$AV438,dNULL)</f>
        <v>-99</v>
      </c>
      <c r="AX438">
        <f ca="1">IF(AND($AT438&lt;3,OFFSET(DATA!$C$14,$AS438,0)=AX$6),$AV438,dNULL)</f>
        <v>-99</v>
      </c>
      <c r="AY438">
        <f ca="1">IF(AND($AT438&lt;3,OFFSET(DATA!$C$14,$AS438,0)=AY$6),$AV438,dNULL)</f>
        <v>-99</v>
      </c>
      <c r="AZ438">
        <f ca="1">IF(AND($AT438&lt;3,OFFSET(DATA!$C$14,$AS438,0)=AZ$6),$AV438,dNULL)</f>
        <v>-99</v>
      </c>
      <c r="BA438">
        <f ca="1">IF(AND($AT438&lt;3,OFFSET(DATA!$C$14,$AS438,0)=BA$6),$AV438,dNULL)</f>
        <v>-99</v>
      </c>
      <c r="BB438">
        <f ca="1">IF(AND($AT438&lt;3,OFFSET(DATA!$C$14,$AS438,0)=BB$6),$AV438,dNULL)</f>
        <v>-99</v>
      </c>
      <c r="BC438">
        <f ca="1">IF(AND($AT438&lt;3,OFFSET(DATA!$C$14,$AS438,0)=BC$6),$AV438,dNULL)</f>
        <v>-99</v>
      </c>
      <c r="BD438">
        <f ca="1">IF(AND($AT438&lt;3,OFFSET(DATA!$C$14,$AS438,0)=BD$6),$AV438,dNULL)</f>
        <v>-99</v>
      </c>
      <c r="BE438">
        <f ca="1">IF(AND($AT438&lt;3,OFFSET(DATA!$C$14,$AS438,0)=BE$6),$AV438,dNULL)</f>
        <v>-99</v>
      </c>
      <c r="BF438">
        <f ca="1">IF(AND($AT438&lt;3,OFFSET(DATA!$C$14,$AS438,0)=BF$6),$AV438,dNULL)</f>
        <v>-99</v>
      </c>
      <c r="BG438">
        <f ca="1">IF(AND($AT438&lt;3,OFFSET(DATA!$C$14,$AS438,0)=BG$6),$AV438,dNULL)</f>
        <v>-99</v>
      </c>
      <c r="BH438">
        <f ca="1">IF(AND($AT438&lt;3,OFFSET(DATA!$C$14,$AS438,0)=BH$6),$AV438,dNULL)</f>
        <v>-99</v>
      </c>
    </row>
    <row r="439" spans="45:60" x14ac:dyDescent="0.25">
      <c r="AS439">
        <f t="shared" si="112"/>
        <v>73</v>
      </c>
      <c r="AT439">
        <f t="shared" si="113"/>
        <v>4</v>
      </c>
      <c r="AU439">
        <f t="shared" ca="1" si="114"/>
        <v>-99</v>
      </c>
      <c r="AV439">
        <f t="shared" ca="1" si="115"/>
        <v>-99</v>
      </c>
      <c r="AW439">
        <f ca="1">IF(AND($AT439&lt;3,OFFSET(DATA!$C$14,$AS439,0)=AW$6),$AV439,dNULL)</f>
        <v>-99</v>
      </c>
      <c r="AX439">
        <f ca="1">IF(AND($AT439&lt;3,OFFSET(DATA!$C$14,$AS439,0)=AX$6),$AV439,dNULL)</f>
        <v>-99</v>
      </c>
      <c r="AY439">
        <f ca="1">IF(AND($AT439&lt;3,OFFSET(DATA!$C$14,$AS439,0)=AY$6),$AV439,dNULL)</f>
        <v>-99</v>
      </c>
      <c r="AZ439">
        <f ca="1">IF(AND($AT439&lt;3,OFFSET(DATA!$C$14,$AS439,0)=AZ$6),$AV439,dNULL)</f>
        <v>-99</v>
      </c>
      <c r="BA439">
        <f ca="1">IF(AND($AT439&lt;3,OFFSET(DATA!$C$14,$AS439,0)=BA$6),$AV439,dNULL)</f>
        <v>-99</v>
      </c>
      <c r="BB439">
        <f ca="1">IF(AND($AT439&lt;3,OFFSET(DATA!$C$14,$AS439,0)=BB$6),$AV439,dNULL)</f>
        <v>-99</v>
      </c>
      <c r="BC439">
        <f ca="1">IF(AND($AT439&lt;3,OFFSET(DATA!$C$14,$AS439,0)=BC$6),$AV439,dNULL)</f>
        <v>-99</v>
      </c>
      <c r="BD439">
        <f ca="1">IF(AND($AT439&lt;3,OFFSET(DATA!$C$14,$AS439,0)=BD$6),$AV439,dNULL)</f>
        <v>-99</v>
      </c>
      <c r="BE439">
        <f ca="1">IF(AND($AT439&lt;3,OFFSET(DATA!$C$14,$AS439,0)=BE$6),$AV439,dNULL)</f>
        <v>-99</v>
      </c>
      <c r="BF439">
        <f ca="1">IF(AND($AT439&lt;3,OFFSET(DATA!$C$14,$AS439,0)=BF$6),$AV439,dNULL)</f>
        <v>-99</v>
      </c>
      <c r="BG439">
        <f ca="1">IF(AND($AT439&lt;3,OFFSET(DATA!$C$14,$AS439,0)=BG$6),$AV439,dNULL)</f>
        <v>-99</v>
      </c>
      <c r="BH439">
        <f ca="1">IF(AND($AT439&lt;3,OFFSET(DATA!$C$14,$AS439,0)=BH$6),$AV439,dNULL)</f>
        <v>-99</v>
      </c>
    </row>
    <row r="440" spans="45:60" x14ac:dyDescent="0.25">
      <c r="AS440">
        <f t="shared" si="112"/>
        <v>74</v>
      </c>
      <c r="AT440">
        <f t="shared" si="113"/>
        <v>4</v>
      </c>
      <c r="AU440">
        <f t="shared" ca="1" si="114"/>
        <v>-99</v>
      </c>
      <c r="AV440">
        <f t="shared" ca="1" si="115"/>
        <v>-99</v>
      </c>
      <c r="AW440">
        <f ca="1">IF(AND($AT440&lt;3,OFFSET(DATA!$C$14,$AS440,0)=AW$6),$AV440,dNULL)</f>
        <v>-99</v>
      </c>
      <c r="AX440">
        <f ca="1">IF(AND($AT440&lt;3,OFFSET(DATA!$C$14,$AS440,0)=AX$6),$AV440,dNULL)</f>
        <v>-99</v>
      </c>
      <c r="AY440">
        <f ca="1">IF(AND($AT440&lt;3,OFFSET(DATA!$C$14,$AS440,0)=AY$6),$AV440,dNULL)</f>
        <v>-99</v>
      </c>
      <c r="AZ440">
        <f ca="1">IF(AND($AT440&lt;3,OFFSET(DATA!$C$14,$AS440,0)=AZ$6),$AV440,dNULL)</f>
        <v>-99</v>
      </c>
      <c r="BA440">
        <f ca="1">IF(AND($AT440&lt;3,OFFSET(DATA!$C$14,$AS440,0)=BA$6),$AV440,dNULL)</f>
        <v>-99</v>
      </c>
      <c r="BB440">
        <f ca="1">IF(AND($AT440&lt;3,OFFSET(DATA!$C$14,$AS440,0)=BB$6),$AV440,dNULL)</f>
        <v>-99</v>
      </c>
      <c r="BC440">
        <f ca="1">IF(AND($AT440&lt;3,OFFSET(DATA!$C$14,$AS440,0)=BC$6),$AV440,dNULL)</f>
        <v>-99</v>
      </c>
      <c r="BD440">
        <f ca="1">IF(AND($AT440&lt;3,OFFSET(DATA!$C$14,$AS440,0)=BD$6),$AV440,dNULL)</f>
        <v>-99</v>
      </c>
      <c r="BE440">
        <f ca="1">IF(AND($AT440&lt;3,OFFSET(DATA!$C$14,$AS440,0)=BE$6),$AV440,dNULL)</f>
        <v>-99</v>
      </c>
      <c r="BF440">
        <f ca="1">IF(AND($AT440&lt;3,OFFSET(DATA!$C$14,$AS440,0)=BF$6),$AV440,dNULL)</f>
        <v>-99</v>
      </c>
      <c r="BG440">
        <f ca="1">IF(AND($AT440&lt;3,OFFSET(DATA!$C$14,$AS440,0)=BG$6),$AV440,dNULL)</f>
        <v>-99</v>
      </c>
      <c r="BH440">
        <f ca="1">IF(AND($AT440&lt;3,OFFSET(DATA!$C$14,$AS440,0)=BH$6),$AV440,dNULL)</f>
        <v>-99</v>
      </c>
    </row>
    <row r="441" spans="45:60" x14ac:dyDescent="0.25">
      <c r="AS441">
        <f t="shared" si="112"/>
        <v>75</v>
      </c>
      <c r="AT441">
        <f t="shared" si="113"/>
        <v>4</v>
      </c>
      <c r="AU441">
        <f t="shared" ca="1" si="114"/>
        <v>-99</v>
      </c>
      <c r="AV441">
        <f t="shared" ca="1" si="115"/>
        <v>-99</v>
      </c>
      <c r="AW441">
        <f ca="1">IF(AND($AT441&lt;3,OFFSET(DATA!$C$14,$AS441,0)=AW$6),$AV441,dNULL)</f>
        <v>-99</v>
      </c>
      <c r="AX441">
        <f ca="1">IF(AND($AT441&lt;3,OFFSET(DATA!$C$14,$AS441,0)=AX$6),$AV441,dNULL)</f>
        <v>-99</v>
      </c>
      <c r="AY441">
        <f ca="1">IF(AND($AT441&lt;3,OFFSET(DATA!$C$14,$AS441,0)=AY$6),$AV441,dNULL)</f>
        <v>-99</v>
      </c>
      <c r="AZ441">
        <f ca="1">IF(AND($AT441&lt;3,OFFSET(DATA!$C$14,$AS441,0)=AZ$6),$AV441,dNULL)</f>
        <v>-99</v>
      </c>
      <c r="BA441">
        <f ca="1">IF(AND($AT441&lt;3,OFFSET(DATA!$C$14,$AS441,0)=BA$6),$AV441,dNULL)</f>
        <v>-99</v>
      </c>
      <c r="BB441">
        <f ca="1">IF(AND($AT441&lt;3,OFFSET(DATA!$C$14,$AS441,0)=BB$6),$AV441,dNULL)</f>
        <v>-99</v>
      </c>
      <c r="BC441">
        <f ca="1">IF(AND($AT441&lt;3,OFFSET(DATA!$C$14,$AS441,0)=BC$6),$AV441,dNULL)</f>
        <v>-99</v>
      </c>
      <c r="BD441">
        <f ca="1">IF(AND($AT441&lt;3,OFFSET(DATA!$C$14,$AS441,0)=BD$6),$AV441,dNULL)</f>
        <v>-99</v>
      </c>
      <c r="BE441">
        <f ca="1">IF(AND($AT441&lt;3,OFFSET(DATA!$C$14,$AS441,0)=BE$6),$AV441,dNULL)</f>
        <v>-99</v>
      </c>
      <c r="BF441">
        <f ca="1">IF(AND($AT441&lt;3,OFFSET(DATA!$C$14,$AS441,0)=BF$6),$AV441,dNULL)</f>
        <v>-99</v>
      </c>
      <c r="BG441">
        <f ca="1">IF(AND($AT441&lt;3,OFFSET(DATA!$C$14,$AS441,0)=BG$6),$AV441,dNULL)</f>
        <v>-99</v>
      </c>
      <c r="BH441">
        <f ca="1">IF(AND($AT441&lt;3,OFFSET(DATA!$C$14,$AS441,0)=BH$6),$AV441,dNULL)</f>
        <v>-99</v>
      </c>
    </row>
    <row r="442" spans="45:60" x14ac:dyDescent="0.25">
      <c r="AS442">
        <f t="shared" si="112"/>
        <v>76</v>
      </c>
      <c r="AT442">
        <f t="shared" si="113"/>
        <v>4</v>
      </c>
      <c r="AU442">
        <f t="shared" ca="1" si="114"/>
        <v>-99</v>
      </c>
      <c r="AV442">
        <f t="shared" ca="1" si="115"/>
        <v>-99</v>
      </c>
      <c r="AW442">
        <f ca="1">IF(AND($AT442&lt;3,OFFSET(DATA!$C$14,$AS442,0)=AW$6),$AV442,dNULL)</f>
        <v>-99</v>
      </c>
      <c r="AX442">
        <f ca="1">IF(AND($AT442&lt;3,OFFSET(DATA!$C$14,$AS442,0)=AX$6),$AV442,dNULL)</f>
        <v>-99</v>
      </c>
      <c r="AY442">
        <f ca="1">IF(AND($AT442&lt;3,OFFSET(DATA!$C$14,$AS442,0)=AY$6),$AV442,dNULL)</f>
        <v>-99</v>
      </c>
      <c r="AZ442">
        <f ca="1">IF(AND($AT442&lt;3,OFFSET(DATA!$C$14,$AS442,0)=AZ$6),$AV442,dNULL)</f>
        <v>-99</v>
      </c>
      <c r="BA442">
        <f ca="1">IF(AND($AT442&lt;3,OFFSET(DATA!$C$14,$AS442,0)=BA$6),$AV442,dNULL)</f>
        <v>-99</v>
      </c>
      <c r="BB442">
        <f ca="1">IF(AND($AT442&lt;3,OFFSET(DATA!$C$14,$AS442,0)=BB$6),$AV442,dNULL)</f>
        <v>-99</v>
      </c>
      <c r="BC442">
        <f ca="1">IF(AND($AT442&lt;3,OFFSET(DATA!$C$14,$AS442,0)=BC$6),$AV442,dNULL)</f>
        <v>-99</v>
      </c>
      <c r="BD442">
        <f ca="1">IF(AND($AT442&lt;3,OFFSET(DATA!$C$14,$AS442,0)=BD$6),$AV442,dNULL)</f>
        <v>-99</v>
      </c>
      <c r="BE442">
        <f ca="1">IF(AND($AT442&lt;3,OFFSET(DATA!$C$14,$AS442,0)=BE$6),$AV442,dNULL)</f>
        <v>-99</v>
      </c>
      <c r="BF442">
        <f ca="1">IF(AND($AT442&lt;3,OFFSET(DATA!$C$14,$AS442,0)=BF$6),$AV442,dNULL)</f>
        <v>-99</v>
      </c>
      <c r="BG442">
        <f ca="1">IF(AND($AT442&lt;3,OFFSET(DATA!$C$14,$AS442,0)=BG$6),$AV442,dNULL)</f>
        <v>-99</v>
      </c>
      <c r="BH442">
        <f ca="1">IF(AND($AT442&lt;3,OFFSET(DATA!$C$14,$AS442,0)=BH$6),$AV442,dNULL)</f>
        <v>-99</v>
      </c>
    </row>
    <row r="443" spans="45:60" x14ac:dyDescent="0.25">
      <c r="AS443">
        <f t="shared" si="112"/>
        <v>77</v>
      </c>
      <c r="AT443">
        <f t="shared" si="113"/>
        <v>4</v>
      </c>
      <c r="AU443">
        <f t="shared" ca="1" si="114"/>
        <v>-99</v>
      </c>
      <c r="AV443">
        <f t="shared" ca="1" si="115"/>
        <v>-99</v>
      </c>
      <c r="AW443">
        <f ca="1">IF(AND($AT443&lt;3,OFFSET(DATA!$C$14,$AS443,0)=AW$6),$AV443,dNULL)</f>
        <v>-99</v>
      </c>
      <c r="AX443">
        <f ca="1">IF(AND($AT443&lt;3,OFFSET(DATA!$C$14,$AS443,0)=AX$6),$AV443,dNULL)</f>
        <v>-99</v>
      </c>
      <c r="AY443">
        <f ca="1">IF(AND($AT443&lt;3,OFFSET(DATA!$C$14,$AS443,0)=AY$6),$AV443,dNULL)</f>
        <v>-99</v>
      </c>
      <c r="AZ443">
        <f ca="1">IF(AND($AT443&lt;3,OFFSET(DATA!$C$14,$AS443,0)=AZ$6),$AV443,dNULL)</f>
        <v>-99</v>
      </c>
      <c r="BA443">
        <f ca="1">IF(AND($AT443&lt;3,OFFSET(DATA!$C$14,$AS443,0)=BA$6),$AV443,dNULL)</f>
        <v>-99</v>
      </c>
      <c r="BB443">
        <f ca="1">IF(AND($AT443&lt;3,OFFSET(DATA!$C$14,$AS443,0)=BB$6),$AV443,dNULL)</f>
        <v>-99</v>
      </c>
      <c r="BC443">
        <f ca="1">IF(AND($AT443&lt;3,OFFSET(DATA!$C$14,$AS443,0)=BC$6),$AV443,dNULL)</f>
        <v>-99</v>
      </c>
      <c r="BD443">
        <f ca="1">IF(AND($AT443&lt;3,OFFSET(DATA!$C$14,$AS443,0)=BD$6),$AV443,dNULL)</f>
        <v>-99</v>
      </c>
      <c r="BE443">
        <f ca="1">IF(AND($AT443&lt;3,OFFSET(DATA!$C$14,$AS443,0)=BE$6),$AV443,dNULL)</f>
        <v>-99</v>
      </c>
      <c r="BF443">
        <f ca="1">IF(AND($AT443&lt;3,OFFSET(DATA!$C$14,$AS443,0)=BF$6),$AV443,dNULL)</f>
        <v>-99</v>
      </c>
      <c r="BG443">
        <f ca="1">IF(AND($AT443&lt;3,OFFSET(DATA!$C$14,$AS443,0)=BG$6),$AV443,dNULL)</f>
        <v>-99</v>
      </c>
      <c r="BH443">
        <f ca="1">IF(AND($AT443&lt;3,OFFSET(DATA!$C$14,$AS443,0)=BH$6),$AV443,dNULL)</f>
        <v>-99</v>
      </c>
    </row>
    <row r="444" spans="45:60" x14ac:dyDescent="0.25">
      <c r="AS444">
        <f t="shared" si="112"/>
        <v>78</v>
      </c>
      <c r="AT444">
        <f t="shared" si="113"/>
        <v>4</v>
      </c>
      <c r="AU444">
        <f t="shared" ca="1" si="114"/>
        <v>-99</v>
      </c>
      <c r="AV444">
        <f t="shared" ca="1" si="115"/>
        <v>-99</v>
      </c>
      <c r="AW444">
        <f ca="1">IF(AND($AT444&lt;3,OFFSET(DATA!$C$14,$AS444,0)=AW$6),$AV444,dNULL)</f>
        <v>-99</v>
      </c>
      <c r="AX444">
        <f ca="1">IF(AND($AT444&lt;3,OFFSET(DATA!$C$14,$AS444,0)=AX$6),$AV444,dNULL)</f>
        <v>-99</v>
      </c>
      <c r="AY444">
        <f ca="1">IF(AND($AT444&lt;3,OFFSET(DATA!$C$14,$AS444,0)=AY$6),$AV444,dNULL)</f>
        <v>-99</v>
      </c>
      <c r="AZ444">
        <f ca="1">IF(AND($AT444&lt;3,OFFSET(DATA!$C$14,$AS444,0)=AZ$6),$AV444,dNULL)</f>
        <v>-99</v>
      </c>
      <c r="BA444">
        <f ca="1">IF(AND($AT444&lt;3,OFFSET(DATA!$C$14,$AS444,0)=BA$6),$AV444,dNULL)</f>
        <v>-99</v>
      </c>
      <c r="BB444">
        <f ca="1">IF(AND($AT444&lt;3,OFFSET(DATA!$C$14,$AS444,0)=BB$6),$AV444,dNULL)</f>
        <v>-99</v>
      </c>
      <c r="BC444">
        <f ca="1">IF(AND($AT444&lt;3,OFFSET(DATA!$C$14,$AS444,0)=BC$6),$AV444,dNULL)</f>
        <v>-99</v>
      </c>
      <c r="BD444">
        <f ca="1">IF(AND($AT444&lt;3,OFFSET(DATA!$C$14,$AS444,0)=BD$6),$AV444,dNULL)</f>
        <v>-99</v>
      </c>
      <c r="BE444">
        <f ca="1">IF(AND($AT444&lt;3,OFFSET(DATA!$C$14,$AS444,0)=BE$6),$AV444,dNULL)</f>
        <v>-99</v>
      </c>
      <c r="BF444">
        <f ca="1">IF(AND($AT444&lt;3,OFFSET(DATA!$C$14,$AS444,0)=BF$6),$AV444,dNULL)</f>
        <v>-99</v>
      </c>
      <c r="BG444">
        <f ca="1">IF(AND($AT444&lt;3,OFFSET(DATA!$C$14,$AS444,0)=BG$6),$AV444,dNULL)</f>
        <v>-99</v>
      </c>
      <c r="BH444">
        <f ca="1">IF(AND($AT444&lt;3,OFFSET(DATA!$C$14,$AS444,0)=BH$6),$AV444,dNULL)</f>
        <v>-99</v>
      </c>
    </row>
    <row r="445" spans="45:60" x14ac:dyDescent="0.25">
      <c r="AS445">
        <f t="shared" si="112"/>
        <v>79</v>
      </c>
      <c r="AT445">
        <f t="shared" si="113"/>
        <v>4</v>
      </c>
      <c r="AU445">
        <f t="shared" ca="1" si="114"/>
        <v>-99</v>
      </c>
      <c r="AV445">
        <f t="shared" ca="1" si="115"/>
        <v>-99</v>
      </c>
      <c r="AW445">
        <f ca="1">IF(AND($AT445&lt;3,OFFSET(DATA!$C$14,$AS445,0)=AW$6),$AV445,dNULL)</f>
        <v>-99</v>
      </c>
      <c r="AX445">
        <f ca="1">IF(AND($AT445&lt;3,OFFSET(DATA!$C$14,$AS445,0)=AX$6),$AV445,dNULL)</f>
        <v>-99</v>
      </c>
      <c r="AY445">
        <f ca="1">IF(AND($AT445&lt;3,OFFSET(DATA!$C$14,$AS445,0)=AY$6),$AV445,dNULL)</f>
        <v>-99</v>
      </c>
      <c r="AZ445">
        <f ca="1">IF(AND($AT445&lt;3,OFFSET(DATA!$C$14,$AS445,0)=AZ$6),$AV445,dNULL)</f>
        <v>-99</v>
      </c>
      <c r="BA445">
        <f ca="1">IF(AND($AT445&lt;3,OFFSET(DATA!$C$14,$AS445,0)=BA$6),$AV445,dNULL)</f>
        <v>-99</v>
      </c>
      <c r="BB445">
        <f ca="1">IF(AND($AT445&lt;3,OFFSET(DATA!$C$14,$AS445,0)=BB$6),$AV445,dNULL)</f>
        <v>-99</v>
      </c>
      <c r="BC445">
        <f ca="1">IF(AND($AT445&lt;3,OFFSET(DATA!$C$14,$AS445,0)=BC$6),$AV445,dNULL)</f>
        <v>-99</v>
      </c>
      <c r="BD445">
        <f ca="1">IF(AND($AT445&lt;3,OFFSET(DATA!$C$14,$AS445,0)=BD$6),$AV445,dNULL)</f>
        <v>-99</v>
      </c>
      <c r="BE445">
        <f ca="1">IF(AND($AT445&lt;3,OFFSET(DATA!$C$14,$AS445,0)=BE$6),$AV445,dNULL)</f>
        <v>-99</v>
      </c>
      <c r="BF445">
        <f ca="1">IF(AND($AT445&lt;3,OFFSET(DATA!$C$14,$AS445,0)=BF$6),$AV445,dNULL)</f>
        <v>-99</v>
      </c>
      <c r="BG445">
        <f ca="1">IF(AND($AT445&lt;3,OFFSET(DATA!$C$14,$AS445,0)=BG$6),$AV445,dNULL)</f>
        <v>-99</v>
      </c>
      <c r="BH445">
        <f ca="1">IF(AND($AT445&lt;3,OFFSET(DATA!$C$14,$AS445,0)=BH$6),$AV445,dNULL)</f>
        <v>-99</v>
      </c>
    </row>
    <row r="446" spans="45:60" x14ac:dyDescent="0.25">
      <c r="AS446">
        <f t="shared" si="112"/>
        <v>80</v>
      </c>
      <c r="AT446">
        <f t="shared" si="113"/>
        <v>4</v>
      </c>
      <c r="AU446">
        <f t="shared" ca="1" si="114"/>
        <v>-99</v>
      </c>
      <c r="AV446">
        <f t="shared" ca="1" si="115"/>
        <v>-99</v>
      </c>
      <c r="AW446">
        <f ca="1">IF(AND($AT446&lt;3,OFFSET(DATA!$C$14,$AS446,0)=AW$6),$AV446,dNULL)</f>
        <v>-99</v>
      </c>
      <c r="AX446">
        <f ca="1">IF(AND($AT446&lt;3,OFFSET(DATA!$C$14,$AS446,0)=AX$6),$AV446,dNULL)</f>
        <v>-99</v>
      </c>
      <c r="AY446">
        <f ca="1">IF(AND($AT446&lt;3,OFFSET(DATA!$C$14,$AS446,0)=AY$6),$AV446,dNULL)</f>
        <v>-99</v>
      </c>
      <c r="AZ446">
        <f ca="1">IF(AND($AT446&lt;3,OFFSET(DATA!$C$14,$AS446,0)=AZ$6),$AV446,dNULL)</f>
        <v>-99</v>
      </c>
      <c r="BA446">
        <f ca="1">IF(AND($AT446&lt;3,OFFSET(DATA!$C$14,$AS446,0)=BA$6),$AV446,dNULL)</f>
        <v>-99</v>
      </c>
      <c r="BB446">
        <f ca="1">IF(AND($AT446&lt;3,OFFSET(DATA!$C$14,$AS446,0)=BB$6),$AV446,dNULL)</f>
        <v>-99</v>
      </c>
      <c r="BC446">
        <f ca="1">IF(AND($AT446&lt;3,OFFSET(DATA!$C$14,$AS446,0)=BC$6),$AV446,dNULL)</f>
        <v>-99</v>
      </c>
      <c r="BD446">
        <f ca="1">IF(AND($AT446&lt;3,OFFSET(DATA!$C$14,$AS446,0)=BD$6),$AV446,dNULL)</f>
        <v>-99</v>
      </c>
      <c r="BE446">
        <f ca="1">IF(AND($AT446&lt;3,OFFSET(DATA!$C$14,$AS446,0)=BE$6),$AV446,dNULL)</f>
        <v>-99</v>
      </c>
      <c r="BF446">
        <f ca="1">IF(AND($AT446&lt;3,OFFSET(DATA!$C$14,$AS446,0)=BF$6),$AV446,dNULL)</f>
        <v>-99</v>
      </c>
      <c r="BG446">
        <f ca="1">IF(AND($AT446&lt;3,OFFSET(DATA!$C$14,$AS446,0)=BG$6),$AV446,dNULL)</f>
        <v>-99</v>
      </c>
      <c r="BH446">
        <f ca="1">IF(AND($AT446&lt;3,OFFSET(DATA!$C$14,$AS446,0)=BH$6),$AV446,dNULL)</f>
        <v>-99</v>
      </c>
    </row>
    <row r="447" spans="45:60" x14ac:dyDescent="0.25">
      <c r="AS447">
        <f t="shared" si="112"/>
        <v>81</v>
      </c>
      <c r="AT447">
        <f t="shared" si="113"/>
        <v>4</v>
      </c>
      <c r="AU447">
        <f t="shared" ca="1" si="114"/>
        <v>-99</v>
      </c>
      <c r="AV447">
        <f t="shared" ca="1" si="115"/>
        <v>-99</v>
      </c>
      <c r="AW447">
        <f ca="1">IF(AND($AT447&lt;3,OFFSET(DATA!$C$14,$AS447,0)=AW$6),$AV447,dNULL)</f>
        <v>-99</v>
      </c>
      <c r="AX447">
        <f ca="1">IF(AND($AT447&lt;3,OFFSET(DATA!$C$14,$AS447,0)=AX$6),$AV447,dNULL)</f>
        <v>-99</v>
      </c>
      <c r="AY447">
        <f ca="1">IF(AND($AT447&lt;3,OFFSET(DATA!$C$14,$AS447,0)=AY$6),$AV447,dNULL)</f>
        <v>-99</v>
      </c>
      <c r="AZ447">
        <f ca="1">IF(AND($AT447&lt;3,OFFSET(DATA!$C$14,$AS447,0)=AZ$6),$AV447,dNULL)</f>
        <v>-99</v>
      </c>
      <c r="BA447">
        <f ca="1">IF(AND($AT447&lt;3,OFFSET(DATA!$C$14,$AS447,0)=BA$6),$AV447,dNULL)</f>
        <v>-99</v>
      </c>
      <c r="BB447">
        <f ca="1">IF(AND($AT447&lt;3,OFFSET(DATA!$C$14,$AS447,0)=BB$6),$AV447,dNULL)</f>
        <v>-99</v>
      </c>
      <c r="BC447">
        <f ca="1">IF(AND($AT447&lt;3,OFFSET(DATA!$C$14,$AS447,0)=BC$6),$AV447,dNULL)</f>
        <v>-99</v>
      </c>
      <c r="BD447">
        <f ca="1">IF(AND($AT447&lt;3,OFFSET(DATA!$C$14,$AS447,0)=BD$6),$AV447,dNULL)</f>
        <v>-99</v>
      </c>
      <c r="BE447">
        <f ca="1">IF(AND($AT447&lt;3,OFFSET(DATA!$C$14,$AS447,0)=BE$6),$AV447,dNULL)</f>
        <v>-99</v>
      </c>
      <c r="BF447">
        <f ca="1">IF(AND($AT447&lt;3,OFFSET(DATA!$C$14,$AS447,0)=BF$6),$AV447,dNULL)</f>
        <v>-99</v>
      </c>
      <c r="BG447">
        <f ca="1">IF(AND($AT447&lt;3,OFFSET(DATA!$C$14,$AS447,0)=BG$6),$AV447,dNULL)</f>
        <v>-99</v>
      </c>
      <c r="BH447">
        <f ca="1">IF(AND($AT447&lt;3,OFFSET(DATA!$C$14,$AS447,0)=BH$6),$AV447,dNULL)</f>
        <v>-99</v>
      </c>
    </row>
    <row r="448" spans="45:60" x14ac:dyDescent="0.25">
      <c r="AS448">
        <f t="shared" si="112"/>
        <v>82</v>
      </c>
      <c r="AT448">
        <f t="shared" si="113"/>
        <v>4</v>
      </c>
      <c r="AU448">
        <f t="shared" ca="1" si="114"/>
        <v>-99</v>
      </c>
      <c r="AV448">
        <f t="shared" ca="1" si="115"/>
        <v>-99</v>
      </c>
      <c r="AW448">
        <f ca="1">IF(AND($AT448&lt;3,OFFSET(DATA!$C$14,$AS448,0)=AW$6),$AV448,dNULL)</f>
        <v>-99</v>
      </c>
      <c r="AX448">
        <f ca="1">IF(AND($AT448&lt;3,OFFSET(DATA!$C$14,$AS448,0)=AX$6),$AV448,dNULL)</f>
        <v>-99</v>
      </c>
      <c r="AY448">
        <f ca="1">IF(AND($AT448&lt;3,OFFSET(DATA!$C$14,$AS448,0)=AY$6),$AV448,dNULL)</f>
        <v>-99</v>
      </c>
      <c r="AZ448">
        <f ca="1">IF(AND($AT448&lt;3,OFFSET(DATA!$C$14,$AS448,0)=AZ$6),$AV448,dNULL)</f>
        <v>-99</v>
      </c>
      <c r="BA448">
        <f ca="1">IF(AND($AT448&lt;3,OFFSET(DATA!$C$14,$AS448,0)=BA$6),$AV448,dNULL)</f>
        <v>-99</v>
      </c>
      <c r="BB448">
        <f ca="1">IF(AND($AT448&lt;3,OFFSET(DATA!$C$14,$AS448,0)=BB$6),$AV448,dNULL)</f>
        <v>-99</v>
      </c>
      <c r="BC448">
        <f ca="1">IF(AND($AT448&lt;3,OFFSET(DATA!$C$14,$AS448,0)=BC$6),$AV448,dNULL)</f>
        <v>-99</v>
      </c>
      <c r="BD448">
        <f ca="1">IF(AND($AT448&lt;3,OFFSET(DATA!$C$14,$AS448,0)=BD$6),$AV448,dNULL)</f>
        <v>-99</v>
      </c>
      <c r="BE448">
        <f ca="1">IF(AND($AT448&lt;3,OFFSET(DATA!$C$14,$AS448,0)=BE$6),$AV448,dNULL)</f>
        <v>-99</v>
      </c>
      <c r="BF448">
        <f ca="1">IF(AND($AT448&lt;3,OFFSET(DATA!$C$14,$AS448,0)=BF$6),$AV448,dNULL)</f>
        <v>-99</v>
      </c>
      <c r="BG448">
        <f ca="1">IF(AND($AT448&lt;3,OFFSET(DATA!$C$14,$AS448,0)=BG$6),$AV448,dNULL)</f>
        <v>-99</v>
      </c>
      <c r="BH448">
        <f ca="1">IF(AND($AT448&lt;3,OFFSET(DATA!$C$14,$AS448,0)=BH$6),$AV448,dNULL)</f>
        <v>-99</v>
      </c>
    </row>
    <row r="449" spans="45:60" x14ac:dyDescent="0.25">
      <c r="AS449">
        <f t="shared" si="112"/>
        <v>83</v>
      </c>
      <c r="AT449">
        <f t="shared" si="113"/>
        <v>4</v>
      </c>
      <c r="AU449">
        <f t="shared" ca="1" si="114"/>
        <v>-99</v>
      </c>
      <c r="AV449">
        <f t="shared" ca="1" si="115"/>
        <v>-99</v>
      </c>
      <c r="AW449">
        <f ca="1">IF(AND($AT449&lt;3,OFFSET(DATA!$C$14,$AS449,0)=AW$6),$AV449,dNULL)</f>
        <v>-99</v>
      </c>
      <c r="AX449">
        <f ca="1">IF(AND($AT449&lt;3,OFFSET(DATA!$C$14,$AS449,0)=AX$6),$AV449,dNULL)</f>
        <v>-99</v>
      </c>
      <c r="AY449">
        <f ca="1">IF(AND($AT449&lt;3,OFFSET(DATA!$C$14,$AS449,0)=AY$6),$AV449,dNULL)</f>
        <v>-99</v>
      </c>
      <c r="AZ449">
        <f ca="1">IF(AND($AT449&lt;3,OFFSET(DATA!$C$14,$AS449,0)=AZ$6),$AV449,dNULL)</f>
        <v>-99</v>
      </c>
      <c r="BA449">
        <f ca="1">IF(AND($AT449&lt;3,OFFSET(DATA!$C$14,$AS449,0)=BA$6),$AV449,dNULL)</f>
        <v>-99</v>
      </c>
      <c r="BB449">
        <f ca="1">IF(AND($AT449&lt;3,OFFSET(DATA!$C$14,$AS449,0)=BB$6),$AV449,dNULL)</f>
        <v>-99</v>
      </c>
      <c r="BC449">
        <f ca="1">IF(AND($AT449&lt;3,OFFSET(DATA!$C$14,$AS449,0)=BC$6),$AV449,dNULL)</f>
        <v>-99</v>
      </c>
      <c r="BD449">
        <f ca="1">IF(AND($AT449&lt;3,OFFSET(DATA!$C$14,$AS449,0)=BD$6),$AV449,dNULL)</f>
        <v>-99</v>
      </c>
      <c r="BE449">
        <f ca="1">IF(AND($AT449&lt;3,OFFSET(DATA!$C$14,$AS449,0)=BE$6),$AV449,dNULL)</f>
        <v>-99</v>
      </c>
      <c r="BF449">
        <f ca="1">IF(AND($AT449&lt;3,OFFSET(DATA!$C$14,$AS449,0)=BF$6),$AV449,dNULL)</f>
        <v>-99</v>
      </c>
      <c r="BG449">
        <f ca="1">IF(AND($AT449&lt;3,OFFSET(DATA!$C$14,$AS449,0)=BG$6),$AV449,dNULL)</f>
        <v>-99</v>
      </c>
      <c r="BH449">
        <f ca="1">IF(AND($AT449&lt;3,OFFSET(DATA!$C$14,$AS449,0)=BH$6),$AV449,dNULL)</f>
        <v>-99</v>
      </c>
    </row>
    <row r="450" spans="45:60" x14ac:dyDescent="0.25">
      <c r="AS450">
        <f t="shared" si="112"/>
        <v>84</v>
      </c>
      <c r="AT450">
        <f t="shared" si="113"/>
        <v>4</v>
      </c>
      <c r="AU450">
        <f t="shared" ca="1" si="114"/>
        <v>-99</v>
      </c>
      <c r="AV450">
        <f t="shared" ca="1" si="115"/>
        <v>-99</v>
      </c>
      <c r="AW450">
        <f ca="1">IF(AND($AT450&lt;3,OFFSET(DATA!$C$14,$AS450,0)=AW$6),$AV450,dNULL)</f>
        <v>-99</v>
      </c>
      <c r="AX450">
        <f ca="1">IF(AND($AT450&lt;3,OFFSET(DATA!$C$14,$AS450,0)=AX$6),$AV450,dNULL)</f>
        <v>-99</v>
      </c>
      <c r="AY450">
        <f ca="1">IF(AND($AT450&lt;3,OFFSET(DATA!$C$14,$AS450,0)=AY$6),$AV450,dNULL)</f>
        <v>-99</v>
      </c>
      <c r="AZ450">
        <f ca="1">IF(AND($AT450&lt;3,OFFSET(DATA!$C$14,$AS450,0)=AZ$6),$AV450,dNULL)</f>
        <v>-99</v>
      </c>
      <c r="BA450">
        <f ca="1">IF(AND($AT450&lt;3,OFFSET(DATA!$C$14,$AS450,0)=BA$6),$AV450,dNULL)</f>
        <v>-99</v>
      </c>
      <c r="BB450">
        <f ca="1">IF(AND($AT450&lt;3,OFFSET(DATA!$C$14,$AS450,0)=BB$6),$AV450,dNULL)</f>
        <v>-99</v>
      </c>
      <c r="BC450">
        <f ca="1">IF(AND($AT450&lt;3,OFFSET(DATA!$C$14,$AS450,0)=BC$6),$AV450,dNULL)</f>
        <v>-99</v>
      </c>
      <c r="BD450">
        <f ca="1">IF(AND($AT450&lt;3,OFFSET(DATA!$C$14,$AS450,0)=BD$6),$AV450,dNULL)</f>
        <v>-99</v>
      </c>
      <c r="BE450">
        <f ca="1">IF(AND($AT450&lt;3,OFFSET(DATA!$C$14,$AS450,0)=BE$6),$AV450,dNULL)</f>
        <v>-99</v>
      </c>
      <c r="BF450">
        <f ca="1">IF(AND($AT450&lt;3,OFFSET(DATA!$C$14,$AS450,0)=BF$6),$AV450,dNULL)</f>
        <v>-99</v>
      </c>
      <c r="BG450">
        <f ca="1">IF(AND($AT450&lt;3,OFFSET(DATA!$C$14,$AS450,0)=BG$6),$AV450,dNULL)</f>
        <v>-99</v>
      </c>
      <c r="BH450">
        <f ca="1">IF(AND($AT450&lt;3,OFFSET(DATA!$C$14,$AS450,0)=BH$6),$AV450,dNULL)</f>
        <v>-99</v>
      </c>
    </row>
    <row r="451" spans="45:60" x14ac:dyDescent="0.25">
      <c r="AS451">
        <f t="shared" si="112"/>
        <v>85</v>
      </c>
      <c r="AT451">
        <f t="shared" si="113"/>
        <v>4</v>
      </c>
      <c r="AU451">
        <f t="shared" ca="1" si="114"/>
        <v>-99</v>
      </c>
      <c r="AV451">
        <f t="shared" ca="1" si="115"/>
        <v>-99</v>
      </c>
      <c r="AW451">
        <f ca="1">IF(AND($AT451&lt;3,OFFSET(DATA!$C$14,$AS451,0)=AW$6),$AV451,dNULL)</f>
        <v>-99</v>
      </c>
      <c r="AX451">
        <f ca="1">IF(AND($AT451&lt;3,OFFSET(DATA!$C$14,$AS451,0)=AX$6),$AV451,dNULL)</f>
        <v>-99</v>
      </c>
      <c r="AY451">
        <f ca="1">IF(AND($AT451&lt;3,OFFSET(DATA!$C$14,$AS451,0)=AY$6),$AV451,dNULL)</f>
        <v>-99</v>
      </c>
      <c r="AZ451">
        <f ca="1">IF(AND($AT451&lt;3,OFFSET(DATA!$C$14,$AS451,0)=AZ$6),$AV451,dNULL)</f>
        <v>-99</v>
      </c>
      <c r="BA451">
        <f ca="1">IF(AND($AT451&lt;3,OFFSET(DATA!$C$14,$AS451,0)=BA$6),$AV451,dNULL)</f>
        <v>-99</v>
      </c>
      <c r="BB451">
        <f ca="1">IF(AND($AT451&lt;3,OFFSET(DATA!$C$14,$AS451,0)=BB$6),$AV451,dNULL)</f>
        <v>-99</v>
      </c>
      <c r="BC451">
        <f ca="1">IF(AND($AT451&lt;3,OFFSET(DATA!$C$14,$AS451,0)=BC$6),$AV451,dNULL)</f>
        <v>-99</v>
      </c>
      <c r="BD451">
        <f ca="1">IF(AND($AT451&lt;3,OFFSET(DATA!$C$14,$AS451,0)=BD$6),$AV451,dNULL)</f>
        <v>-99</v>
      </c>
      <c r="BE451">
        <f ca="1">IF(AND($AT451&lt;3,OFFSET(DATA!$C$14,$AS451,0)=BE$6),$AV451,dNULL)</f>
        <v>-99</v>
      </c>
      <c r="BF451">
        <f ca="1">IF(AND($AT451&lt;3,OFFSET(DATA!$C$14,$AS451,0)=BF$6),$AV451,dNULL)</f>
        <v>-99</v>
      </c>
      <c r="BG451">
        <f ca="1">IF(AND($AT451&lt;3,OFFSET(DATA!$C$14,$AS451,0)=BG$6),$AV451,dNULL)</f>
        <v>-99</v>
      </c>
      <c r="BH451">
        <f ca="1">IF(AND($AT451&lt;3,OFFSET(DATA!$C$14,$AS451,0)=BH$6),$AV451,dNULL)</f>
        <v>-99</v>
      </c>
    </row>
    <row r="452" spans="45:60" x14ac:dyDescent="0.25">
      <c r="AS452">
        <f t="shared" si="112"/>
        <v>86</v>
      </c>
      <c r="AT452">
        <f t="shared" si="113"/>
        <v>4</v>
      </c>
      <c r="AU452">
        <f t="shared" ca="1" si="114"/>
        <v>-99</v>
      </c>
      <c r="AV452">
        <f t="shared" ca="1" si="115"/>
        <v>-99</v>
      </c>
      <c r="AW452">
        <f ca="1">IF(AND($AT452&lt;3,OFFSET(DATA!$C$14,$AS452,0)=AW$6),$AV452,dNULL)</f>
        <v>-99</v>
      </c>
      <c r="AX452">
        <f ca="1">IF(AND($AT452&lt;3,OFFSET(DATA!$C$14,$AS452,0)=AX$6),$AV452,dNULL)</f>
        <v>-99</v>
      </c>
      <c r="AY452">
        <f ca="1">IF(AND($AT452&lt;3,OFFSET(DATA!$C$14,$AS452,0)=AY$6),$AV452,dNULL)</f>
        <v>-99</v>
      </c>
      <c r="AZ452">
        <f ca="1">IF(AND($AT452&lt;3,OFFSET(DATA!$C$14,$AS452,0)=AZ$6),$AV452,dNULL)</f>
        <v>-99</v>
      </c>
      <c r="BA452">
        <f ca="1">IF(AND($AT452&lt;3,OFFSET(DATA!$C$14,$AS452,0)=BA$6),$AV452,dNULL)</f>
        <v>-99</v>
      </c>
      <c r="BB452">
        <f ca="1">IF(AND($AT452&lt;3,OFFSET(DATA!$C$14,$AS452,0)=BB$6),$AV452,dNULL)</f>
        <v>-99</v>
      </c>
      <c r="BC452">
        <f ca="1">IF(AND($AT452&lt;3,OFFSET(DATA!$C$14,$AS452,0)=BC$6),$AV452,dNULL)</f>
        <v>-99</v>
      </c>
      <c r="BD452">
        <f ca="1">IF(AND($AT452&lt;3,OFFSET(DATA!$C$14,$AS452,0)=BD$6),$AV452,dNULL)</f>
        <v>-99</v>
      </c>
      <c r="BE452">
        <f ca="1">IF(AND($AT452&lt;3,OFFSET(DATA!$C$14,$AS452,0)=BE$6),$AV452,dNULL)</f>
        <v>-99</v>
      </c>
      <c r="BF452">
        <f ca="1">IF(AND($AT452&lt;3,OFFSET(DATA!$C$14,$AS452,0)=BF$6),$AV452,dNULL)</f>
        <v>-99</v>
      </c>
      <c r="BG452">
        <f ca="1">IF(AND($AT452&lt;3,OFFSET(DATA!$C$14,$AS452,0)=BG$6),$AV452,dNULL)</f>
        <v>-99</v>
      </c>
      <c r="BH452">
        <f ca="1">IF(AND($AT452&lt;3,OFFSET(DATA!$C$14,$AS452,0)=BH$6),$AV452,dNULL)</f>
        <v>-99</v>
      </c>
    </row>
    <row r="453" spans="45:60" x14ac:dyDescent="0.25">
      <c r="AS453">
        <f t="shared" si="112"/>
        <v>87</v>
      </c>
      <c r="AT453">
        <f t="shared" si="113"/>
        <v>4</v>
      </c>
      <c r="AU453">
        <f t="shared" ca="1" si="114"/>
        <v>-99</v>
      </c>
      <c r="AV453">
        <f t="shared" ca="1" si="115"/>
        <v>-99</v>
      </c>
      <c r="AW453">
        <f ca="1">IF(AND($AT453&lt;3,OFFSET(DATA!$C$14,$AS453,0)=AW$6),$AV453,dNULL)</f>
        <v>-99</v>
      </c>
      <c r="AX453">
        <f ca="1">IF(AND($AT453&lt;3,OFFSET(DATA!$C$14,$AS453,0)=AX$6),$AV453,dNULL)</f>
        <v>-99</v>
      </c>
      <c r="AY453">
        <f ca="1">IF(AND($AT453&lt;3,OFFSET(DATA!$C$14,$AS453,0)=AY$6),$AV453,dNULL)</f>
        <v>-99</v>
      </c>
      <c r="AZ453">
        <f ca="1">IF(AND($AT453&lt;3,OFFSET(DATA!$C$14,$AS453,0)=AZ$6),$AV453,dNULL)</f>
        <v>-99</v>
      </c>
      <c r="BA453">
        <f ca="1">IF(AND($AT453&lt;3,OFFSET(DATA!$C$14,$AS453,0)=BA$6),$AV453,dNULL)</f>
        <v>-99</v>
      </c>
      <c r="BB453">
        <f ca="1">IF(AND($AT453&lt;3,OFFSET(DATA!$C$14,$AS453,0)=BB$6),$AV453,dNULL)</f>
        <v>-99</v>
      </c>
      <c r="BC453">
        <f ca="1">IF(AND($AT453&lt;3,OFFSET(DATA!$C$14,$AS453,0)=BC$6),$AV453,dNULL)</f>
        <v>-99</v>
      </c>
      <c r="BD453">
        <f ca="1">IF(AND($AT453&lt;3,OFFSET(DATA!$C$14,$AS453,0)=BD$6),$AV453,dNULL)</f>
        <v>-99</v>
      </c>
      <c r="BE453">
        <f ca="1">IF(AND($AT453&lt;3,OFFSET(DATA!$C$14,$AS453,0)=BE$6),$AV453,dNULL)</f>
        <v>-99</v>
      </c>
      <c r="BF453">
        <f ca="1">IF(AND($AT453&lt;3,OFFSET(DATA!$C$14,$AS453,0)=BF$6),$AV453,dNULL)</f>
        <v>-99</v>
      </c>
      <c r="BG453">
        <f ca="1">IF(AND($AT453&lt;3,OFFSET(DATA!$C$14,$AS453,0)=BG$6),$AV453,dNULL)</f>
        <v>-99</v>
      </c>
      <c r="BH453">
        <f ca="1">IF(AND($AT453&lt;3,OFFSET(DATA!$C$14,$AS453,0)=BH$6),$AV453,dNULL)</f>
        <v>-99</v>
      </c>
    </row>
    <row r="454" spans="45:60" x14ac:dyDescent="0.25">
      <c r="AS454">
        <f t="shared" si="112"/>
        <v>88</v>
      </c>
      <c r="AT454">
        <f t="shared" si="113"/>
        <v>4</v>
      </c>
      <c r="AU454">
        <f t="shared" ca="1" si="114"/>
        <v>-99</v>
      </c>
      <c r="AV454">
        <f t="shared" ca="1" si="115"/>
        <v>-99</v>
      </c>
      <c r="AW454">
        <f ca="1">IF(AND($AT454&lt;3,OFFSET(DATA!$C$14,$AS454,0)=AW$6),$AV454,dNULL)</f>
        <v>-99</v>
      </c>
      <c r="AX454">
        <f ca="1">IF(AND($AT454&lt;3,OFFSET(DATA!$C$14,$AS454,0)=AX$6),$AV454,dNULL)</f>
        <v>-99</v>
      </c>
      <c r="AY454">
        <f ca="1">IF(AND($AT454&lt;3,OFFSET(DATA!$C$14,$AS454,0)=AY$6),$AV454,dNULL)</f>
        <v>-99</v>
      </c>
      <c r="AZ454">
        <f ca="1">IF(AND($AT454&lt;3,OFFSET(DATA!$C$14,$AS454,0)=AZ$6),$AV454,dNULL)</f>
        <v>-99</v>
      </c>
      <c r="BA454">
        <f ca="1">IF(AND($AT454&lt;3,OFFSET(DATA!$C$14,$AS454,0)=BA$6),$AV454,dNULL)</f>
        <v>-99</v>
      </c>
      <c r="BB454">
        <f ca="1">IF(AND($AT454&lt;3,OFFSET(DATA!$C$14,$AS454,0)=BB$6),$AV454,dNULL)</f>
        <v>-99</v>
      </c>
      <c r="BC454">
        <f ca="1">IF(AND($AT454&lt;3,OFFSET(DATA!$C$14,$AS454,0)=BC$6),$AV454,dNULL)</f>
        <v>-99</v>
      </c>
      <c r="BD454">
        <f ca="1">IF(AND($AT454&lt;3,OFFSET(DATA!$C$14,$AS454,0)=BD$6),$AV454,dNULL)</f>
        <v>-99</v>
      </c>
      <c r="BE454">
        <f ca="1">IF(AND($AT454&lt;3,OFFSET(DATA!$C$14,$AS454,0)=BE$6),$AV454,dNULL)</f>
        <v>-99</v>
      </c>
      <c r="BF454">
        <f ca="1">IF(AND($AT454&lt;3,OFFSET(DATA!$C$14,$AS454,0)=BF$6),$AV454,dNULL)</f>
        <v>-99</v>
      </c>
      <c r="BG454">
        <f ca="1">IF(AND($AT454&lt;3,OFFSET(DATA!$C$14,$AS454,0)=BG$6),$AV454,dNULL)</f>
        <v>-99</v>
      </c>
      <c r="BH454">
        <f ca="1">IF(AND($AT454&lt;3,OFFSET(DATA!$C$14,$AS454,0)=BH$6),$AV454,dNULL)</f>
        <v>-99</v>
      </c>
    </row>
    <row r="455" spans="45:60" x14ac:dyDescent="0.25">
      <c r="AS455">
        <f t="shared" ref="AS455:AS518" si="116">MOD(ROW(AT455)-ROW($AT$7),lCNTsites)+1</f>
        <v>89</v>
      </c>
      <c r="AT455">
        <f t="shared" ref="AT455:AT518" si="117">INT((ROW(AT455)-ROW($AT$7))/lCNTsites)</f>
        <v>4</v>
      </c>
      <c r="AU455">
        <f t="shared" ref="AU455:AU518" ca="1" si="118">IF($AT455=0,(1-OFFSET($AL$6,$AS455,$AT455*2))-OFFSET($AL$6,$AS455,$AT455*2+1)*$K$8,IF($AT455=1,dAnionOFF+1+OFFSET($AL$6,$AS455,$AT455*2)+OFFSET($AL$6,$AS455,$AT455*2+1)/2,IF($AT455=2,$K$17-(1-OFFSET($AL$6,$AS455,$AT455*2))*0.5+(1-OFFSET($AL$6,$AS455,$AT455*2+1))*0.5,dNULL)))</f>
        <v>-99</v>
      </c>
      <c r="AV455">
        <f t="shared" ref="AV455:AV518" ca="1" si="119">IF($AT455=0,OFFSET($AL$6,$AS455,$AT455*2+1)*$L$8,IF($AT455=1,OFFSET($AL$6,$AS455,$AT455*2+1)*3^0.5/2,IF($AT455=2,$L$17+(2-OFFSET($AL$6,$AS455,$AT455*2)-OFFSET($AL$6,$AS455,$AT455*2+1))*$L$8,dNULL)))</f>
        <v>-99</v>
      </c>
      <c r="AW455">
        <f ca="1">IF(AND($AT455&lt;3,OFFSET(DATA!$C$14,$AS455,0)=AW$6),$AV455,dNULL)</f>
        <v>-99</v>
      </c>
      <c r="AX455">
        <f ca="1">IF(AND($AT455&lt;3,OFFSET(DATA!$C$14,$AS455,0)=AX$6),$AV455,dNULL)</f>
        <v>-99</v>
      </c>
      <c r="AY455">
        <f ca="1">IF(AND($AT455&lt;3,OFFSET(DATA!$C$14,$AS455,0)=AY$6),$AV455,dNULL)</f>
        <v>-99</v>
      </c>
      <c r="AZ455">
        <f ca="1">IF(AND($AT455&lt;3,OFFSET(DATA!$C$14,$AS455,0)=AZ$6),$AV455,dNULL)</f>
        <v>-99</v>
      </c>
      <c r="BA455">
        <f ca="1">IF(AND($AT455&lt;3,OFFSET(DATA!$C$14,$AS455,0)=BA$6),$AV455,dNULL)</f>
        <v>-99</v>
      </c>
      <c r="BB455">
        <f ca="1">IF(AND($AT455&lt;3,OFFSET(DATA!$C$14,$AS455,0)=BB$6),$AV455,dNULL)</f>
        <v>-99</v>
      </c>
      <c r="BC455">
        <f ca="1">IF(AND($AT455&lt;3,OFFSET(DATA!$C$14,$AS455,0)=BC$6),$AV455,dNULL)</f>
        <v>-99</v>
      </c>
      <c r="BD455">
        <f ca="1">IF(AND($AT455&lt;3,OFFSET(DATA!$C$14,$AS455,0)=BD$6),$AV455,dNULL)</f>
        <v>-99</v>
      </c>
      <c r="BE455">
        <f ca="1">IF(AND($AT455&lt;3,OFFSET(DATA!$C$14,$AS455,0)=BE$6),$AV455,dNULL)</f>
        <v>-99</v>
      </c>
      <c r="BF455">
        <f ca="1">IF(AND($AT455&lt;3,OFFSET(DATA!$C$14,$AS455,0)=BF$6),$AV455,dNULL)</f>
        <v>-99</v>
      </c>
      <c r="BG455">
        <f ca="1">IF(AND($AT455&lt;3,OFFSET(DATA!$C$14,$AS455,0)=BG$6),$AV455,dNULL)</f>
        <v>-99</v>
      </c>
      <c r="BH455">
        <f ca="1">IF(AND($AT455&lt;3,OFFSET(DATA!$C$14,$AS455,0)=BH$6),$AV455,dNULL)</f>
        <v>-99</v>
      </c>
    </row>
    <row r="456" spans="45:60" x14ac:dyDescent="0.25">
      <c r="AS456">
        <f t="shared" si="116"/>
        <v>90</v>
      </c>
      <c r="AT456">
        <f t="shared" si="117"/>
        <v>4</v>
      </c>
      <c r="AU456">
        <f t="shared" ca="1" si="118"/>
        <v>-99</v>
      </c>
      <c r="AV456">
        <f t="shared" ca="1" si="119"/>
        <v>-99</v>
      </c>
      <c r="AW456">
        <f ca="1">IF(AND($AT456&lt;3,OFFSET(DATA!$C$14,$AS456,0)=AW$6),$AV456,dNULL)</f>
        <v>-99</v>
      </c>
      <c r="AX456">
        <f ca="1">IF(AND($AT456&lt;3,OFFSET(DATA!$C$14,$AS456,0)=AX$6),$AV456,dNULL)</f>
        <v>-99</v>
      </c>
      <c r="AY456">
        <f ca="1">IF(AND($AT456&lt;3,OFFSET(DATA!$C$14,$AS456,0)=AY$6),$AV456,dNULL)</f>
        <v>-99</v>
      </c>
      <c r="AZ456">
        <f ca="1">IF(AND($AT456&lt;3,OFFSET(DATA!$C$14,$AS456,0)=AZ$6),$AV456,dNULL)</f>
        <v>-99</v>
      </c>
      <c r="BA456">
        <f ca="1">IF(AND($AT456&lt;3,OFFSET(DATA!$C$14,$AS456,0)=BA$6),$AV456,dNULL)</f>
        <v>-99</v>
      </c>
      <c r="BB456">
        <f ca="1">IF(AND($AT456&lt;3,OFFSET(DATA!$C$14,$AS456,0)=BB$6),$AV456,dNULL)</f>
        <v>-99</v>
      </c>
      <c r="BC456">
        <f ca="1">IF(AND($AT456&lt;3,OFFSET(DATA!$C$14,$AS456,0)=BC$6),$AV456,dNULL)</f>
        <v>-99</v>
      </c>
      <c r="BD456">
        <f ca="1">IF(AND($AT456&lt;3,OFFSET(DATA!$C$14,$AS456,0)=BD$6),$AV456,dNULL)</f>
        <v>-99</v>
      </c>
      <c r="BE456">
        <f ca="1">IF(AND($AT456&lt;3,OFFSET(DATA!$C$14,$AS456,0)=BE$6),$AV456,dNULL)</f>
        <v>-99</v>
      </c>
      <c r="BF456">
        <f ca="1">IF(AND($AT456&lt;3,OFFSET(DATA!$C$14,$AS456,0)=BF$6),$AV456,dNULL)</f>
        <v>-99</v>
      </c>
      <c r="BG456">
        <f ca="1">IF(AND($AT456&lt;3,OFFSET(DATA!$C$14,$AS456,0)=BG$6),$AV456,dNULL)</f>
        <v>-99</v>
      </c>
      <c r="BH456">
        <f ca="1">IF(AND($AT456&lt;3,OFFSET(DATA!$C$14,$AS456,0)=BH$6),$AV456,dNULL)</f>
        <v>-99</v>
      </c>
    </row>
    <row r="457" spans="45:60" x14ac:dyDescent="0.25">
      <c r="AS457">
        <f t="shared" si="116"/>
        <v>1</v>
      </c>
      <c r="AT457">
        <f t="shared" si="117"/>
        <v>5</v>
      </c>
      <c r="AU457">
        <f t="shared" ca="1" si="118"/>
        <v>-99</v>
      </c>
      <c r="AV457">
        <f t="shared" ca="1" si="119"/>
        <v>-99</v>
      </c>
      <c r="AW457">
        <f ca="1">IF(AND($AT457&lt;3,OFFSET(DATA!$C$14,$AS457,0)=AW$6),$AV457,dNULL)</f>
        <v>-99</v>
      </c>
      <c r="AX457">
        <f ca="1">IF(AND($AT457&lt;3,OFFSET(DATA!$C$14,$AS457,0)=AX$6),$AV457,dNULL)</f>
        <v>-99</v>
      </c>
      <c r="AY457">
        <f ca="1">IF(AND($AT457&lt;3,OFFSET(DATA!$C$14,$AS457,0)=AY$6),$AV457,dNULL)</f>
        <v>-99</v>
      </c>
      <c r="AZ457">
        <f ca="1">IF(AND($AT457&lt;3,OFFSET(DATA!$C$14,$AS457,0)=AZ$6),$AV457,dNULL)</f>
        <v>-99</v>
      </c>
      <c r="BA457">
        <f ca="1">IF(AND($AT457&lt;3,OFFSET(DATA!$C$14,$AS457,0)=BA$6),$AV457,dNULL)</f>
        <v>-99</v>
      </c>
      <c r="BB457">
        <f ca="1">IF(AND($AT457&lt;3,OFFSET(DATA!$C$14,$AS457,0)=BB$6),$AV457,dNULL)</f>
        <v>-99</v>
      </c>
      <c r="BC457">
        <f ca="1">IF(AND($AT457&lt;3,OFFSET(DATA!$C$14,$AS457,0)=BC$6),$AV457,dNULL)</f>
        <v>-99</v>
      </c>
      <c r="BD457">
        <f ca="1">IF(AND($AT457&lt;3,OFFSET(DATA!$C$14,$AS457,0)=BD$6),$AV457,dNULL)</f>
        <v>-99</v>
      </c>
      <c r="BE457">
        <f ca="1">IF(AND($AT457&lt;3,OFFSET(DATA!$C$14,$AS457,0)=BE$6),$AV457,dNULL)</f>
        <v>-99</v>
      </c>
      <c r="BF457">
        <f ca="1">IF(AND($AT457&lt;3,OFFSET(DATA!$C$14,$AS457,0)=BF$6),$AV457,dNULL)</f>
        <v>-99</v>
      </c>
      <c r="BG457">
        <f ca="1">IF(AND($AT457&lt;3,OFFSET(DATA!$C$14,$AS457,0)=BG$6),$AV457,dNULL)</f>
        <v>-99</v>
      </c>
      <c r="BH457">
        <f ca="1">IF(AND($AT457&lt;3,OFFSET(DATA!$C$14,$AS457,0)=BH$6),$AV457,dNULL)</f>
        <v>-99</v>
      </c>
    </row>
    <row r="458" spans="45:60" x14ac:dyDescent="0.25">
      <c r="AS458">
        <f t="shared" si="116"/>
        <v>2</v>
      </c>
      <c r="AT458">
        <f t="shared" si="117"/>
        <v>5</v>
      </c>
      <c r="AU458">
        <f t="shared" ca="1" si="118"/>
        <v>-99</v>
      </c>
      <c r="AV458">
        <f t="shared" ca="1" si="119"/>
        <v>-99</v>
      </c>
      <c r="AW458">
        <f ca="1">IF(AND($AT458&lt;3,OFFSET(DATA!$C$14,$AS458,0)=AW$6),$AV458,dNULL)</f>
        <v>-99</v>
      </c>
      <c r="AX458">
        <f ca="1">IF(AND($AT458&lt;3,OFFSET(DATA!$C$14,$AS458,0)=AX$6),$AV458,dNULL)</f>
        <v>-99</v>
      </c>
      <c r="AY458">
        <f ca="1">IF(AND($AT458&lt;3,OFFSET(DATA!$C$14,$AS458,0)=AY$6),$AV458,dNULL)</f>
        <v>-99</v>
      </c>
      <c r="AZ458">
        <f ca="1">IF(AND($AT458&lt;3,OFFSET(DATA!$C$14,$AS458,0)=AZ$6),$AV458,dNULL)</f>
        <v>-99</v>
      </c>
      <c r="BA458">
        <f ca="1">IF(AND($AT458&lt;3,OFFSET(DATA!$C$14,$AS458,0)=BA$6),$AV458,dNULL)</f>
        <v>-99</v>
      </c>
      <c r="BB458">
        <f ca="1">IF(AND($AT458&lt;3,OFFSET(DATA!$C$14,$AS458,0)=BB$6),$AV458,dNULL)</f>
        <v>-99</v>
      </c>
      <c r="BC458">
        <f ca="1">IF(AND($AT458&lt;3,OFFSET(DATA!$C$14,$AS458,0)=BC$6),$AV458,dNULL)</f>
        <v>-99</v>
      </c>
      <c r="BD458">
        <f ca="1">IF(AND($AT458&lt;3,OFFSET(DATA!$C$14,$AS458,0)=BD$6),$AV458,dNULL)</f>
        <v>-99</v>
      </c>
      <c r="BE458">
        <f ca="1">IF(AND($AT458&lt;3,OFFSET(DATA!$C$14,$AS458,0)=BE$6),$AV458,dNULL)</f>
        <v>-99</v>
      </c>
      <c r="BF458">
        <f ca="1">IF(AND($AT458&lt;3,OFFSET(DATA!$C$14,$AS458,0)=BF$6),$AV458,dNULL)</f>
        <v>-99</v>
      </c>
      <c r="BG458">
        <f ca="1">IF(AND($AT458&lt;3,OFFSET(DATA!$C$14,$AS458,0)=BG$6),$AV458,dNULL)</f>
        <v>-99</v>
      </c>
      <c r="BH458">
        <f ca="1">IF(AND($AT458&lt;3,OFFSET(DATA!$C$14,$AS458,0)=BH$6),$AV458,dNULL)</f>
        <v>-99</v>
      </c>
    </row>
    <row r="459" spans="45:60" x14ac:dyDescent="0.25">
      <c r="AS459">
        <f t="shared" si="116"/>
        <v>3</v>
      </c>
      <c r="AT459">
        <f t="shared" si="117"/>
        <v>5</v>
      </c>
      <c r="AU459">
        <f t="shared" ca="1" si="118"/>
        <v>-99</v>
      </c>
      <c r="AV459">
        <f t="shared" ca="1" si="119"/>
        <v>-99</v>
      </c>
      <c r="AW459">
        <f ca="1">IF(AND($AT459&lt;3,OFFSET(DATA!$C$14,$AS459,0)=AW$6),$AV459,dNULL)</f>
        <v>-99</v>
      </c>
      <c r="AX459">
        <f ca="1">IF(AND($AT459&lt;3,OFFSET(DATA!$C$14,$AS459,0)=AX$6),$AV459,dNULL)</f>
        <v>-99</v>
      </c>
      <c r="AY459">
        <f ca="1">IF(AND($AT459&lt;3,OFFSET(DATA!$C$14,$AS459,0)=AY$6),$AV459,dNULL)</f>
        <v>-99</v>
      </c>
      <c r="AZ459">
        <f ca="1">IF(AND($AT459&lt;3,OFFSET(DATA!$C$14,$AS459,0)=AZ$6),$AV459,dNULL)</f>
        <v>-99</v>
      </c>
      <c r="BA459">
        <f ca="1">IF(AND($AT459&lt;3,OFFSET(DATA!$C$14,$AS459,0)=BA$6),$AV459,dNULL)</f>
        <v>-99</v>
      </c>
      <c r="BB459">
        <f ca="1">IF(AND($AT459&lt;3,OFFSET(DATA!$C$14,$AS459,0)=BB$6),$AV459,dNULL)</f>
        <v>-99</v>
      </c>
      <c r="BC459">
        <f ca="1">IF(AND($AT459&lt;3,OFFSET(DATA!$C$14,$AS459,0)=BC$6),$AV459,dNULL)</f>
        <v>-99</v>
      </c>
      <c r="BD459">
        <f ca="1">IF(AND($AT459&lt;3,OFFSET(DATA!$C$14,$AS459,0)=BD$6),$AV459,dNULL)</f>
        <v>-99</v>
      </c>
      <c r="BE459">
        <f ca="1">IF(AND($AT459&lt;3,OFFSET(DATA!$C$14,$AS459,0)=BE$6),$AV459,dNULL)</f>
        <v>-99</v>
      </c>
      <c r="BF459">
        <f ca="1">IF(AND($AT459&lt;3,OFFSET(DATA!$C$14,$AS459,0)=BF$6),$AV459,dNULL)</f>
        <v>-99</v>
      </c>
      <c r="BG459">
        <f ca="1">IF(AND($AT459&lt;3,OFFSET(DATA!$C$14,$AS459,0)=BG$6),$AV459,dNULL)</f>
        <v>-99</v>
      </c>
      <c r="BH459">
        <f ca="1">IF(AND($AT459&lt;3,OFFSET(DATA!$C$14,$AS459,0)=BH$6),$AV459,dNULL)</f>
        <v>-99</v>
      </c>
    </row>
    <row r="460" spans="45:60" x14ac:dyDescent="0.25">
      <c r="AS460">
        <f t="shared" si="116"/>
        <v>4</v>
      </c>
      <c r="AT460">
        <f t="shared" si="117"/>
        <v>5</v>
      </c>
      <c r="AU460">
        <f t="shared" ca="1" si="118"/>
        <v>-99</v>
      </c>
      <c r="AV460">
        <f t="shared" ca="1" si="119"/>
        <v>-99</v>
      </c>
      <c r="AW460">
        <f ca="1">IF(AND($AT460&lt;3,OFFSET(DATA!$C$14,$AS460,0)=AW$6),$AV460,dNULL)</f>
        <v>-99</v>
      </c>
      <c r="AX460">
        <f ca="1">IF(AND($AT460&lt;3,OFFSET(DATA!$C$14,$AS460,0)=AX$6),$AV460,dNULL)</f>
        <v>-99</v>
      </c>
      <c r="AY460">
        <f ca="1">IF(AND($AT460&lt;3,OFFSET(DATA!$C$14,$AS460,0)=AY$6),$AV460,dNULL)</f>
        <v>-99</v>
      </c>
      <c r="AZ460">
        <f ca="1">IF(AND($AT460&lt;3,OFFSET(DATA!$C$14,$AS460,0)=AZ$6),$AV460,dNULL)</f>
        <v>-99</v>
      </c>
      <c r="BA460">
        <f ca="1">IF(AND($AT460&lt;3,OFFSET(DATA!$C$14,$AS460,0)=BA$6),$AV460,dNULL)</f>
        <v>-99</v>
      </c>
      <c r="BB460">
        <f ca="1">IF(AND($AT460&lt;3,OFFSET(DATA!$C$14,$AS460,0)=BB$6),$AV460,dNULL)</f>
        <v>-99</v>
      </c>
      <c r="BC460">
        <f ca="1">IF(AND($AT460&lt;3,OFFSET(DATA!$C$14,$AS460,0)=BC$6),$AV460,dNULL)</f>
        <v>-99</v>
      </c>
      <c r="BD460">
        <f ca="1">IF(AND($AT460&lt;3,OFFSET(DATA!$C$14,$AS460,0)=BD$6),$AV460,dNULL)</f>
        <v>-99</v>
      </c>
      <c r="BE460">
        <f ca="1">IF(AND($AT460&lt;3,OFFSET(DATA!$C$14,$AS460,0)=BE$6),$AV460,dNULL)</f>
        <v>-99</v>
      </c>
      <c r="BF460">
        <f ca="1">IF(AND($AT460&lt;3,OFFSET(DATA!$C$14,$AS460,0)=BF$6),$AV460,dNULL)</f>
        <v>-99</v>
      </c>
      <c r="BG460">
        <f ca="1">IF(AND($AT460&lt;3,OFFSET(DATA!$C$14,$AS460,0)=BG$6),$AV460,dNULL)</f>
        <v>-99</v>
      </c>
      <c r="BH460">
        <f ca="1">IF(AND($AT460&lt;3,OFFSET(DATA!$C$14,$AS460,0)=BH$6),$AV460,dNULL)</f>
        <v>-99</v>
      </c>
    </row>
    <row r="461" spans="45:60" x14ac:dyDescent="0.25">
      <c r="AS461">
        <f t="shared" si="116"/>
        <v>5</v>
      </c>
      <c r="AT461">
        <f t="shared" si="117"/>
        <v>5</v>
      </c>
      <c r="AU461">
        <f t="shared" ca="1" si="118"/>
        <v>-99</v>
      </c>
      <c r="AV461">
        <f t="shared" ca="1" si="119"/>
        <v>-99</v>
      </c>
      <c r="AW461">
        <f ca="1">IF(AND($AT461&lt;3,OFFSET(DATA!$C$14,$AS461,0)=AW$6),$AV461,dNULL)</f>
        <v>-99</v>
      </c>
      <c r="AX461">
        <f ca="1">IF(AND($AT461&lt;3,OFFSET(DATA!$C$14,$AS461,0)=AX$6),$AV461,dNULL)</f>
        <v>-99</v>
      </c>
      <c r="AY461">
        <f ca="1">IF(AND($AT461&lt;3,OFFSET(DATA!$C$14,$AS461,0)=AY$6),$AV461,dNULL)</f>
        <v>-99</v>
      </c>
      <c r="AZ461">
        <f ca="1">IF(AND($AT461&lt;3,OFFSET(DATA!$C$14,$AS461,0)=AZ$6),$AV461,dNULL)</f>
        <v>-99</v>
      </c>
      <c r="BA461">
        <f ca="1">IF(AND($AT461&lt;3,OFFSET(DATA!$C$14,$AS461,0)=BA$6),$AV461,dNULL)</f>
        <v>-99</v>
      </c>
      <c r="BB461">
        <f ca="1">IF(AND($AT461&lt;3,OFFSET(DATA!$C$14,$AS461,0)=BB$6),$AV461,dNULL)</f>
        <v>-99</v>
      </c>
      <c r="BC461">
        <f ca="1">IF(AND($AT461&lt;3,OFFSET(DATA!$C$14,$AS461,0)=BC$6),$AV461,dNULL)</f>
        <v>-99</v>
      </c>
      <c r="BD461">
        <f ca="1">IF(AND($AT461&lt;3,OFFSET(DATA!$C$14,$AS461,0)=BD$6),$AV461,dNULL)</f>
        <v>-99</v>
      </c>
      <c r="BE461">
        <f ca="1">IF(AND($AT461&lt;3,OFFSET(DATA!$C$14,$AS461,0)=BE$6),$AV461,dNULL)</f>
        <v>-99</v>
      </c>
      <c r="BF461">
        <f ca="1">IF(AND($AT461&lt;3,OFFSET(DATA!$C$14,$AS461,0)=BF$6),$AV461,dNULL)</f>
        <v>-99</v>
      </c>
      <c r="BG461">
        <f ca="1">IF(AND($AT461&lt;3,OFFSET(DATA!$C$14,$AS461,0)=BG$6),$AV461,dNULL)</f>
        <v>-99</v>
      </c>
      <c r="BH461">
        <f ca="1">IF(AND($AT461&lt;3,OFFSET(DATA!$C$14,$AS461,0)=BH$6),$AV461,dNULL)</f>
        <v>-99</v>
      </c>
    </row>
    <row r="462" spans="45:60" x14ac:dyDescent="0.25">
      <c r="AS462">
        <f t="shared" si="116"/>
        <v>6</v>
      </c>
      <c r="AT462">
        <f t="shared" si="117"/>
        <v>5</v>
      </c>
      <c r="AU462">
        <f t="shared" ca="1" si="118"/>
        <v>-99</v>
      </c>
      <c r="AV462">
        <f t="shared" ca="1" si="119"/>
        <v>-99</v>
      </c>
      <c r="AW462">
        <f ca="1">IF(AND($AT462&lt;3,OFFSET(DATA!$C$14,$AS462,0)=AW$6),$AV462,dNULL)</f>
        <v>-99</v>
      </c>
      <c r="AX462">
        <f ca="1">IF(AND($AT462&lt;3,OFFSET(DATA!$C$14,$AS462,0)=AX$6),$AV462,dNULL)</f>
        <v>-99</v>
      </c>
      <c r="AY462">
        <f ca="1">IF(AND($AT462&lt;3,OFFSET(DATA!$C$14,$AS462,0)=AY$6),$AV462,dNULL)</f>
        <v>-99</v>
      </c>
      <c r="AZ462">
        <f ca="1">IF(AND($AT462&lt;3,OFFSET(DATA!$C$14,$AS462,0)=AZ$6),$AV462,dNULL)</f>
        <v>-99</v>
      </c>
      <c r="BA462">
        <f ca="1">IF(AND($AT462&lt;3,OFFSET(DATA!$C$14,$AS462,0)=BA$6),$AV462,dNULL)</f>
        <v>-99</v>
      </c>
      <c r="BB462">
        <f ca="1">IF(AND($AT462&lt;3,OFFSET(DATA!$C$14,$AS462,0)=BB$6),$AV462,dNULL)</f>
        <v>-99</v>
      </c>
      <c r="BC462">
        <f ca="1">IF(AND($AT462&lt;3,OFFSET(DATA!$C$14,$AS462,0)=BC$6),$AV462,dNULL)</f>
        <v>-99</v>
      </c>
      <c r="BD462">
        <f ca="1">IF(AND($AT462&lt;3,OFFSET(DATA!$C$14,$AS462,0)=BD$6),$AV462,dNULL)</f>
        <v>-99</v>
      </c>
      <c r="BE462">
        <f ca="1">IF(AND($AT462&lt;3,OFFSET(DATA!$C$14,$AS462,0)=BE$6),$AV462,dNULL)</f>
        <v>-99</v>
      </c>
      <c r="BF462">
        <f ca="1">IF(AND($AT462&lt;3,OFFSET(DATA!$C$14,$AS462,0)=BF$6),$AV462,dNULL)</f>
        <v>-99</v>
      </c>
      <c r="BG462">
        <f ca="1">IF(AND($AT462&lt;3,OFFSET(DATA!$C$14,$AS462,0)=BG$6),$AV462,dNULL)</f>
        <v>-99</v>
      </c>
      <c r="BH462">
        <f ca="1">IF(AND($AT462&lt;3,OFFSET(DATA!$C$14,$AS462,0)=BH$6),$AV462,dNULL)</f>
        <v>-99</v>
      </c>
    </row>
    <row r="463" spans="45:60" x14ac:dyDescent="0.25">
      <c r="AS463">
        <f t="shared" si="116"/>
        <v>7</v>
      </c>
      <c r="AT463">
        <f t="shared" si="117"/>
        <v>5</v>
      </c>
      <c r="AU463">
        <f t="shared" ca="1" si="118"/>
        <v>-99</v>
      </c>
      <c r="AV463">
        <f t="shared" ca="1" si="119"/>
        <v>-99</v>
      </c>
      <c r="AW463">
        <f ca="1">IF(AND($AT463&lt;3,OFFSET(DATA!$C$14,$AS463,0)=AW$6),$AV463,dNULL)</f>
        <v>-99</v>
      </c>
      <c r="AX463">
        <f ca="1">IF(AND($AT463&lt;3,OFFSET(DATA!$C$14,$AS463,0)=AX$6),$AV463,dNULL)</f>
        <v>-99</v>
      </c>
      <c r="AY463">
        <f ca="1">IF(AND($AT463&lt;3,OFFSET(DATA!$C$14,$AS463,0)=AY$6),$AV463,dNULL)</f>
        <v>-99</v>
      </c>
      <c r="AZ463">
        <f ca="1">IF(AND($AT463&lt;3,OFFSET(DATA!$C$14,$AS463,0)=AZ$6),$AV463,dNULL)</f>
        <v>-99</v>
      </c>
      <c r="BA463">
        <f ca="1">IF(AND($AT463&lt;3,OFFSET(DATA!$C$14,$AS463,0)=BA$6),$AV463,dNULL)</f>
        <v>-99</v>
      </c>
      <c r="BB463">
        <f ca="1">IF(AND($AT463&lt;3,OFFSET(DATA!$C$14,$AS463,0)=BB$6),$AV463,dNULL)</f>
        <v>-99</v>
      </c>
      <c r="BC463">
        <f ca="1">IF(AND($AT463&lt;3,OFFSET(DATA!$C$14,$AS463,0)=BC$6),$AV463,dNULL)</f>
        <v>-99</v>
      </c>
      <c r="BD463">
        <f ca="1">IF(AND($AT463&lt;3,OFFSET(DATA!$C$14,$AS463,0)=BD$6),$AV463,dNULL)</f>
        <v>-99</v>
      </c>
      <c r="BE463">
        <f ca="1">IF(AND($AT463&lt;3,OFFSET(DATA!$C$14,$AS463,0)=BE$6),$AV463,dNULL)</f>
        <v>-99</v>
      </c>
      <c r="BF463">
        <f ca="1">IF(AND($AT463&lt;3,OFFSET(DATA!$C$14,$AS463,0)=BF$6),$AV463,dNULL)</f>
        <v>-99</v>
      </c>
      <c r="BG463">
        <f ca="1">IF(AND($AT463&lt;3,OFFSET(DATA!$C$14,$AS463,0)=BG$6),$AV463,dNULL)</f>
        <v>-99</v>
      </c>
      <c r="BH463">
        <f ca="1">IF(AND($AT463&lt;3,OFFSET(DATA!$C$14,$AS463,0)=BH$6),$AV463,dNULL)</f>
        <v>-99</v>
      </c>
    </row>
    <row r="464" spans="45:60" x14ac:dyDescent="0.25">
      <c r="AS464">
        <f t="shared" si="116"/>
        <v>8</v>
      </c>
      <c r="AT464">
        <f t="shared" si="117"/>
        <v>5</v>
      </c>
      <c r="AU464">
        <f t="shared" ca="1" si="118"/>
        <v>-99</v>
      </c>
      <c r="AV464">
        <f t="shared" ca="1" si="119"/>
        <v>-99</v>
      </c>
      <c r="AW464">
        <f ca="1">IF(AND($AT464&lt;3,OFFSET(DATA!$C$14,$AS464,0)=AW$6),$AV464,dNULL)</f>
        <v>-99</v>
      </c>
      <c r="AX464">
        <f ca="1">IF(AND($AT464&lt;3,OFFSET(DATA!$C$14,$AS464,0)=AX$6),$AV464,dNULL)</f>
        <v>-99</v>
      </c>
      <c r="AY464">
        <f ca="1">IF(AND($AT464&lt;3,OFFSET(DATA!$C$14,$AS464,0)=AY$6),$AV464,dNULL)</f>
        <v>-99</v>
      </c>
      <c r="AZ464">
        <f ca="1">IF(AND($AT464&lt;3,OFFSET(DATA!$C$14,$AS464,0)=AZ$6),$AV464,dNULL)</f>
        <v>-99</v>
      </c>
      <c r="BA464">
        <f ca="1">IF(AND($AT464&lt;3,OFFSET(DATA!$C$14,$AS464,0)=BA$6),$AV464,dNULL)</f>
        <v>-99</v>
      </c>
      <c r="BB464">
        <f ca="1">IF(AND($AT464&lt;3,OFFSET(DATA!$C$14,$AS464,0)=BB$6),$AV464,dNULL)</f>
        <v>-99</v>
      </c>
      <c r="BC464">
        <f ca="1">IF(AND($AT464&lt;3,OFFSET(DATA!$C$14,$AS464,0)=BC$6),$AV464,dNULL)</f>
        <v>-99</v>
      </c>
      <c r="BD464">
        <f ca="1">IF(AND($AT464&lt;3,OFFSET(DATA!$C$14,$AS464,0)=BD$6),$AV464,dNULL)</f>
        <v>-99</v>
      </c>
      <c r="BE464">
        <f ca="1">IF(AND($AT464&lt;3,OFFSET(DATA!$C$14,$AS464,0)=BE$6),$AV464,dNULL)</f>
        <v>-99</v>
      </c>
      <c r="BF464">
        <f ca="1">IF(AND($AT464&lt;3,OFFSET(DATA!$C$14,$AS464,0)=BF$6),$AV464,dNULL)</f>
        <v>-99</v>
      </c>
      <c r="BG464">
        <f ca="1">IF(AND($AT464&lt;3,OFFSET(DATA!$C$14,$AS464,0)=BG$6),$AV464,dNULL)</f>
        <v>-99</v>
      </c>
      <c r="BH464">
        <f ca="1">IF(AND($AT464&lt;3,OFFSET(DATA!$C$14,$AS464,0)=BH$6),$AV464,dNULL)</f>
        <v>-99</v>
      </c>
    </row>
    <row r="465" spans="45:60" x14ac:dyDescent="0.25">
      <c r="AS465">
        <f t="shared" si="116"/>
        <v>9</v>
      </c>
      <c r="AT465">
        <f t="shared" si="117"/>
        <v>5</v>
      </c>
      <c r="AU465">
        <f t="shared" ca="1" si="118"/>
        <v>-99</v>
      </c>
      <c r="AV465">
        <f t="shared" ca="1" si="119"/>
        <v>-99</v>
      </c>
      <c r="AW465">
        <f ca="1">IF(AND($AT465&lt;3,OFFSET(DATA!$C$14,$AS465,0)=AW$6),$AV465,dNULL)</f>
        <v>-99</v>
      </c>
      <c r="AX465">
        <f ca="1">IF(AND($AT465&lt;3,OFFSET(DATA!$C$14,$AS465,0)=AX$6),$AV465,dNULL)</f>
        <v>-99</v>
      </c>
      <c r="AY465">
        <f ca="1">IF(AND($AT465&lt;3,OFFSET(DATA!$C$14,$AS465,0)=AY$6),$AV465,dNULL)</f>
        <v>-99</v>
      </c>
      <c r="AZ465">
        <f ca="1">IF(AND($AT465&lt;3,OFFSET(DATA!$C$14,$AS465,0)=AZ$6),$AV465,dNULL)</f>
        <v>-99</v>
      </c>
      <c r="BA465">
        <f ca="1">IF(AND($AT465&lt;3,OFFSET(DATA!$C$14,$AS465,0)=BA$6),$AV465,dNULL)</f>
        <v>-99</v>
      </c>
      <c r="BB465">
        <f ca="1">IF(AND($AT465&lt;3,OFFSET(DATA!$C$14,$AS465,0)=BB$6),$AV465,dNULL)</f>
        <v>-99</v>
      </c>
      <c r="BC465">
        <f ca="1">IF(AND($AT465&lt;3,OFFSET(DATA!$C$14,$AS465,0)=BC$6),$AV465,dNULL)</f>
        <v>-99</v>
      </c>
      <c r="BD465">
        <f ca="1">IF(AND($AT465&lt;3,OFFSET(DATA!$C$14,$AS465,0)=BD$6),$AV465,dNULL)</f>
        <v>-99</v>
      </c>
      <c r="BE465">
        <f ca="1">IF(AND($AT465&lt;3,OFFSET(DATA!$C$14,$AS465,0)=BE$6),$AV465,dNULL)</f>
        <v>-99</v>
      </c>
      <c r="BF465">
        <f ca="1">IF(AND($AT465&lt;3,OFFSET(DATA!$C$14,$AS465,0)=BF$6),$AV465,dNULL)</f>
        <v>-99</v>
      </c>
      <c r="BG465">
        <f ca="1">IF(AND($AT465&lt;3,OFFSET(DATA!$C$14,$AS465,0)=BG$6),$AV465,dNULL)</f>
        <v>-99</v>
      </c>
      <c r="BH465">
        <f ca="1">IF(AND($AT465&lt;3,OFFSET(DATA!$C$14,$AS465,0)=BH$6),$AV465,dNULL)</f>
        <v>-99</v>
      </c>
    </row>
    <row r="466" spans="45:60" x14ac:dyDescent="0.25">
      <c r="AS466">
        <f t="shared" si="116"/>
        <v>10</v>
      </c>
      <c r="AT466">
        <f t="shared" si="117"/>
        <v>5</v>
      </c>
      <c r="AU466">
        <f t="shared" ca="1" si="118"/>
        <v>-99</v>
      </c>
      <c r="AV466">
        <f t="shared" ca="1" si="119"/>
        <v>-99</v>
      </c>
      <c r="AW466">
        <f ca="1">IF(AND($AT466&lt;3,OFFSET(DATA!$C$14,$AS466,0)=AW$6),$AV466,dNULL)</f>
        <v>-99</v>
      </c>
      <c r="AX466">
        <f ca="1">IF(AND($AT466&lt;3,OFFSET(DATA!$C$14,$AS466,0)=AX$6),$AV466,dNULL)</f>
        <v>-99</v>
      </c>
      <c r="AY466">
        <f ca="1">IF(AND($AT466&lt;3,OFFSET(DATA!$C$14,$AS466,0)=AY$6),$AV466,dNULL)</f>
        <v>-99</v>
      </c>
      <c r="AZ466">
        <f ca="1">IF(AND($AT466&lt;3,OFFSET(DATA!$C$14,$AS466,0)=AZ$6),$AV466,dNULL)</f>
        <v>-99</v>
      </c>
      <c r="BA466">
        <f ca="1">IF(AND($AT466&lt;3,OFFSET(DATA!$C$14,$AS466,0)=BA$6),$AV466,dNULL)</f>
        <v>-99</v>
      </c>
      <c r="BB466">
        <f ca="1">IF(AND($AT466&lt;3,OFFSET(DATA!$C$14,$AS466,0)=BB$6),$AV466,dNULL)</f>
        <v>-99</v>
      </c>
      <c r="BC466">
        <f ca="1">IF(AND($AT466&lt;3,OFFSET(DATA!$C$14,$AS466,0)=BC$6),$AV466,dNULL)</f>
        <v>-99</v>
      </c>
      <c r="BD466">
        <f ca="1">IF(AND($AT466&lt;3,OFFSET(DATA!$C$14,$AS466,0)=BD$6),$AV466,dNULL)</f>
        <v>-99</v>
      </c>
      <c r="BE466">
        <f ca="1">IF(AND($AT466&lt;3,OFFSET(DATA!$C$14,$AS466,0)=BE$6),$AV466,dNULL)</f>
        <v>-99</v>
      </c>
      <c r="BF466">
        <f ca="1">IF(AND($AT466&lt;3,OFFSET(DATA!$C$14,$AS466,0)=BF$6),$AV466,dNULL)</f>
        <v>-99</v>
      </c>
      <c r="BG466">
        <f ca="1">IF(AND($AT466&lt;3,OFFSET(DATA!$C$14,$AS466,0)=BG$6),$AV466,dNULL)</f>
        <v>-99</v>
      </c>
      <c r="BH466">
        <f ca="1">IF(AND($AT466&lt;3,OFFSET(DATA!$C$14,$AS466,0)=BH$6),$AV466,dNULL)</f>
        <v>-99</v>
      </c>
    </row>
    <row r="467" spans="45:60" x14ac:dyDescent="0.25">
      <c r="AS467">
        <f t="shared" si="116"/>
        <v>11</v>
      </c>
      <c r="AT467">
        <f t="shared" si="117"/>
        <v>5</v>
      </c>
      <c r="AU467">
        <f t="shared" ca="1" si="118"/>
        <v>-99</v>
      </c>
      <c r="AV467">
        <f t="shared" ca="1" si="119"/>
        <v>-99</v>
      </c>
      <c r="AW467">
        <f ca="1">IF(AND($AT467&lt;3,OFFSET(DATA!$C$14,$AS467,0)=AW$6),$AV467,dNULL)</f>
        <v>-99</v>
      </c>
      <c r="AX467">
        <f ca="1">IF(AND($AT467&lt;3,OFFSET(DATA!$C$14,$AS467,0)=AX$6),$AV467,dNULL)</f>
        <v>-99</v>
      </c>
      <c r="AY467">
        <f ca="1">IF(AND($AT467&lt;3,OFFSET(DATA!$C$14,$AS467,0)=AY$6),$AV467,dNULL)</f>
        <v>-99</v>
      </c>
      <c r="AZ467">
        <f ca="1">IF(AND($AT467&lt;3,OFFSET(DATA!$C$14,$AS467,0)=AZ$6),$AV467,dNULL)</f>
        <v>-99</v>
      </c>
      <c r="BA467">
        <f ca="1">IF(AND($AT467&lt;3,OFFSET(DATA!$C$14,$AS467,0)=BA$6),$AV467,dNULL)</f>
        <v>-99</v>
      </c>
      <c r="BB467">
        <f ca="1">IF(AND($AT467&lt;3,OFFSET(DATA!$C$14,$AS467,0)=BB$6),$AV467,dNULL)</f>
        <v>-99</v>
      </c>
      <c r="BC467">
        <f ca="1">IF(AND($AT467&lt;3,OFFSET(DATA!$C$14,$AS467,0)=BC$6),$AV467,dNULL)</f>
        <v>-99</v>
      </c>
      <c r="BD467">
        <f ca="1">IF(AND($AT467&lt;3,OFFSET(DATA!$C$14,$AS467,0)=BD$6),$AV467,dNULL)</f>
        <v>-99</v>
      </c>
      <c r="BE467">
        <f ca="1">IF(AND($AT467&lt;3,OFFSET(DATA!$C$14,$AS467,0)=BE$6),$AV467,dNULL)</f>
        <v>-99</v>
      </c>
      <c r="BF467">
        <f ca="1">IF(AND($AT467&lt;3,OFFSET(DATA!$C$14,$AS467,0)=BF$6),$AV467,dNULL)</f>
        <v>-99</v>
      </c>
      <c r="BG467">
        <f ca="1">IF(AND($AT467&lt;3,OFFSET(DATA!$C$14,$AS467,0)=BG$6),$AV467,dNULL)</f>
        <v>-99</v>
      </c>
      <c r="BH467">
        <f ca="1">IF(AND($AT467&lt;3,OFFSET(DATA!$C$14,$AS467,0)=BH$6),$AV467,dNULL)</f>
        <v>-99</v>
      </c>
    </row>
    <row r="468" spans="45:60" x14ac:dyDescent="0.25">
      <c r="AS468">
        <f t="shared" si="116"/>
        <v>12</v>
      </c>
      <c r="AT468">
        <f t="shared" si="117"/>
        <v>5</v>
      </c>
      <c r="AU468">
        <f t="shared" ca="1" si="118"/>
        <v>-99</v>
      </c>
      <c r="AV468">
        <f t="shared" ca="1" si="119"/>
        <v>-99</v>
      </c>
      <c r="AW468">
        <f ca="1">IF(AND($AT468&lt;3,OFFSET(DATA!$C$14,$AS468,0)=AW$6),$AV468,dNULL)</f>
        <v>-99</v>
      </c>
      <c r="AX468">
        <f ca="1">IF(AND($AT468&lt;3,OFFSET(DATA!$C$14,$AS468,0)=AX$6),$AV468,dNULL)</f>
        <v>-99</v>
      </c>
      <c r="AY468">
        <f ca="1">IF(AND($AT468&lt;3,OFFSET(DATA!$C$14,$AS468,0)=AY$6),$AV468,dNULL)</f>
        <v>-99</v>
      </c>
      <c r="AZ468">
        <f ca="1">IF(AND($AT468&lt;3,OFFSET(DATA!$C$14,$AS468,0)=AZ$6),$AV468,dNULL)</f>
        <v>-99</v>
      </c>
      <c r="BA468">
        <f ca="1">IF(AND($AT468&lt;3,OFFSET(DATA!$C$14,$AS468,0)=BA$6),$AV468,dNULL)</f>
        <v>-99</v>
      </c>
      <c r="BB468">
        <f ca="1">IF(AND($AT468&lt;3,OFFSET(DATA!$C$14,$AS468,0)=BB$6),$AV468,dNULL)</f>
        <v>-99</v>
      </c>
      <c r="BC468">
        <f ca="1">IF(AND($AT468&lt;3,OFFSET(DATA!$C$14,$AS468,0)=BC$6),$AV468,dNULL)</f>
        <v>-99</v>
      </c>
      <c r="BD468">
        <f ca="1">IF(AND($AT468&lt;3,OFFSET(DATA!$C$14,$AS468,0)=BD$6),$AV468,dNULL)</f>
        <v>-99</v>
      </c>
      <c r="BE468">
        <f ca="1">IF(AND($AT468&lt;3,OFFSET(DATA!$C$14,$AS468,0)=BE$6),$AV468,dNULL)</f>
        <v>-99</v>
      </c>
      <c r="BF468">
        <f ca="1">IF(AND($AT468&lt;3,OFFSET(DATA!$C$14,$AS468,0)=BF$6),$AV468,dNULL)</f>
        <v>-99</v>
      </c>
      <c r="BG468">
        <f ca="1">IF(AND($AT468&lt;3,OFFSET(DATA!$C$14,$AS468,0)=BG$6),$AV468,dNULL)</f>
        <v>-99</v>
      </c>
      <c r="BH468">
        <f ca="1">IF(AND($AT468&lt;3,OFFSET(DATA!$C$14,$AS468,0)=BH$6),$AV468,dNULL)</f>
        <v>-99</v>
      </c>
    </row>
    <row r="469" spans="45:60" x14ac:dyDescent="0.25">
      <c r="AS469">
        <f t="shared" si="116"/>
        <v>13</v>
      </c>
      <c r="AT469">
        <f t="shared" si="117"/>
        <v>5</v>
      </c>
      <c r="AU469">
        <f t="shared" ca="1" si="118"/>
        <v>-99</v>
      </c>
      <c r="AV469">
        <f t="shared" ca="1" si="119"/>
        <v>-99</v>
      </c>
      <c r="AW469">
        <f ca="1">IF(AND($AT469&lt;3,OFFSET(DATA!$C$14,$AS469,0)=AW$6),$AV469,dNULL)</f>
        <v>-99</v>
      </c>
      <c r="AX469">
        <f ca="1">IF(AND($AT469&lt;3,OFFSET(DATA!$C$14,$AS469,0)=AX$6),$AV469,dNULL)</f>
        <v>-99</v>
      </c>
      <c r="AY469">
        <f ca="1">IF(AND($AT469&lt;3,OFFSET(DATA!$C$14,$AS469,0)=AY$6),$AV469,dNULL)</f>
        <v>-99</v>
      </c>
      <c r="AZ469">
        <f ca="1">IF(AND($AT469&lt;3,OFFSET(DATA!$C$14,$AS469,0)=AZ$6),$AV469,dNULL)</f>
        <v>-99</v>
      </c>
      <c r="BA469">
        <f ca="1">IF(AND($AT469&lt;3,OFFSET(DATA!$C$14,$AS469,0)=BA$6),$AV469,dNULL)</f>
        <v>-99</v>
      </c>
      <c r="BB469">
        <f ca="1">IF(AND($AT469&lt;3,OFFSET(DATA!$C$14,$AS469,0)=BB$6),$AV469,dNULL)</f>
        <v>-99</v>
      </c>
      <c r="BC469">
        <f ca="1">IF(AND($AT469&lt;3,OFFSET(DATA!$C$14,$AS469,0)=BC$6),$AV469,dNULL)</f>
        <v>-99</v>
      </c>
      <c r="BD469">
        <f ca="1">IF(AND($AT469&lt;3,OFFSET(DATA!$C$14,$AS469,0)=BD$6),$AV469,dNULL)</f>
        <v>-99</v>
      </c>
      <c r="BE469">
        <f ca="1">IF(AND($AT469&lt;3,OFFSET(DATA!$C$14,$AS469,0)=BE$6),$AV469,dNULL)</f>
        <v>-99</v>
      </c>
      <c r="BF469">
        <f ca="1">IF(AND($AT469&lt;3,OFFSET(DATA!$C$14,$AS469,0)=BF$6),$AV469,dNULL)</f>
        <v>-99</v>
      </c>
      <c r="BG469">
        <f ca="1">IF(AND($AT469&lt;3,OFFSET(DATA!$C$14,$AS469,0)=BG$6),$AV469,dNULL)</f>
        <v>-99</v>
      </c>
      <c r="BH469">
        <f ca="1">IF(AND($AT469&lt;3,OFFSET(DATA!$C$14,$AS469,0)=BH$6),$AV469,dNULL)</f>
        <v>-99</v>
      </c>
    </row>
    <row r="470" spans="45:60" x14ac:dyDescent="0.25">
      <c r="AS470">
        <f t="shared" si="116"/>
        <v>14</v>
      </c>
      <c r="AT470">
        <f t="shared" si="117"/>
        <v>5</v>
      </c>
      <c r="AU470">
        <f t="shared" ca="1" si="118"/>
        <v>-99</v>
      </c>
      <c r="AV470">
        <f t="shared" ca="1" si="119"/>
        <v>-99</v>
      </c>
      <c r="AW470">
        <f ca="1">IF(AND($AT470&lt;3,OFFSET(DATA!$C$14,$AS470,0)=AW$6),$AV470,dNULL)</f>
        <v>-99</v>
      </c>
      <c r="AX470">
        <f ca="1">IF(AND($AT470&lt;3,OFFSET(DATA!$C$14,$AS470,0)=AX$6),$AV470,dNULL)</f>
        <v>-99</v>
      </c>
      <c r="AY470">
        <f ca="1">IF(AND($AT470&lt;3,OFFSET(DATA!$C$14,$AS470,0)=AY$6),$AV470,dNULL)</f>
        <v>-99</v>
      </c>
      <c r="AZ470">
        <f ca="1">IF(AND($AT470&lt;3,OFFSET(DATA!$C$14,$AS470,0)=AZ$6),$AV470,dNULL)</f>
        <v>-99</v>
      </c>
      <c r="BA470">
        <f ca="1">IF(AND($AT470&lt;3,OFFSET(DATA!$C$14,$AS470,0)=BA$6),$AV470,dNULL)</f>
        <v>-99</v>
      </c>
      <c r="BB470">
        <f ca="1">IF(AND($AT470&lt;3,OFFSET(DATA!$C$14,$AS470,0)=BB$6),$AV470,dNULL)</f>
        <v>-99</v>
      </c>
      <c r="BC470">
        <f ca="1">IF(AND($AT470&lt;3,OFFSET(DATA!$C$14,$AS470,0)=BC$6),$AV470,dNULL)</f>
        <v>-99</v>
      </c>
      <c r="BD470">
        <f ca="1">IF(AND($AT470&lt;3,OFFSET(DATA!$C$14,$AS470,0)=BD$6),$AV470,dNULL)</f>
        <v>-99</v>
      </c>
      <c r="BE470">
        <f ca="1">IF(AND($AT470&lt;3,OFFSET(DATA!$C$14,$AS470,0)=BE$6),$AV470,dNULL)</f>
        <v>-99</v>
      </c>
      <c r="BF470">
        <f ca="1">IF(AND($AT470&lt;3,OFFSET(DATA!$C$14,$AS470,0)=BF$6),$AV470,dNULL)</f>
        <v>-99</v>
      </c>
      <c r="BG470">
        <f ca="1">IF(AND($AT470&lt;3,OFFSET(DATA!$C$14,$AS470,0)=BG$6),$AV470,dNULL)</f>
        <v>-99</v>
      </c>
      <c r="BH470">
        <f ca="1">IF(AND($AT470&lt;3,OFFSET(DATA!$C$14,$AS470,0)=BH$6),$AV470,dNULL)</f>
        <v>-99</v>
      </c>
    </row>
    <row r="471" spans="45:60" x14ac:dyDescent="0.25">
      <c r="AS471">
        <f t="shared" si="116"/>
        <v>15</v>
      </c>
      <c r="AT471">
        <f t="shared" si="117"/>
        <v>5</v>
      </c>
      <c r="AU471">
        <f t="shared" ca="1" si="118"/>
        <v>-99</v>
      </c>
      <c r="AV471">
        <f t="shared" ca="1" si="119"/>
        <v>-99</v>
      </c>
      <c r="AW471">
        <f ca="1">IF(AND($AT471&lt;3,OFFSET(DATA!$C$14,$AS471,0)=AW$6),$AV471,dNULL)</f>
        <v>-99</v>
      </c>
      <c r="AX471">
        <f ca="1">IF(AND($AT471&lt;3,OFFSET(DATA!$C$14,$AS471,0)=AX$6),$AV471,dNULL)</f>
        <v>-99</v>
      </c>
      <c r="AY471">
        <f ca="1">IF(AND($AT471&lt;3,OFFSET(DATA!$C$14,$AS471,0)=AY$6),$AV471,dNULL)</f>
        <v>-99</v>
      </c>
      <c r="AZ471">
        <f ca="1">IF(AND($AT471&lt;3,OFFSET(DATA!$C$14,$AS471,0)=AZ$6),$AV471,dNULL)</f>
        <v>-99</v>
      </c>
      <c r="BA471">
        <f ca="1">IF(AND($AT471&lt;3,OFFSET(DATA!$C$14,$AS471,0)=BA$6),$AV471,dNULL)</f>
        <v>-99</v>
      </c>
      <c r="BB471">
        <f ca="1">IF(AND($AT471&lt;3,OFFSET(DATA!$C$14,$AS471,0)=BB$6),$AV471,dNULL)</f>
        <v>-99</v>
      </c>
      <c r="BC471">
        <f ca="1">IF(AND($AT471&lt;3,OFFSET(DATA!$C$14,$AS471,0)=BC$6),$AV471,dNULL)</f>
        <v>-99</v>
      </c>
      <c r="BD471">
        <f ca="1">IF(AND($AT471&lt;3,OFFSET(DATA!$C$14,$AS471,0)=BD$6),$AV471,dNULL)</f>
        <v>-99</v>
      </c>
      <c r="BE471">
        <f ca="1">IF(AND($AT471&lt;3,OFFSET(DATA!$C$14,$AS471,0)=BE$6),$AV471,dNULL)</f>
        <v>-99</v>
      </c>
      <c r="BF471">
        <f ca="1">IF(AND($AT471&lt;3,OFFSET(DATA!$C$14,$AS471,0)=BF$6),$AV471,dNULL)</f>
        <v>-99</v>
      </c>
      <c r="BG471">
        <f ca="1">IF(AND($AT471&lt;3,OFFSET(DATA!$C$14,$AS471,0)=BG$6),$AV471,dNULL)</f>
        <v>-99</v>
      </c>
      <c r="BH471">
        <f ca="1">IF(AND($AT471&lt;3,OFFSET(DATA!$C$14,$AS471,0)=BH$6),$AV471,dNULL)</f>
        <v>-99</v>
      </c>
    </row>
    <row r="472" spans="45:60" x14ac:dyDescent="0.25">
      <c r="AS472">
        <f t="shared" si="116"/>
        <v>16</v>
      </c>
      <c r="AT472">
        <f t="shared" si="117"/>
        <v>5</v>
      </c>
      <c r="AU472">
        <f t="shared" ca="1" si="118"/>
        <v>-99</v>
      </c>
      <c r="AV472">
        <f t="shared" ca="1" si="119"/>
        <v>-99</v>
      </c>
      <c r="AW472">
        <f ca="1">IF(AND($AT472&lt;3,OFFSET(DATA!$C$14,$AS472,0)=AW$6),$AV472,dNULL)</f>
        <v>-99</v>
      </c>
      <c r="AX472">
        <f ca="1">IF(AND($AT472&lt;3,OFFSET(DATA!$C$14,$AS472,0)=AX$6),$AV472,dNULL)</f>
        <v>-99</v>
      </c>
      <c r="AY472">
        <f ca="1">IF(AND($AT472&lt;3,OFFSET(DATA!$C$14,$AS472,0)=AY$6),$AV472,dNULL)</f>
        <v>-99</v>
      </c>
      <c r="AZ472">
        <f ca="1">IF(AND($AT472&lt;3,OFFSET(DATA!$C$14,$AS472,0)=AZ$6),$AV472,dNULL)</f>
        <v>-99</v>
      </c>
      <c r="BA472">
        <f ca="1">IF(AND($AT472&lt;3,OFFSET(DATA!$C$14,$AS472,0)=BA$6),$AV472,dNULL)</f>
        <v>-99</v>
      </c>
      <c r="BB472">
        <f ca="1">IF(AND($AT472&lt;3,OFFSET(DATA!$C$14,$AS472,0)=BB$6),$AV472,dNULL)</f>
        <v>-99</v>
      </c>
      <c r="BC472">
        <f ca="1">IF(AND($AT472&lt;3,OFFSET(DATA!$C$14,$AS472,0)=BC$6),$AV472,dNULL)</f>
        <v>-99</v>
      </c>
      <c r="BD472">
        <f ca="1">IF(AND($AT472&lt;3,OFFSET(DATA!$C$14,$AS472,0)=BD$6),$AV472,dNULL)</f>
        <v>-99</v>
      </c>
      <c r="BE472">
        <f ca="1">IF(AND($AT472&lt;3,OFFSET(DATA!$C$14,$AS472,0)=BE$6),$AV472,dNULL)</f>
        <v>-99</v>
      </c>
      <c r="BF472">
        <f ca="1">IF(AND($AT472&lt;3,OFFSET(DATA!$C$14,$AS472,0)=BF$6),$AV472,dNULL)</f>
        <v>-99</v>
      </c>
      <c r="BG472">
        <f ca="1">IF(AND($AT472&lt;3,OFFSET(DATA!$C$14,$AS472,0)=BG$6),$AV472,dNULL)</f>
        <v>-99</v>
      </c>
      <c r="BH472">
        <f ca="1">IF(AND($AT472&lt;3,OFFSET(DATA!$C$14,$AS472,0)=BH$6),$AV472,dNULL)</f>
        <v>-99</v>
      </c>
    </row>
    <row r="473" spans="45:60" x14ac:dyDescent="0.25">
      <c r="AS473">
        <f t="shared" si="116"/>
        <v>17</v>
      </c>
      <c r="AT473">
        <f t="shared" si="117"/>
        <v>5</v>
      </c>
      <c r="AU473">
        <f t="shared" ca="1" si="118"/>
        <v>-99</v>
      </c>
      <c r="AV473">
        <f t="shared" ca="1" si="119"/>
        <v>-99</v>
      </c>
      <c r="AW473">
        <f ca="1">IF(AND($AT473&lt;3,OFFSET(DATA!$C$14,$AS473,0)=AW$6),$AV473,dNULL)</f>
        <v>-99</v>
      </c>
      <c r="AX473">
        <f ca="1">IF(AND($AT473&lt;3,OFFSET(DATA!$C$14,$AS473,0)=AX$6),$AV473,dNULL)</f>
        <v>-99</v>
      </c>
      <c r="AY473">
        <f ca="1">IF(AND($AT473&lt;3,OFFSET(DATA!$C$14,$AS473,0)=AY$6),$AV473,dNULL)</f>
        <v>-99</v>
      </c>
      <c r="AZ473">
        <f ca="1">IF(AND($AT473&lt;3,OFFSET(DATA!$C$14,$AS473,0)=AZ$6),$AV473,dNULL)</f>
        <v>-99</v>
      </c>
      <c r="BA473">
        <f ca="1">IF(AND($AT473&lt;3,OFFSET(DATA!$C$14,$AS473,0)=BA$6),$AV473,dNULL)</f>
        <v>-99</v>
      </c>
      <c r="BB473">
        <f ca="1">IF(AND($AT473&lt;3,OFFSET(DATA!$C$14,$AS473,0)=BB$6),$AV473,dNULL)</f>
        <v>-99</v>
      </c>
      <c r="BC473">
        <f ca="1">IF(AND($AT473&lt;3,OFFSET(DATA!$C$14,$AS473,0)=BC$6),$AV473,dNULL)</f>
        <v>-99</v>
      </c>
      <c r="BD473">
        <f ca="1">IF(AND($AT473&lt;3,OFFSET(DATA!$C$14,$AS473,0)=BD$6),$AV473,dNULL)</f>
        <v>-99</v>
      </c>
      <c r="BE473">
        <f ca="1">IF(AND($AT473&lt;3,OFFSET(DATA!$C$14,$AS473,0)=BE$6),$AV473,dNULL)</f>
        <v>-99</v>
      </c>
      <c r="BF473">
        <f ca="1">IF(AND($AT473&lt;3,OFFSET(DATA!$C$14,$AS473,0)=BF$6),$AV473,dNULL)</f>
        <v>-99</v>
      </c>
      <c r="BG473">
        <f ca="1">IF(AND($AT473&lt;3,OFFSET(DATA!$C$14,$AS473,0)=BG$6),$AV473,dNULL)</f>
        <v>-99</v>
      </c>
      <c r="BH473">
        <f ca="1">IF(AND($AT473&lt;3,OFFSET(DATA!$C$14,$AS473,0)=BH$6),$AV473,dNULL)</f>
        <v>-99</v>
      </c>
    </row>
    <row r="474" spans="45:60" x14ac:dyDescent="0.25">
      <c r="AS474">
        <f t="shared" si="116"/>
        <v>18</v>
      </c>
      <c r="AT474">
        <f t="shared" si="117"/>
        <v>5</v>
      </c>
      <c r="AU474">
        <f t="shared" ca="1" si="118"/>
        <v>-99</v>
      </c>
      <c r="AV474">
        <f t="shared" ca="1" si="119"/>
        <v>-99</v>
      </c>
      <c r="AW474">
        <f ca="1">IF(AND($AT474&lt;3,OFFSET(DATA!$C$14,$AS474,0)=AW$6),$AV474,dNULL)</f>
        <v>-99</v>
      </c>
      <c r="AX474">
        <f ca="1">IF(AND($AT474&lt;3,OFFSET(DATA!$C$14,$AS474,0)=AX$6),$AV474,dNULL)</f>
        <v>-99</v>
      </c>
      <c r="AY474">
        <f ca="1">IF(AND($AT474&lt;3,OFFSET(DATA!$C$14,$AS474,0)=AY$6),$AV474,dNULL)</f>
        <v>-99</v>
      </c>
      <c r="AZ474">
        <f ca="1">IF(AND($AT474&lt;3,OFFSET(DATA!$C$14,$AS474,0)=AZ$6),$AV474,dNULL)</f>
        <v>-99</v>
      </c>
      <c r="BA474">
        <f ca="1">IF(AND($AT474&lt;3,OFFSET(DATA!$C$14,$AS474,0)=BA$6),$AV474,dNULL)</f>
        <v>-99</v>
      </c>
      <c r="BB474">
        <f ca="1">IF(AND($AT474&lt;3,OFFSET(DATA!$C$14,$AS474,0)=BB$6),$AV474,dNULL)</f>
        <v>-99</v>
      </c>
      <c r="BC474">
        <f ca="1">IF(AND($AT474&lt;3,OFFSET(DATA!$C$14,$AS474,0)=BC$6),$AV474,dNULL)</f>
        <v>-99</v>
      </c>
      <c r="BD474">
        <f ca="1">IF(AND($AT474&lt;3,OFFSET(DATA!$C$14,$AS474,0)=BD$6),$AV474,dNULL)</f>
        <v>-99</v>
      </c>
      <c r="BE474">
        <f ca="1">IF(AND($AT474&lt;3,OFFSET(DATA!$C$14,$AS474,0)=BE$6),$AV474,dNULL)</f>
        <v>-99</v>
      </c>
      <c r="BF474">
        <f ca="1">IF(AND($AT474&lt;3,OFFSET(DATA!$C$14,$AS474,0)=BF$6),$AV474,dNULL)</f>
        <v>-99</v>
      </c>
      <c r="BG474">
        <f ca="1">IF(AND($AT474&lt;3,OFFSET(DATA!$C$14,$AS474,0)=BG$6),$AV474,dNULL)</f>
        <v>-99</v>
      </c>
      <c r="BH474">
        <f ca="1">IF(AND($AT474&lt;3,OFFSET(DATA!$C$14,$AS474,0)=BH$6),$AV474,dNULL)</f>
        <v>-99</v>
      </c>
    </row>
    <row r="475" spans="45:60" x14ac:dyDescent="0.25">
      <c r="AS475">
        <f t="shared" si="116"/>
        <v>19</v>
      </c>
      <c r="AT475">
        <f t="shared" si="117"/>
        <v>5</v>
      </c>
      <c r="AU475">
        <f t="shared" ca="1" si="118"/>
        <v>-99</v>
      </c>
      <c r="AV475">
        <f t="shared" ca="1" si="119"/>
        <v>-99</v>
      </c>
      <c r="AW475">
        <f ca="1">IF(AND($AT475&lt;3,OFFSET(DATA!$C$14,$AS475,0)=AW$6),$AV475,dNULL)</f>
        <v>-99</v>
      </c>
      <c r="AX475">
        <f ca="1">IF(AND($AT475&lt;3,OFFSET(DATA!$C$14,$AS475,0)=AX$6),$AV475,dNULL)</f>
        <v>-99</v>
      </c>
      <c r="AY475">
        <f ca="1">IF(AND($AT475&lt;3,OFFSET(DATA!$C$14,$AS475,0)=AY$6),$AV475,dNULL)</f>
        <v>-99</v>
      </c>
      <c r="AZ475">
        <f ca="1">IF(AND($AT475&lt;3,OFFSET(DATA!$C$14,$AS475,0)=AZ$6),$AV475,dNULL)</f>
        <v>-99</v>
      </c>
      <c r="BA475">
        <f ca="1">IF(AND($AT475&lt;3,OFFSET(DATA!$C$14,$AS475,0)=BA$6),$AV475,dNULL)</f>
        <v>-99</v>
      </c>
      <c r="BB475">
        <f ca="1">IF(AND($AT475&lt;3,OFFSET(DATA!$C$14,$AS475,0)=BB$6),$AV475,dNULL)</f>
        <v>-99</v>
      </c>
      <c r="BC475">
        <f ca="1">IF(AND($AT475&lt;3,OFFSET(DATA!$C$14,$AS475,0)=BC$6),$AV475,dNULL)</f>
        <v>-99</v>
      </c>
      <c r="BD475">
        <f ca="1">IF(AND($AT475&lt;3,OFFSET(DATA!$C$14,$AS475,0)=BD$6),$AV475,dNULL)</f>
        <v>-99</v>
      </c>
      <c r="BE475">
        <f ca="1">IF(AND($AT475&lt;3,OFFSET(DATA!$C$14,$AS475,0)=BE$6),$AV475,dNULL)</f>
        <v>-99</v>
      </c>
      <c r="BF475">
        <f ca="1">IF(AND($AT475&lt;3,OFFSET(DATA!$C$14,$AS475,0)=BF$6),$AV475,dNULL)</f>
        <v>-99</v>
      </c>
      <c r="BG475">
        <f ca="1">IF(AND($AT475&lt;3,OFFSET(DATA!$C$14,$AS475,0)=BG$6),$AV475,dNULL)</f>
        <v>-99</v>
      </c>
      <c r="BH475">
        <f ca="1">IF(AND($AT475&lt;3,OFFSET(DATA!$C$14,$AS475,0)=BH$6),$AV475,dNULL)</f>
        <v>-99</v>
      </c>
    </row>
    <row r="476" spans="45:60" x14ac:dyDescent="0.25">
      <c r="AS476">
        <f t="shared" si="116"/>
        <v>20</v>
      </c>
      <c r="AT476">
        <f t="shared" si="117"/>
        <v>5</v>
      </c>
      <c r="AU476">
        <f t="shared" ca="1" si="118"/>
        <v>-99</v>
      </c>
      <c r="AV476">
        <f t="shared" ca="1" si="119"/>
        <v>-99</v>
      </c>
      <c r="AW476">
        <f ca="1">IF(AND($AT476&lt;3,OFFSET(DATA!$C$14,$AS476,0)=AW$6),$AV476,dNULL)</f>
        <v>-99</v>
      </c>
      <c r="AX476">
        <f ca="1">IF(AND($AT476&lt;3,OFFSET(DATA!$C$14,$AS476,0)=AX$6),$AV476,dNULL)</f>
        <v>-99</v>
      </c>
      <c r="AY476">
        <f ca="1">IF(AND($AT476&lt;3,OFFSET(DATA!$C$14,$AS476,0)=AY$6),$AV476,dNULL)</f>
        <v>-99</v>
      </c>
      <c r="AZ476">
        <f ca="1">IF(AND($AT476&lt;3,OFFSET(DATA!$C$14,$AS476,0)=AZ$6),$AV476,dNULL)</f>
        <v>-99</v>
      </c>
      <c r="BA476">
        <f ca="1">IF(AND($AT476&lt;3,OFFSET(DATA!$C$14,$AS476,0)=BA$6),$AV476,dNULL)</f>
        <v>-99</v>
      </c>
      <c r="BB476">
        <f ca="1">IF(AND($AT476&lt;3,OFFSET(DATA!$C$14,$AS476,0)=BB$6),$AV476,dNULL)</f>
        <v>-99</v>
      </c>
      <c r="BC476">
        <f ca="1">IF(AND($AT476&lt;3,OFFSET(DATA!$C$14,$AS476,0)=BC$6),$AV476,dNULL)</f>
        <v>-99</v>
      </c>
      <c r="BD476">
        <f ca="1">IF(AND($AT476&lt;3,OFFSET(DATA!$C$14,$AS476,0)=BD$6),$AV476,dNULL)</f>
        <v>-99</v>
      </c>
      <c r="BE476">
        <f ca="1">IF(AND($AT476&lt;3,OFFSET(DATA!$C$14,$AS476,0)=BE$6),$AV476,dNULL)</f>
        <v>-99</v>
      </c>
      <c r="BF476">
        <f ca="1">IF(AND($AT476&lt;3,OFFSET(DATA!$C$14,$AS476,0)=BF$6),$AV476,dNULL)</f>
        <v>-99</v>
      </c>
      <c r="BG476">
        <f ca="1">IF(AND($AT476&lt;3,OFFSET(DATA!$C$14,$AS476,0)=BG$6),$AV476,dNULL)</f>
        <v>-99</v>
      </c>
      <c r="BH476">
        <f ca="1">IF(AND($AT476&lt;3,OFFSET(DATA!$C$14,$AS476,0)=BH$6),$AV476,dNULL)</f>
        <v>-99</v>
      </c>
    </row>
    <row r="477" spans="45:60" x14ac:dyDescent="0.25">
      <c r="AS477">
        <f t="shared" si="116"/>
        <v>21</v>
      </c>
      <c r="AT477">
        <f t="shared" si="117"/>
        <v>5</v>
      </c>
      <c r="AU477">
        <f t="shared" ca="1" si="118"/>
        <v>-99</v>
      </c>
      <c r="AV477">
        <f t="shared" ca="1" si="119"/>
        <v>-99</v>
      </c>
      <c r="AW477">
        <f ca="1">IF(AND($AT477&lt;3,OFFSET(DATA!$C$14,$AS477,0)=AW$6),$AV477,dNULL)</f>
        <v>-99</v>
      </c>
      <c r="AX477">
        <f ca="1">IF(AND($AT477&lt;3,OFFSET(DATA!$C$14,$AS477,0)=AX$6),$AV477,dNULL)</f>
        <v>-99</v>
      </c>
      <c r="AY477">
        <f ca="1">IF(AND($AT477&lt;3,OFFSET(DATA!$C$14,$AS477,0)=AY$6),$AV477,dNULL)</f>
        <v>-99</v>
      </c>
      <c r="AZ477">
        <f ca="1">IF(AND($AT477&lt;3,OFFSET(DATA!$C$14,$AS477,0)=AZ$6),$AV477,dNULL)</f>
        <v>-99</v>
      </c>
      <c r="BA477">
        <f ca="1">IF(AND($AT477&lt;3,OFFSET(DATA!$C$14,$AS477,0)=BA$6),$AV477,dNULL)</f>
        <v>-99</v>
      </c>
      <c r="BB477">
        <f ca="1">IF(AND($AT477&lt;3,OFFSET(DATA!$C$14,$AS477,0)=BB$6),$AV477,dNULL)</f>
        <v>-99</v>
      </c>
      <c r="BC477">
        <f ca="1">IF(AND($AT477&lt;3,OFFSET(DATA!$C$14,$AS477,0)=BC$6),$AV477,dNULL)</f>
        <v>-99</v>
      </c>
      <c r="BD477">
        <f ca="1">IF(AND($AT477&lt;3,OFFSET(DATA!$C$14,$AS477,0)=BD$6),$AV477,dNULL)</f>
        <v>-99</v>
      </c>
      <c r="BE477">
        <f ca="1">IF(AND($AT477&lt;3,OFFSET(DATA!$C$14,$AS477,0)=BE$6),$AV477,dNULL)</f>
        <v>-99</v>
      </c>
      <c r="BF477">
        <f ca="1">IF(AND($AT477&lt;3,OFFSET(DATA!$C$14,$AS477,0)=BF$6),$AV477,dNULL)</f>
        <v>-99</v>
      </c>
      <c r="BG477">
        <f ca="1">IF(AND($AT477&lt;3,OFFSET(DATA!$C$14,$AS477,0)=BG$6),$AV477,dNULL)</f>
        <v>-99</v>
      </c>
      <c r="BH477">
        <f ca="1">IF(AND($AT477&lt;3,OFFSET(DATA!$C$14,$AS477,0)=BH$6),$AV477,dNULL)</f>
        <v>-99</v>
      </c>
    </row>
    <row r="478" spans="45:60" x14ac:dyDescent="0.25">
      <c r="AS478">
        <f t="shared" si="116"/>
        <v>22</v>
      </c>
      <c r="AT478">
        <f t="shared" si="117"/>
        <v>5</v>
      </c>
      <c r="AU478">
        <f t="shared" ca="1" si="118"/>
        <v>-99</v>
      </c>
      <c r="AV478">
        <f t="shared" ca="1" si="119"/>
        <v>-99</v>
      </c>
      <c r="AW478">
        <f ca="1">IF(AND($AT478&lt;3,OFFSET(DATA!$C$14,$AS478,0)=AW$6),$AV478,dNULL)</f>
        <v>-99</v>
      </c>
      <c r="AX478">
        <f ca="1">IF(AND($AT478&lt;3,OFFSET(DATA!$C$14,$AS478,0)=AX$6),$AV478,dNULL)</f>
        <v>-99</v>
      </c>
      <c r="AY478">
        <f ca="1">IF(AND($AT478&lt;3,OFFSET(DATA!$C$14,$AS478,0)=AY$6),$AV478,dNULL)</f>
        <v>-99</v>
      </c>
      <c r="AZ478">
        <f ca="1">IF(AND($AT478&lt;3,OFFSET(DATA!$C$14,$AS478,0)=AZ$6),$AV478,dNULL)</f>
        <v>-99</v>
      </c>
      <c r="BA478">
        <f ca="1">IF(AND($AT478&lt;3,OFFSET(DATA!$C$14,$AS478,0)=BA$6),$AV478,dNULL)</f>
        <v>-99</v>
      </c>
      <c r="BB478">
        <f ca="1">IF(AND($AT478&lt;3,OFFSET(DATA!$C$14,$AS478,0)=BB$6),$AV478,dNULL)</f>
        <v>-99</v>
      </c>
      <c r="BC478">
        <f ca="1">IF(AND($AT478&lt;3,OFFSET(DATA!$C$14,$AS478,0)=BC$6),$AV478,dNULL)</f>
        <v>-99</v>
      </c>
      <c r="BD478">
        <f ca="1">IF(AND($AT478&lt;3,OFFSET(DATA!$C$14,$AS478,0)=BD$6),$AV478,dNULL)</f>
        <v>-99</v>
      </c>
      <c r="BE478">
        <f ca="1">IF(AND($AT478&lt;3,OFFSET(DATA!$C$14,$AS478,0)=BE$6),$AV478,dNULL)</f>
        <v>-99</v>
      </c>
      <c r="BF478">
        <f ca="1">IF(AND($AT478&lt;3,OFFSET(DATA!$C$14,$AS478,0)=BF$6),$AV478,dNULL)</f>
        <v>-99</v>
      </c>
      <c r="BG478">
        <f ca="1">IF(AND($AT478&lt;3,OFFSET(DATA!$C$14,$AS478,0)=BG$6),$AV478,dNULL)</f>
        <v>-99</v>
      </c>
      <c r="BH478">
        <f ca="1">IF(AND($AT478&lt;3,OFFSET(DATA!$C$14,$AS478,0)=BH$6),$AV478,dNULL)</f>
        <v>-99</v>
      </c>
    </row>
    <row r="479" spans="45:60" x14ac:dyDescent="0.25">
      <c r="AS479">
        <f t="shared" si="116"/>
        <v>23</v>
      </c>
      <c r="AT479">
        <f t="shared" si="117"/>
        <v>5</v>
      </c>
      <c r="AU479">
        <f t="shared" ca="1" si="118"/>
        <v>-99</v>
      </c>
      <c r="AV479">
        <f t="shared" ca="1" si="119"/>
        <v>-99</v>
      </c>
      <c r="AW479">
        <f ca="1">IF(AND($AT479&lt;3,OFFSET(DATA!$C$14,$AS479,0)=AW$6),$AV479,dNULL)</f>
        <v>-99</v>
      </c>
      <c r="AX479">
        <f ca="1">IF(AND($AT479&lt;3,OFFSET(DATA!$C$14,$AS479,0)=AX$6),$AV479,dNULL)</f>
        <v>-99</v>
      </c>
      <c r="AY479">
        <f ca="1">IF(AND($AT479&lt;3,OFFSET(DATA!$C$14,$AS479,0)=AY$6),$AV479,dNULL)</f>
        <v>-99</v>
      </c>
      <c r="AZ479">
        <f ca="1">IF(AND($AT479&lt;3,OFFSET(DATA!$C$14,$AS479,0)=AZ$6),$AV479,dNULL)</f>
        <v>-99</v>
      </c>
      <c r="BA479">
        <f ca="1">IF(AND($AT479&lt;3,OFFSET(DATA!$C$14,$AS479,0)=BA$6),$AV479,dNULL)</f>
        <v>-99</v>
      </c>
      <c r="BB479">
        <f ca="1">IF(AND($AT479&lt;3,OFFSET(DATA!$C$14,$AS479,0)=BB$6),$AV479,dNULL)</f>
        <v>-99</v>
      </c>
      <c r="BC479">
        <f ca="1">IF(AND($AT479&lt;3,OFFSET(DATA!$C$14,$AS479,0)=BC$6),$AV479,dNULL)</f>
        <v>-99</v>
      </c>
      <c r="BD479">
        <f ca="1">IF(AND($AT479&lt;3,OFFSET(DATA!$C$14,$AS479,0)=BD$6),$AV479,dNULL)</f>
        <v>-99</v>
      </c>
      <c r="BE479">
        <f ca="1">IF(AND($AT479&lt;3,OFFSET(DATA!$C$14,$AS479,0)=BE$6),$AV479,dNULL)</f>
        <v>-99</v>
      </c>
      <c r="BF479">
        <f ca="1">IF(AND($AT479&lt;3,OFFSET(DATA!$C$14,$AS479,0)=BF$6),$AV479,dNULL)</f>
        <v>-99</v>
      </c>
      <c r="BG479">
        <f ca="1">IF(AND($AT479&lt;3,OFFSET(DATA!$C$14,$AS479,0)=BG$6),$AV479,dNULL)</f>
        <v>-99</v>
      </c>
      <c r="BH479">
        <f ca="1">IF(AND($AT479&lt;3,OFFSET(DATA!$C$14,$AS479,0)=BH$6),$AV479,dNULL)</f>
        <v>-99</v>
      </c>
    </row>
    <row r="480" spans="45:60" x14ac:dyDescent="0.25">
      <c r="AS480">
        <f t="shared" si="116"/>
        <v>24</v>
      </c>
      <c r="AT480">
        <f t="shared" si="117"/>
        <v>5</v>
      </c>
      <c r="AU480">
        <f t="shared" ca="1" si="118"/>
        <v>-99</v>
      </c>
      <c r="AV480">
        <f t="shared" ca="1" si="119"/>
        <v>-99</v>
      </c>
      <c r="AW480">
        <f ca="1">IF(AND($AT480&lt;3,OFFSET(DATA!$C$14,$AS480,0)=AW$6),$AV480,dNULL)</f>
        <v>-99</v>
      </c>
      <c r="AX480">
        <f ca="1">IF(AND($AT480&lt;3,OFFSET(DATA!$C$14,$AS480,0)=AX$6),$AV480,dNULL)</f>
        <v>-99</v>
      </c>
      <c r="AY480">
        <f ca="1">IF(AND($AT480&lt;3,OFFSET(DATA!$C$14,$AS480,0)=AY$6),$AV480,dNULL)</f>
        <v>-99</v>
      </c>
      <c r="AZ480">
        <f ca="1">IF(AND($AT480&lt;3,OFFSET(DATA!$C$14,$AS480,0)=AZ$6),$AV480,dNULL)</f>
        <v>-99</v>
      </c>
      <c r="BA480">
        <f ca="1">IF(AND($AT480&lt;3,OFFSET(DATA!$C$14,$AS480,0)=BA$6),$AV480,dNULL)</f>
        <v>-99</v>
      </c>
      <c r="BB480">
        <f ca="1">IF(AND($AT480&lt;3,OFFSET(DATA!$C$14,$AS480,0)=BB$6),$AV480,dNULL)</f>
        <v>-99</v>
      </c>
      <c r="BC480">
        <f ca="1">IF(AND($AT480&lt;3,OFFSET(DATA!$C$14,$AS480,0)=BC$6),$AV480,dNULL)</f>
        <v>-99</v>
      </c>
      <c r="BD480">
        <f ca="1">IF(AND($AT480&lt;3,OFFSET(DATA!$C$14,$AS480,0)=BD$6),$AV480,dNULL)</f>
        <v>-99</v>
      </c>
      <c r="BE480">
        <f ca="1">IF(AND($AT480&lt;3,OFFSET(DATA!$C$14,$AS480,0)=BE$6),$AV480,dNULL)</f>
        <v>-99</v>
      </c>
      <c r="BF480">
        <f ca="1">IF(AND($AT480&lt;3,OFFSET(DATA!$C$14,$AS480,0)=BF$6),$AV480,dNULL)</f>
        <v>-99</v>
      </c>
      <c r="BG480">
        <f ca="1">IF(AND($AT480&lt;3,OFFSET(DATA!$C$14,$AS480,0)=BG$6),$AV480,dNULL)</f>
        <v>-99</v>
      </c>
      <c r="BH480">
        <f ca="1">IF(AND($AT480&lt;3,OFFSET(DATA!$C$14,$AS480,0)=BH$6),$AV480,dNULL)</f>
        <v>-99</v>
      </c>
    </row>
    <row r="481" spans="45:60" x14ac:dyDescent="0.25">
      <c r="AS481">
        <f t="shared" si="116"/>
        <v>25</v>
      </c>
      <c r="AT481">
        <f t="shared" si="117"/>
        <v>5</v>
      </c>
      <c r="AU481">
        <f t="shared" ca="1" si="118"/>
        <v>-99</v>
      </c>
      <c r="AV481">
        <f t="shared" ca="1" si="119"/>
        <v>-99</v>
      </c>
      <c r="AW481">
        <f ca="1">IF(AND($AT481&lt;3,OFFSET(DATA!$C$14,$AS481,0)=AW$6),$AV481,dNULL)</f>
        <v>-99</v>
      </c>
      <c r="AX481">
        <f ca="1">IF(AND($AT481&lt;3,OFFSET(DATA!$C$14,$AS481,0)=AX$6),$AV481,dNULL)</f>
        <v>-99</v>
      </c>
      <c r="AY481">
        <f ca="1">IF(AND($AT481&lt;3,OFFSET(DATA!$C$14,$AS481,0)=AY$6),$AV481,dNULL)</f>
        <v>-99</v>
      </c>
      <c r="AZ481">
        <f ca="1">IF(AND($AT481&lt;3,OFFSET(DATA!$C$14,$AS481,0)=AZ$6),$AV481,dNULL)</f>
        <v>-99</v>
      </c>
      <c r="BA481">
        <f ca="1">IF(AND($AT481&lt;3,OFFSET(DATA!$C$14,$AS481,0)=BA$6),$AV481,dNULL)</f>
        <v>-99</v>
      </c>
      <c r="BB481">
        <f ca="1">IF(AND($AT481&lt;3,OFFSET(DATA!$C$14,$AS481,0)=BB$6),$AV481,dNULL)</f>
        <v>-99</v>
      </c>
      <c r="BC481">
        <f ca="1">IF(AND($AT481&lt;3,OFFSET(DATA!$C$14,$AS481,0)=BC$6),$AV481,dNULL)</f>
        <v>-99</v>
      </c>
      <c r="BD481">
        <f ca="1">IF(AND($AT481&lt;3,OFFSET(DATA!$C$14,$AS481,0)=BD$6),$AV481,dNULL)</f>
        <v>-99</v>
      </c>
      <c r="BE481">
        <f ca="1">IF(AND($AT481&lt;3,OFFSET(DATA!$C$14,$AS481,0)=BE$6),$AV481,dNULL)</f>
        <v>-99</v>
      </c>
      <c r="BF481">
        <f ca="1">IF(AND($AT481&lt;3,OFFSET(DATA!$C$14,$AS481,0)=BF$6),$AV481,dNULL)</f>
        <v>-99</v>
      </c>
      <c r="BG481">
        <f ca="1">IF(AND($AT481&lt;3,OFFSET(DATA!$C$14,$AS481,0)=BG$6),$AV481,dNULL)</f>
        <v>-99</v>
      </c>
      <c r="BH481">
        <f ca="1">IF(AND($AT481&lt;3,OFFSET(DATA!$C$14,$AS481,0)=BH$6),$AV481,dNULL)</f>
        <v>-99</v>
      </c>
    </row>
    <row r="482" spans="45:60" x14ac:dyDescent="0.25">
      <c r="AS482">
        <f t="shared" si="116"/>
        <v>26</v>
      </c>
      <c r="AT482">
        <f t="shared" si="117"/>
        <v>5</v>
      </c>
      <c r="AU482">
        <f t="shared" ca="1" si="118"/>
        <v>-99</v>
      </c>
      <c r="AV482">
        <f t="shared" ca="1" si="119"/>
        <v>-99</v>
      </c>
      <c r="AW482">
        <f ca="1">IF(AND($AT482&lt;3,OFFSET(DATA!$C$14,$AS482,0)=AW$6),$AV482,dNULL)</f>
        <v>-99</v>
      </c>
      <c r="AX482">
        <f ca="1">IF(AND($AT482&lt;3,OFFSET(DATA!$C$14,$AS482,0)=AX$6),$AV482,dNULL)</f>
        <v>-99</v>
      </c>
      <c r="AY482">
        <f ca="1">IF(AND($AT482&lt;3,OFFSET(DATA!$C$14,$AS482,0)=AY$6),$AV482,dNULL)</f>
        <v>-99</v>
      </c>
      <c r="AZ482">
        <f ca="1">IF(AND($AT482&lt;3,OFFSET(DATA!$C$14,$AS482,0)=AZ$6),$AV482,dNULL)</f>
        <v>-99</v>
      </c>
      <c r="BA482">
        <f ca="1">IF(AND($AT482&lt;3,OFFSET(DATA!$C$14,$AS482,0)=BA$6),$AV482,dNULL)</f>
        <v>-99</v>
      </c>
      <c r="BB482">
        <f ca="1">IF(AND($AT482&lt;3,OFFSET(DATA!$C$14,$AS482,0)=BB$6),$AV482,dNULL)</f>
        <v>-99</v>
      </c>
      <c r="BC482">
        <f ca="1">IF(AND($AT482&lt;3,OFFSET(DATA!$C$14,$AS482,0)=BC$6),$AV482,dNULL)</f>
        <v>-99</v>
      </c>
      <c r="BD482">
        <f ca="1">IF(AND($AT482&lt;3,OFFSET(DATA!$C$14,$AS482,0)=BD$6),$AV482,dNULL)</f>
        <v>-99</v>
      </c>
      <c r="BE482">
        <f ca="1">IF(AND($AT482&lt;3,OFFSET(DATA!$C$14,$AS482,0)=BE$6),$AV482,dNULL)</f>
        <v>-99</v>
      </c>
      <c r="BF482">
        <f ca="1">IF(AND($AT482&lt;3,OFFSET(DATA!$C$14,$AS482,0)=BF$6),$AV482,dNULL)</f>
        <v>-99</v>
      </c>
      <c r="BG482">
        <f ca="1">IF(AND($AT482&lt;3,OFFSET(DATA!$C$14,$AS482,0)=BG$6),$AV482,dNULL)</f>
        <v>-99</v>
      </c>
      <c r="BH482">
        <f ca="1">IF(AND($AT482&lt;3,OFFSET(DATA!$C$14,$AS482,0)=BH$6),$AV482,dNULL)</f>
        <v>-99</v>
      </c>
    </row>
    <row r="483" spans="45:60" x14ac:dyDescent="0.25">
      <c r="AS483">
        <f t="shared" si="116"/>
        <v>27</v>
      </c>
      <c r="AT483">
        <f t="shared" si="117"/>
        <v>5</v>
      </c>
      <c r="AU483">
        <f t="shared" ca="1" si="118"/>
        <v>-99</v>
      </c>
      <c r="AV483">
        <f t="shared" ca="1" si="119"/>
        <v>-99</v>
      </c>
      <c r="AW483">
        <f ca="1">IF(AND($AT483&lt;3,OFFSET(DATA!$C$14,$AS483,0)=AW$6),$AV483,dNULL)</f>
        <v>-99</v>
      </c>
      <c r="AX483">
        <f ca="1">IF(AND($AT483&lt;3,OFFSET(DATA!$C$14,$AS483,0)=AX$6),$AV483,dNULL)</f>
        <v>-99</v>
      </c>
      <c r="AY483">
        <f ca="1">IF(AND($AT483&lt;3,OFFSET(DATA!$C$14,$AS483,0)=AY$6),$AV483,dNULL)</f>
        <v>-99</v>
      </c>
      <c r="AZ483">
        <f ca="1">IF(AND($AT483&lt;3,OFFSET(DATA!$C$14,$AS483,0)=AZ$6),$AV483,dNULL)</f>
        <v>-99</v>
      </c>
      <c r="BA483">
        <f ca="1">IF(AND($AT483&lt;3,OFFSET(DATA!$C$14,$AS483,0)=BA$6),$AV483,dNULL)</f>
        <v>-99</v>
      </c>
      <c r="BB483">
        <f ca="1">IF(AND($AT483&lt;3,OFFSET(DATA!$C$14,$AS483,0)=BB$6),$AV483,dNULL)</f>
        <v>-99</v>
      </c>
      <c r="BC483">
        <f ca="1">IF(AND($AT483&lt;3,OFFSET(DATA!$C$14,$AS483,0)=BC$6),$AV483,dNULL)</f>
        <v>-99</v>
      </c>
      <c r="BD483">
        <f ca="1">IF(AND($AT483&lt;3,OFFSET(DATA!$C$14,$AS483,0)=BD$6),$AV483,dNULL)</f>
        <v>-99</v>
      </c>
      <c r="BE483">
        <f ca="1">IF(AND($AT483&lt;3,OFFSET(DATA!$C$14,$AS483,0)=BE$6),$AV483,dNULL)</f>
        <v>-99</v>
      </c>
      <c r="BF483">
        <f ca="1">IF(AND($AT483&lt;3,OFFSET(DATA!$C$14,$AS483,0)=BF$6),$AV483,dNULL)</f>
        <v>-99</v>
      </c>
      <c r="BG483">
        <f ca="1">IF(AND($AT483&lt;3,OFFSET(DATA!$C$14,$AS483,0)=BG$6),$AV483,dNULL)</f>
        <v>-99</v>
      </c>
      <c r="BH483">
        <f ca="1">IF(AND($AT483&lt;3,OFFSET(DATA!$C$14,$AS483,0)=BH$6),$AV483,dNULL)</f>
        <v>-99</v>
      </c>
    </row>
    <row r="484" spans="45:60" x14ac:dyDescent="0.25">
      <c r="AS484">
        <f t="shared" si="116"/>
        <v>28</v>
      </c>
      <c r="AT484">
        <f t="shared" si="117"/>
        <v>5</v>
      </c>
      <c r="AU484">
        <f t="shared" ca="1" si="118"/>
        <v>-99</v>
      </c>
      <c r="AV484">
        <f t="shared" ca="1" si="119"/>
        <v>-99</v>
      </c>
      <c r="AW484">
        <f ca="1">IF(AND($AT484&lt;3,OFFSET(DATA!$C$14,$AS484,0)=AW$6),$AV484,dNULL)</f>
        <v>-99</v>
      </c>
      <c r="AX484">
        <f ca="1">IF(AND($AT484&lt;3,OFFSET(DATA!$C$14,$AS484,0)=AX$6),$AV484,dNULL)</f>
        <v>-99</v>
      </c>
      <c r="AY484">
        <f ca="1">IF(AND($AT484&lt;3,OFFSET(DATA!$C$14,$AS484,0)=AY$6),$AV484,dNULL)</f>
        <v>-99</v>
      </c>
      <c r="AZ484">
        <f ca="1">IF(AND($AT484&lt;3,OFFSET(DATA!$C$14,$AS484,0)=AZ$6),$AV484,dNULL)</f>
        <v>-99</v>
      </c>
      <c r="BA484">
        <f ca="1">IF(AND($AT484&lt;3,OFFSET(DATA!$C$14,$AS484,0)=BA$6),$AV484,dNULL)</f>
        <v>-99</v>
      </c>
      <c r="BB484">
        <f ca="1">IF(AND($AT484&lt;3,OFFSET(DATA!$C$14,$AS484,0)=BB$6),$AV484,dNULL)</f>
        <v>-99</v>
      </c>
      <c r="BC484">
        <f ca="1">IF(AND($AT484&lt;3,OFFSET(DATA!$C$14,$AS484,0)=BC$6),$AV484,dNULL)</f>
        <v>-99</v>
      </c>
      <c r="BD484">
        <f ca="1">IF(AND($AT484&lt;3,OFFSET(DATA!$C$14,$AS484,0)=BD$6),$AV484,dNULL)</f>
        <v>-99</v>
      </c>
      <c r="BE484">
        <f ca="1">IF(AND($AT484&lt;3,OFFSET(DATA!$C$14,$AS484,0)=BE$6),$AV484,dNULL)</f>
        <v>-99</v>
      </c>
      <c r="BF484">
        <f ca="1">IF(AND($AT484&lt;3,OFFSET(DATA!$C$14,$AS484,0)=BF$6),$AV484,dNULL)</f>
        <v>-99</v>
      </c>
      <c r="BG484">
        <f ca="1">IF(AND($AT484&lt;3,OFFSET(DATA!$C$14,$AS484,0)=BG$6),$AV484,dNULL)</f>
        <v>-99</v>
      </c>
      <c r="BH484">
        <f ca="1">IF(AND($AT484&lt;3,OFFSET(DATA!$C$14,$AS484,0)=BH$6),$AV484,dNULL)</f>
        <v>-99</v>
      </c>
    </row>
    <row r="485" spans="45:60" x14ac:dyDescent="0.25">
      <c r="AS485">
        <f t="shared" si="116"/>
        <v>29</v>
      </c>
      <c r="AT485">
        <f t="shared" si="117"/>
        <v>5</v>
      </c>
      <c r="AU485">
        <f t="shared" ca="1" si="118"/>
        <v>-99</v>
      </c>
      <c r="AV485">
        <f t="shared" ca="1" si="119"/>
        <v>-99</v>
      </c>
      <c r="AW485">
        <f ca="1">IF(AND($AT485&lt;3,OFFSET(DATA!$C$14,$AS485,0)=AW$6),$AV485,dNULL)</f>
        <v>-99</v>
      </c>
      <c r="AX485">
        <f ca="1">IF(AND($AT485&lt;3,OFFSET(DATA!$C$14,$AS485,0)=AX$6),$AV485,dNULL)</f>
        <v>-99</v>
      </c>
      <c r="AY485">
        <f ca="1">IF(AND($AT485&lt;3,OFFSET(DATA!$C$14,$AS485,0)=AY$6),$AV485,dNULL)</f>
        <v>-99</v>
      </c>
      <c r="AZ485">
        <f ca="1">IF(AND($AT485&lt;3,OFFSET(DATA!$C$14,$AS485,0)=AZ$6),$AV485,dNULL)</f>
        <v>-99</v>
      </c>
      <c r="BA485">
        <f ca="1">IF(AND($AT485&lt;3,OFFSET(DATA!$C$14,$AS485,0)=BA$6),$AV485,dNULL)</f>
        <v>-99</v>
      </c>
      <c r="BB485">
        <f ca="1">IF(AND($AT485&lt;3,OFFSET(DATA!$C$14,$AS485,0)=BB$6),$AV485,dNULL)</f>
        <v>-99</v>
      </c>
      <c r="BC485">
        <f ca="1">IF(AND($AT485&lt;3,OFFSET(DATA!$C$14,$AS485,0)=BC$6),$AV485,dNULL)</f>
        <v>-99</v>
      </c>
      <c r="BD485">
        <f ca="1">IF(AND($AT485&lt;3,OFFSET(DATA!$C$14,$AS485,0)=BD$6),$AV485,dNULL)</f>
        <v>-99</v>
      </c>
      <c r="BE485">
        <f ca="1">IF(AND($AT485&lt;3,OFFSET(DATA!$C$14,$AS485,0)=BE$6),$AV485,dNULL)</f>
        <v>-99</v>
      </c>
      <c r="BF485">
        <f ca="1">IF(AND($AT485&lt;3,OFFSET(DATA!$C$14,$AS485,0)=BF$6),$AV485,dNULL)</f>
        <v>-99</v>
      </c>
      <c r="BG485">
        <f ca="1">IF(AND($AT485&lt;3,OFFSET(DATA!$C$14,$AS485,0)=BG$6),$AV485,dNULL)</f>
        <v>-99</v>
      </c>
      <c r="BH485">
        <f ca="1">IF(AND($AT485&lt;3,OFFSET(DATA!$C$14,$AS485,0)=BH$6),$AV485,dNULL)</f>
        <v>-99</v>
      </c>
    </row>
    <row r="486" spans="45:60" x14ac:dyDescent="0.25">
      <c r="AS486">
        <f t="shared" si="116"/>
        <v>30</v>
      </c>
      <c r="AT486">
        <f t="shared" si="117"/>
        <v>5</v>
      </c>
      <c r="AU486">
        <f t="shared" ca="1" si="118"/>
        <v>-99</v>
      </c>
      <c r="AV486">
        <f t="shared" ca="1" si="119"/>
        <v>-99</v>
      </c>
      <c r="AW486">
        <f ca="1">IF(AND($AT486&lt;3,OFFSET(DATA!$C$14,$AS486,0)=AW$6),$AV486,dNULL)</f>
        <v>-99</v>
      </c>
      <c r="AX486">
        <f ca="1">IF(AND($AT486&lt;3,OFFSET(DATA!$C$14,$AS486,0)=AX$6),$AV486,dNULL)</f>
        <v>-99</v>
      </c>
      <c r="AY486">
        <f ca="1">IF(AND($AT486&lt;3,OFFSET(DATA!$C$14,$AS486,0)=AY$6),$AV486,dNULL)</f>
        <v>-99</v>
      </c>
      <c r="AZ486">
        <f ca="1">IF(AND($AT486&lt;3,OFFSET(DATA!$C$14,$AS486,0)=AZ$6),$AV486,dNULL)</f>
        <v>-99</v>
      </c>
      <c r="BA486">
        <f ca="1">IF(AND($AT486&lt;3,OFFSET(DATA!$C$14,$AS486,0)=BA$6),$AV486,dNULL)</f>
        <v>-99</v>
      </c>
      <c r="BB486">
        <f ca="1">IF(AND($AT486&lt;3,OFFSET(DATA!$C$14,$AS486,0)=BB$6),$AV486,dNULL)</f>
        <v>-99</v>
      </c>
      <c r="BC486">
        <f ca="1">IF(AND($AT486&lt;3,OFFSET(DATA!$C$14,$AS486,0)=BC$6),$AV486,dNULL)</f>
        <v>-99</v>
      </c>
      <c r="BD486">
        <f ca="1">IF(AND($AT486&lt;3,OFFSET(DATA!$C$14,$AS486,0)=BD$6),$AV486,dNULL)</f>
        <v>-99</v>
      </c>
      <c r="BE486">
        <f ca="1">IF(AND($AT486&lt;3,OFFSET(DATA!$C$14,$AS486,0)=BE$6),$AV486,dNULL)</f>
        <v>-99</v>
      </c>
      <c r="BF486">
        <f ca="1">IF(AND($AT486&lt;3,OFFSET(DATA!$C$14,$AS486,0)=BF$6),$AV486,dNULL)</f>
        <v>-99</v>
      </c>
      <c r="BG486">
        <f ca="1">IF(AND($AT486&lt;3,OFFSET(DATA!$C$14,$AS486,0)=BG$6),$AV486,dNULL)</f>
        <v>-99</v>
      </c>
      <c r="BH486">
        <f ca="1">IF(AND($AT486&lt;3,OFFSET(DATA!$C$14,$AS486,0)=BH$6),$AV486,dNULL)</f>
        <v>-99</v>
      </c>
    </row>
    <row r="487" spans="45:60" x14ac:dyDescent="0.25">
      <c r="AS487">
        <f t="shared" si="116"/>
        <v>31</v>
      </c>
      <c r="AT487">
        <f t="shared" si="117"/>
        <v>5</v>
      </c>
      <c r="AU487">
        <f t="shared" ca="1" si="118"/>
        <v>-99</v>
      </c>
      <c r="AV487">
        <f t="shared" ca="1" si="119"/>
        <v>-99</v>
      </c>
      <c r="AW487">
        <f ca="1">IF(AND($AT487&lt;3,OFFSET(DATA!$C$14,$AS487,0)=AW$6),$AV487,dNULL)</f>
        <v>-99</v>
      </c>
      <c r="AX487">
        <f ca="1">IF(AND($AT487&lt;3,OFFSET(DATA!$C$14,$AS487,0)=AX$6),$AV487,dNULL)</f>
        <v>-99</v>
      </c>
      <c r="AY487">
        <f ca="1">IF(AND($AT487&lt;3,OFFSET(DATA!$C$14,$AS487,0)=AY$6),$AV487,dNULL)</f>
        <v>-99</v>
      </c>
      <c r="AZ487">
        <f ca="1">IF(AND($AT487&lt;3,OFFSET(DATA!$C$14,$AS487,0)=AZ$6),$AV487,dNULL)</f>
        <v>-99</v>
      </c>
      <c r="BA487">
        <f ca="1">IF(AND($AT487&lt;3,OFFSET(DATA!$C$14,$AS487,0)=BA$6),$AV487,dNULL)</f>
        <v>-99</v>
      </c>
      <c r="BB487">
        <f ca="1">IF(AND($AT487&lt;3,OFFSET(DATA!$C$14,$AS487,0)=BB$6),$AV487,dNULL)</f>
        <v>-99</v>
      </c>
      <c r="BC487">
        <f ca="1">IF(AND($AT487&lt;3,OFFSET(DATA!$C$14,$AS487,0)=BC$6),$AV487,dNULL)</f>
        <v>-99</v>
      </c>
      <c r="BD487">
        <f ca="1">IF(AND($AT487&lt;3,OFFSET(DATA!$C$14,$AS487,0)=BD$6),$AV487,dNULL)</f>
        <v>-99</v>
      </c>
      <c r="BE487">
        <f ca="1">IF(AND($AT487&lt;3,OFFSET(DATA!$C$14,$AS487,0)=BE$6),$AV487,dNULL)</f>
        <v>-99</v>
      </c>
      <c r="BF487">
        <f ca="1">IF(AND($AT487&lt;3,OFFSET(DATA!$C$14,$AS487,0)=BF$6),$AV487,dNULL)</f>
        <v>-99</v>
      </c>
      <c r="BG487">
        <f ca="1">IF(AND($AT487&lt;3,OFFSET(DATA!$C$14,$AS487,0)=BG$6),$AV487,dNULL)</f>
        <v>-99</v>
      </c>
      <c r="BH487">
        <f ca="1">IF(AND($AT487&lt;3,OFFSET(DATA!$C$14,$AS487,0)=BH$6),$AV487,dNULL)</f>
        <v>-99</v>
      </c>
    </row>
    <row r="488" spans="45:60" x14ac:dyDescent="0.25">
      <c r="AS488">
        <f t="shared" si="116"/>
        <v>32</v>
      </c>
      <c r="AT488">
        <f t="shared" si="117"/>
        <v>5</v>
      </c>
      <c r="AU488">
        <f t="shared" ca="1" si="118"/>
        <v>-99</v>
      </c>
      <c r="AV488">
        <f t="shared" ca="1" si="119"/>
        <v>-99</v>
      </c>
      <c r="AW488">
        <f ca="1">IF(AND($AT488&lt;3,OFFSET(DATA!$C$14,$AS488,0)=AW$6),$AV488,dNULL)</f>
        <v>-99</v>
      </c>
      <c r="AX488">
        <f ca="1">IF(AND($AT488&lt;3,OFFSET(DATA!$C$14,$AS488,0)=AX$6),$AV488,dNULL)</f>
        <v>-99</v>
      </c>
      <c r="AY488">
        <f ca="1">IF(AND($AT488&lt;3,OFFSET(DATA!$C$14,$AS488,0)=AY$6),$AV488,dNULL)</f>
        <v>-99</v>
      </c>
      <c r="AZ488">
        <f ca="1">IF(AND($AT488&lt;3,OFFSET(DATA!$C$14,$AS488,0)=AZ$6),$AV488,dNULL)</f>
        <v>-99</v>
      </c>
      <c r="BA488">
        <f ca="1">IF(AND($AT488&lt;3,OFFSET(DATA!$C$14,$AS488,0)=BA$6),$AV488,dNULL)</f>
        <v>-99</v>
      </c>
      <c r="BB488">
        <f ca="1">IF(AND($AT488&lt;3,OFFSET(DATA!$C$14,$AS488,0)=BB$6),$AV488,dNULL)</f>
        <v>-99</v>
      </c>
      <c r="BC488">
        <f ca="1">IF(AND($AT488&lt;3,OFFSET(DATA!$C$14,$AS488,0)=BC$6),$AV488,dNULL)</f>
        <v>-99</v>
      </c>
      <c r="BD488">
        <f ca="1">IF(AND($AT488&lt;3,OFFSET(DATA!$C$14,$AS488,0)=BD$6),$AV488,dNULL)</f>
        <v>-99</v>
      </c>
      <c r="BE488">
        <f ca="1">IF(AND($AT488&lt;3,OFFSET(DATA!$C$14,$AS488,0)=BE$6),$AV488,dNULL)</f>
        <v>-99</v>
      </c>
      <c r="BF488">
        <f ca="1">IF(AND($AT488&lt;3,OFFSET(DATA!$C$14,$AS488,0)=BF$6),$AV488,dNULL)</f>
        <v>-99</v>
      </c>
      <c r="BG488">
        <f ca="1">IF(AND($AT488&lt;3,OFFSET(DATA!$C$14,$AS488,0)=BG$6),$AV488,dNULL)</f>
        <v>-99</v>
      </c>
      <c r="BH488">
        <f ca="1">IF(AND($AT488&lt;3,OFFSET(DATA!$C$14,$AS488,0)=BH$6),$AV488,dNULL)</f>
        <v>-99</v>
      </c>
    </row>
    <row r="489" spans="45:60" x14ac:dyDescent="0.25">
      <c r="AS489">
        <f t="shared" si="116"/>
        <v>33</v>
      </c>
      <c r="AT489">
        <f t="shared" si="117"/>
        <v>5</v>
      </c>
      <c r="AU489">
        <f t="shared" ca="1" si="118"/>
        <v>-99</v>
      </c>
      <c r="AV489">
        <f t="shared" ca="1" si="119"/>
        <v>-99</v>
      </c>
      <c r="AW489">
        <f ca="1">IF(AND($AT489&lt;3,OFFSET(DATA!$C$14,$AS489,0)=AW$6),$AV489,dNULL)</f>
        <v>-99</v>
      </c>
      <c r="AX489">
        <f ca="1">IF(AND($AT489&lt;3,OFFSET(DATA!$C$14,$AS489,0)=AX$6),$AV489,dNULL)</f>
        <v>-99</v>
      </c>
      <c r="AY489">
        <f ca="1">IF(AND($AT489&lt;3,OFFSET(DATA!$C$14,$AS489,0)=AY$6),$AV489,dNULL)</f>
        <v>-99</v>
      </c>
      <c r="AZ489">
        <f ca="1">IF(AND($AT489&lt;3,OFFSET(DATA!$C$14,$AS489,0)=AZ$6),$AV489,dNULL)</f>
        <v>-99</v>
      </c>
      <c r="BA489">
        <f ca="1">IF(AND($AT489&lt;3,OFFSET(DATA!$C$14,$AS489,0)=BA$6),$AV489,dNULL)</f>
        <v>-99</v>
      </c>
      <c r="BB489">
        <f ca="1">IF(AND($AT489&lt;3,OFFSET(DATA!$C$14,$AS489,0)=BB$6),$AV489,dNULL)</f>
        <v>-99</v>
      </c>
      <c r="BC489">
        <f ca="1">IF(AND($AT489&lt;3,OFFSET(DATA!$C$14,$AS489,0)=BC$6),$AV489,dNULL)</f>
        <v>-99</v>
      </c>
      <c r="BD489">
        <f ca="1">IF(AND($AT489&lt;3,OFFSET(DATA!$C$14,$AS489,0)=BD$6),$AV489,dNULL)</f>
        <v>-99</v>
      </c>
      <c r="BE489">
        <f ca="1">IF(AND($AT489&lt;3,OFFSET(DATA!$C$14,$AS489,0)=BE$6),$AV489,dNULL)</f>
        <v>-99</v>
      </c>
      <c r="BF489">
        <f ca="1">IF(AND($AT489&lt;3,OFFSET(DATA!$C$14,$AS489,0)=BF$6),$AV489,dNULL)</f>
        <v>-99</v>
      </c>
      <c r="BG489">
        <f ca="1">IF(AND($AT489&lt;3,OFFSET(DATA!$C$14,$AS489,0)=BG$6),$AV489,dNULL)</f>
        <v>-99</v>
      </c>
      <c r="BH489">
        <f ca="1">IF(AND($AT489&lt;3,OFFSET(DATA!$C$14,$AS489,0)=BH$6),$AV489,dNULL)</f>
        <v>-99</v>
      </c>
    </row>
    <row r="490" spans="45:60" x14ac:dyDescent="0.25">
      <c r="AS490">
        <f t="shared" si="116"/>
        <v>34</v>
      </c>
      <c r="AT490">
        <f t="shared" si="117"/>
        <v>5</v>
      </c>
      <c r="AU490">
        <f t="shared" ca="1" si="118"/>
        <v>-99</v>
      </c>
      <c r="AV490">
        <f t="shared" ca="1" si="119"/>
        <v>-99</v>
      </c>
      <c r="AW490">
        <f ca="1">IF(AND($AT490&lt;3,OFFSET(DATA!$C$14,$AS490,0)=AW$6),$AV490,dNULL)</f>
        <v>-99</v>
      </c>
      <c r="AX490">
        <f ca="1">IF(AND($AT490&lt;3,OFFSET(DATA!$C$14,$AS490,0)=AX$6),$AV490,dNULL)</f>
        <v>-99</v>
      </c>
      <c r="AY490">
        <f ca="1">IF(AND($AT490&lt;3,OFFSET(DATA!$C$14,$AS490,0)=AY$6),$AV490,dNULL)</f>
        <v>-99</v>
      </c>
      <c r="AZ490">
        <f ca="1">IF(AND($AT490&lt;3,OFFSET(DATA!$C$14,$AS490,0)=AZ$6),$AV490,dNULL)</f>
        <v>-99</v>
      </c>
      <c r="BA490">
        <f ca="1">IF(AND($AT490&lt;3,OFFSET(DATA!$C$14,$AS490,0)=BA$6),$AV490,dNULL)</f>
        <v>-99</v>
      </c>
      <c r="BB490">
        <f ca="1">IF(AND($AT490&lt;3,OFFSET(DATA!$C$14,$AS490,0)=BB$6),$AV490,dNULL)</f>
        <v>-99</v>
      </c>
      <c r="BC490">
        <f ca="1">IF(AND($AT490&lt;3,OFFSET(DATA!$C$14,$AS490,0)=BC$6),$AV490,dNULL)</f>
        <v>-99</v>
      </c>
      <c r="BD490">
        <f ca="1">IF(AND($AT490&lt;3,OFFSET(DATA!$C$14,$AS490,0)=BD$6),$AV490,dNULL)</f>
        <v>-99</v>
      </c>
      <c r="BE490">
        <f ca="1">IF(AND($AT490&lt;3,OFFSET(DATA!$C$14,$AS490,0)=BE$6),$AV490,dNULL)</f>
        <v>-99</v>
      </c>
      <c r="BF490">
        <f ca="1">IF(AND($AT490&lt;3,OFFSET(DATA!$C$14,$AS490,0)=BF$6),$AV490,dNULL)</f>
        <v>-99</v>
      </c>
      <c r="BG490">
        <f ca="1">IF(AND($AT490&lt;3,OFFSET(DATA!$C$14,$AS490,0)=BG$6),$AV490,dNULL)</f>
        <v>-99</v>
      </c>
      <c r="BH490">
        <f ca="1">IF(AND($AT490&lt;3,OFFSET(DATA!$C$14,$AS490,0)=BH$6),$AV490,dNULL)</f>
        <v>-99</v>
      </c>
    </row>
    <row r="491" spans="45:60" x14ac:dyDescent="0.25">
      <c r="AS491">
        <f t="shared" si="116"/>
        <v>35</v>
      </c>
      <c r="AT491">
        <f t="shared" si="117"/>
        <v>5</v>
      </c>
      <c r="AU491">
        <f t="shared" ca="1" si="118"/>
        <v>-99</v>
      </c>
      <c r="AV491">
        <f t="shared" ca="1" si="119"/>
        <v>-99</v>
      </c>
      <c r="AW491">
        <f ca="1">IF(AND($AT491&lt;3,OFFSET(DATA!$C$14,$AS491,0)=AW$6),$AV491,dNULL)</f>
        <v>-99</v>
      </c>
      <c r="AX491">
        <f ca="1">IF(AND($AT491&lt;3,OFFSET(DATA!$C$14,$AS491,0)=AX$6),$AV491,dNULL)</f>
        <v>-99</v>
      </c>
      <c r="AY491">
        <f ca="1">IF(AND($AT491&lt;3,OFFSET(DATA!$C$14,$AS491,0)=AY$6),$AV491,dNULL)</f>
        <v>-99</v>
      </c>
      <c r="AZ491">
        <f ca="1">IF(AND($AT491&lt;3,OFFSET(DATA!$C$14,$AS491,0)=AZ$6),$AV491,dNULL)</f>
        <v>-99</v>
      </c>
      <c r="BA491">
        <f ca="1">IF(AND($AT491&lt;3,OFFSET(DATA!$C$14,$AS491,0)=BA$6),$AV491,dNULL)</f>
        <v>-99</v>
      </c>
      <c r="BB491">
        <f ca="1">IF(AND($AT491&lt;3,OFFSET(DATA!$C$14,$AS491,0)=BB$6),$AV491,dNULL)</f>
        <v>-99</v>
      </c>
      <c r="BC491">
        <f ca="1">IF(AND($AT491&lt;3,OFFSET(DATA!$C$14,$AS491,0)=BC$6),$AV491,dNULL)</f>
        <v>-99</v>
      </c>
      <c r="BD491">
        <f ca="1">IF(AND($AT491&lt;3,OFFSET(DATA!$C$14,$AS491,0)=BD$6),$AV491,dNULL)</f>
        <v>-99</v>
      </c>
      <c r="BE491">
        <f ca="1">IF(AND($AT491&lt;3,OFFSET(DATA!$C$14,$AS491,0)=BE$6),$AV491,dNULL)</f>
        <v>-99</v>
      </c>
      <c r="BF491">
        <f ca="1">IF(AND($AT491&lt;3,OFFSET(DATA!$C$14,$AS491,0)=BF$6),$AV491,dNULL)</f>
        <v>-99</v>
      </c>
      <c r="BG491">
        <f ca="1">IF(AND($AT491&lt;3,OFFSET(DATA!$C$14,$AS491,0)=BG$6),$AV491,dNULL)</f>
        <v>-99</v>
      </c>
      <c r="BH491">
        <f ca="1">IF(AND($AT491&lt;3,OFFSET(DATA!$C$14,$AS491,0)=BH$6),$AV491,dNULL)</f>
        <v>-99</v>
      </c>
    </row>
    <row r="492" spans="45:60" x14ac:dyDescent="0.25">
      <c r="AS492">
        <f t="shared" si="116"/>
        <v>36</v>
      </c>
      <c r="AT492">
        <f t="shared" si="117"/>
        <v>5</v>
      </c>
      <c r="AU492">
        <f t="shared" ca="1" si="118"/>
        <v>-99</v>
      </c>
      <c r="AV492">
        <f t="shared" ca="1" si="119"/>
        <v>-99</v>
      </c>
      <c r="AW492">
        <f ca="1">IF(AND($AT492&lt;3,OFFSET(DATA!$C$14,$AS492,0)=AW$6),$AV492,dNULL)</f>
        <v>-99</v>
      </c>
      <c r="AX492">
        <f ca="1">IF(AND($AT492&lt;3,OFFSET(DATA!$C$14,$AS492,0)=AX$6),$AV492,dNULL)</f>
        <v>-99</v>
      </c>
      <c r="AY492">
        <f ca="1">IF(AND($AT492&lt;3,OFFSET(DATA!$C$14,$AS492,0)=AY$6),$AV492,dNULL)</f>
        <v>-99</v>
      </c>
      <c r="AZ492">
        <f ca="1">IF(AND($AT492&lt;3,OFFSET(DATA!$C$14,$AS492,0)=AZ$6),$AV492,dNULL)</f>
        <v>-99</v>
      </c>
      <c r="BA492">
        <f ca="1">IF(AND($AT492&lt;3,OFFSET(DATA!$C$14,$AS492,0)=BA$6),$AV492,dNULL)</f>
        <v>-99</v>
      </c>
      <c r="BB492">
        <f ca="1">IF(AND($AT492&lt;3,OFFSET(DATA!$C$14,$AS492,0)=BB$6),$AV492,dNULL)</f>
        <v>-99</v>
      </c>
      <c r="BC492">
        <f ca="1">IF(AND($AT492&lt;3,OFFSET(DATA!$C$14,$AS492,0)=BC$6),$AV492,dNULL)</f>
        <v>-99</v>
      </c>
      <c r="BD492">
        <f ca="1">IF(AND($AT492&lt;3,OFFSET(DATA!$C$14,$AS492,0)=BD$6),$AV492,dNULL)</f>
        <v>-99</v>
      </c>
      <c r="BE492">
        <f ca="1">IF(AND($AT492&lt;3,OFFSET(DATA!$C$14,$AS492,0)=BE$6),$AV492,dNULL)</f>
        <v>-99</v>
      </c>
      <c r="BF492">
        <f ca="1">IF(AND($AT492&lt;3,OFFSET(DATA!$C$14,$AS492,0)=BF$6),$AV492,dNULL)</f>
        <v>-99</v>
      </c>
      <c r="BG492">
        <f ca="1">IF(AND($AT492&lt;3,OFFSET(DATA!$C$14,$AS492,0)=BG$6),$AV492,dNULL)</f>
        <v>-99</v>
      </c>
      <c r="BH492">
        <f ca="1">IF(AND($AT492&lt;3,OFFSET(DATA!$C$14,$AS492,0)=BH$6),$AV492,dNULL)</f>
        <v>-99</v>
      </c>
    </row>
    <row r="493" spans="45:60" x14ac:dyDescent="0.25">
      <c r="AS493">
        <f t="shared" si="116"/>
        <v>37</v>
      </c>
      <c r="AT493">
        <f t="shared" si="117"/>
        <v>5</v>
      </c>
      <c r="AU493">
        <f t="shared" ca="1" si="118"/>
        <v>-99</v>
      </c>
      <c r="AV493">
        <f t="shared" ca="1" si="119"/>
        <v>-99</v>
      </c>
      <c r="AW493">
        <f ca="1">IF(AND($AT493&lt;3,OFFSET(DATA!$C$14,$AS493,0)=AW$6),$AV493,dNULL)</f>
        <v>-99</v>
      </c>
      <c r="AX493">
        <f ca="1">IF(AND($AT493&lt;3,OFFSET(DATA!$C$14,$AS493,0)=AX$6),$AV493,dNULL)</f>
        <v>-99</v>
      </c>
      <c r="AY493">
        <f ca="1">IF(AND($AT493&lt;3,OFFSET(DATA!$C$14,$AS493,0)=AY$6),$AV493,dNULL)</f>
        <v>-99</v>
      </c>
      <c r="AZ493">
        <f ca="1">IF(AND($AT493&lt;3,OFFSET(DATA!$C$14,$AS493,0)=AZ$6),$AV493,dNULL)</f>
        <v>-99</v>
      </c>
      <c r="BA493">
        <f ca="1">IF(AND($AT493&lt;3,OFFSET(DATA!$C$14,$AS493,0)=BA$6),$AV493,dNULL)</f>
        <v>-99</v>
      </c>
      <c r="BB493">
        <f ca="1">IF(AND($AT493&lt;3,OFFSET(DATA!$C$14,$AS493,0)=BB$6),$AV493,dNULL)</f>
        <v>-99</v>
      </c>
      <c r="BC493">
        <f ca="1">IF(AND($AT493&lt;3,OFFSET(DATA!$C$14,$AS493,0)=BC$6),$AV493,dNULL)</f>
        <v>-99</v>
      </c>
      <c r="BD493">
        <f ca="1">IF(AND($AT493&lt;3,OFFSET(DATA!$C$14,$AS493,0)=BD$6),$AV493,dNULL)</f>
        <v>-99</v>
      </c>
      <c r="BE493">
        <f ca="1">IF(AND($AT493&lt;3,OFFSET(DATA!$C$14,$AS493,0)=BE$6),$AV493,dNULL)</f>
        <v>-99</v>
      </c>
      <c r="BF493">
        <f ca="1">IF(AND($AT493&lt;3,OFFSET(DATA!$C$14,$AS493,0)=BF$6),$AV493,dNULL)</f>
        <v>-99</v>
      </c>
      <c r="BG493">
        <f ca="1">IF(AND($AT493&lt;3,OFFSET(DATA!$C$14,$AS493,0)=BG$6),$AV493,dNULL)</f>
        <v>-99</v>
      </c>
      <c r="BH493">
        <f ca="1">IF(AND($AT493&lt;3,OFFSET(DATA!$C$14,$AS493,0)=BH$6),$AV493,dNULL)</f>
        <v>-99</v>
      </c>
    </row>
    <row r="494" spans="45:60" x14ac:dyDescent="0.25">
      <c r="AS494">
        <f t="shared" si="116"/>
        <v>38</v>
      </c>
      <c r="AT494">
        <f t="shared" si="117"/>
        <v>5</v>
      </c>
      <c r="AU494">
        <f t="shared" ca="1" si="118"/>
        <v>-99</v>
      </c>
      <c r="AV494">
        <f t="shared" ca="1" si="119"/>
        <v>-99</v>
      </c>
      <c r="AW494">
        <f ca="1">IF(AND($AT494&lt;3,OFFSET(DATA!$C$14,$AS494,0)=AW$6),$AV494,dNULL)</f>
        <v>-99</v>
      </c>
      <c r="AX494">
        <f ca="1">IF(AND($AT494&lt;3,OFFSET(DATA!$C$14,$AS494,0)=AX$6),$AV494,dNULL)</f>
        <v>-99</v>
      </c>
      <c r="AY494">
        <f ca="1">IF(AND($AT494&lt;3,OFFSET(DATA!$C$14,$AS494,0)=AY$6),$AV494,dNULL)</f>
        <v>-99</v>
      </c>
      <c r="AZ494">
        <f ca="1">IF(AND($AT494&lt;3,OFFSET(DATA!$C$14,$AS494,0)=AZ$6),$AV494,dNULL)</f>
        <v>-99</v>
      </c>
      <c r="BA494">
        <f ca="1">IF(AND($AT494&lt;3,OFFSET(DATA!$C$14,$AS494,0)=BA$6),$AV494,dNULL)</f>
        <v>-99</v>
      </c>
      <c r="BB494">
        <f ca="1">IF(AND($AT494&lt;3,OFFSET(DATA!$C$14,$AS494,0)=BB$6),$AV494,dNULL)</f>
        <v>-99</v>
      </c>
      <c r="BC494">
        <f ca="1">IF(AND($AT494&lt;3,OFFSET(DATA!$C$14,$AS494,0)=BC$6),$AV494,dNULL)</f>
        <v>-99</v>
      </c>
      <c r="BD494">
        <f ca="1">IF(AND($AT494&lt;3,OFFSET(DATA!$C$14,$AS494,0)=BD$6),$AV494,dNULL)</f>
        <v>-99</v>
      </c>
      <c r="BE494">
        <f ca="1">IF(AND($AT494&lt;3,OFFSET(DATA!$C$14,$AS494,0)=BE$6),$AV494,dNULL)</f>
        <v>-99</v>
      </c>
      <c r="BF494">
        <f ca="1">IF(AND($AT494&lt;3,OFFSET(DATA!$C$14,$AS494,0)=BF$6),$AV494,dNULL)</f>
        <v>-99</v>
      </c>
      <c r="BG494">
        <f ca="1">IF(AND($AT494&lt;3,OFFSET(DATA!$C$14,$AS494,0)=BG$6),$AV494,dNULL)</f>
        <v>-99</v>
      </c>
      <c r="BH494">
        <f ca="1">IF(AND($AT494&lt;3,OFFSET(DATA!$C$14,$AS494,0)=BH$6),$AV494,dNULL)</f>
        <v>-99</v>
      </c>
    </row>
    <row r="495" spans="45:60" x14ac:dyDescent="0.25">
      <c r="AS495">
        <f t="shared" si="116"/>
        <v>39</v>
      </c>
      <c r="AT495">
        <f t="shared" si="117"/>
        <v>5</v>
      </c>
      <c r="AU495">
        <f t="shared" ca="1" si="118"/>
        <v>-99</v>
      </c>
      <c r="AV495">
        <f t="shared" ca="1" si="119"/>
        <v>-99</v>
      </c>
      <c r="AW495">
        <f ca="1">IF(AND($AT495&lt;3,OFFSET(DATA!$C$14,$AS495,0)=AW$6),$AV495,dNULL)</f>
        <v>-99</v>
      </c>
      <c r="AX495">
        <f ca="1">IF(AND($AT495&lt;3,OFFSET(DATA!$C$14,$AS495,0)=AX$6),$AV495,dNULL)</f>
        <v>-99</v>
      </c>
      <c r="AY495">
        <f ca="1">IF(AND($AT495&lt;3,OFFSET(DATA!$C$14,$AS495,0)=AY$6),$AV495,dNULL)</f>
        <v>-99</v>
      </c>
      <c r="AZ495">
        <f ca="1">IF(AND($AT495&lt;3,OFFSET(DATA!$C$14,$AS495,0)=AZ$6),$AV495,dNULL)</f>
        <v>-99</v>
      </c>
      <c r="BA495">
        <f ca="1">IF(AND($AT495&lt;3,OFFSET(DATA!$C$14,$AS495,0)=BA$6),$AV495,dNULL)</f>
        <v>-99</v>
      </c>
      <c r="BB495">
        <f ca="1">IF(AND($AT495&lt;3,OFFSET(DATA!$C$14,$AS495,0)=BB$6),$AV495,dNULL)</f>
        <v>-99</v>
      </c>
      <c r="BC495">
        <f ca="1">IF(AND($AT495&lt;3,OFFSET(DATA!$C$14,$AS495,0)=BC$6),$AV495,dNULL)</f>
        <v>-99</v>
      </c>
      <c r="BD495">
        <f ca="1">IF(AND($AT495&lt;3,OFFSET(DATA!$C$14,$AS495,0)=BD$6),$AV495,dNULL)</f>
        <v>-99</v>
      </c>
      <c r="BE495">
        <f ca="1">IF(AND($AT495&lt;3,OFFSET(DATA!$C$14,$AS495,0)=BE$6),$AV495,dNULL)</f>
        <v>-99</v>
      </c>
      <c r="BF495">
        <f ca="1">IF(AND($AT495&lt;3,OFFSET(DATA!$C$14,$AS495,0)=BF$6),$AV495,dNULL)</f>
        <v>-99</v>
      </c>
      <c r="BG495">
        <f ca="1">IF(AND($AT495&lt;3,OFFSET(DATA!$C$14,$AS495,0)=BG$6),$AV495,dNULL)</f>
        <v>-99</v>
      </c>
      <c r="BH495">
        <f ca="1">IF(AND($AT495&lt;3,OFFSET(DATA!$C$14,$AS495,0)=BH$6),$AV495,dNULL)</f>
        <v>-99</v>
      </c>
    </row>
    <row r="496" spans="45:60" x14ac:dyDescent="0.25">
      <c r="AS496">
        <f t="shared" si="116"/>
        <v>40</v>
      </c>
      <c r="AT496">
        <f t="shared" si="117"/>
        <v>5</v>
      </c>
      <c r="AU496">
        <f t="shared" ca="1" si="118"/>
        <v>-99</v>
      </c>
      <c r="AV496">
        <f t="shared" ca="1" si="119"/>
        <v>-99</v>
      </c>
      <c r="AW496">
        <f ca="1">IF(AND($AT496&lt;3,OFFSET(DATA!$C$14,$AS496,0)=AW$6),$AV496,dNULL)</f>
        <v>-99</v>
      </c>
      <c r="AX496">
        <f ca="1">IF(AND($AT496&lt;3,OFFSET(DATA!$C$14,$AS496,0)=AX$6),$AV496,dNULL)</f>
        <v>-99</v>
      </c>
      <c r="AY496">
        <f ca="1">IF(AND($AT496&lt;3,OFFSET(DATA!$C$14,$AS496,0)=AY$6),$AV496,dNULL)</f>
        <v>-99</v>
      </c>
      <c r="AZ496">
        <f ca="1">IF(AND($AT496&lt;3,OFFSET(DATA!$C$14,$AS496,0)=AZ$6),$AV496,dNULL)</f>
        <v>-99</v>
      </c>
      <c r="BA496">
        <f ca="1">IF(AND($AT496&lt;3,OFFSET(DATA!$C$14,$AS496,0)=BA$6),$AV496,dNULL)</f>
        <v>-99</v>
      </c>
      <c r="BB496">
        <f ca="1">IF(AND($AT496&lt;3,OFFSET(DATA!$C$14,$AS496,0)=BB$6),$AV496,dNULL)</f>
        <v>-99</v>
      </c>
      <c r="BC496">
        <f ca="1">IF(AND($AT496&lt;3,OFFSET(DATA!$C$14,$AS496,0)=BC$6),$AV496,dNULL)</f>
        <v>-99</v>
      </c>
      <c r="BD496">
        <f ca="1">IF(AND($AT496&lt;3,OFFSET(DATA!$C$14,$AS496,0)=BD$6),$AV496,dNULL)</f>
        <v>-99</v>
      </c>
      <c r="BE496">
        <f ca="1">IF(AND($AT496&lt;3,OFFSET(DATA!$C$14,$AS496,0)=BE$6),$AV496,dNULL)</f>
        <v>-99</v>
      </c>
      <c r="BF496">
        <f ca="1">IF(AND($AT496&lt;3,OFFSET(DATA!$C$14,$AS496,0)=BF$6),$AV496,dNULL)</f>
        <v>-99</v>
      </c>
      <c r="BG496">
        <f ca="1">IF(AND($AT496&lt;3,OFFSET(DATA!$C$14,$AS496,0)=BG$6),$AV496,dNULL)</f>
        <v>-99</v>
      </c>
      <c r="BH496">
        <f ca="1">IF(AND($AT496&lt;3,OFFSET(DATA!$C$14,$AS496,0)=BH$6),$AV496,dNULL)</f>
        <v>-99</v>
      </c>
    </row>
    <row r="497" spans="45:60" x14ac:dyDescent="0.25">
      <c r="AS497">
        <f t="shared" si="116"/>
        <v>41</v>
      </c>
      <c r="AT497">
        <f t="shared" si="117"/>
        <v>5</v>
      </c>
      <c r="AU497">
        <f t="shared" ca="1" si="118"/>
        <v>-99</v>
      </c>
      <c r="AV497">
        <f t="shared" ca="1" si="119"/>
        <v>-99</v>
      </c>
      <c r="AW497">
        <f ca="1">IF(AND($AT497&lt;3,OFFSET(DATA!$C$14,$AS497,0)=AW$6),$AV497,dNULL)</f>
        <v>-99</v>
      </c>
      <c r="AX497">
        <f ca="1">IF(AND($AT497&lt;3,OFFSET(DATA!$C$14,$AS497,0)=AX$6),$AV497,dNULL)</f>
        <v>-99</v>
      </c>
      <c r="AY497">
        <f ca="1">IF(AND($AT497&lt;3,OFFSET(DATA!$C$14,$AS497,0)=AY$6),$AV497,dNULL)</f>
        <v>-99</v>
      </c>
      <c r="AZ497">
        <f ca="1">IF(AND($AT497&lt;3,OFFSET(DATA!$C$14,$AS497,0)=AZ$6),$AV497,dNULL)</f>
        <v>-99</v>
      </c>
      <c r="BA497">
        <f ca="1">IF(AND($AT497&lt;3,OFFSET(DATA!$C$14,$AS497,0)=BA$6),$AV497,dNULL)</f>
        <v>-99</v>
      </c>
      <c r="BB497">
        <f ca="1">IF(AND($AT497&lt;3,OFFSET(DATA!$C$14,$AS497,0)=BB$6),$AV497,dNULL)</f>
        <v>-99</v>
      </c>
      <c r="BC497">
        <f ca="1">IF(AND($AT497&lt;3,OFFSET(DATA!$C$14,$AS497,0)=BC$6),$AV497,dNULL)</f>
        <v>-99</v>
      </c>
      <c r="BD497">
        <f ca="1">IF(AND($AT497&lt;3,OFFSET(DATA!$C$14,$AS497,0)=BD$6),$AV497,dNULL)</f>
        <v>-99</v>
      </c>
      <c r="BE497">
        <f ca="1">IF(AND($AT497&lt;3,OFFSET(DATA!$C$14,$AS497,0)=BE$6),$AV497,dNULL)</f>
        <v>-99</v>
      </c>
      <c r="BF497">
        <f ca="1">IF(AND($AT497&lt;3,OFFSET(DATA!$C$14,$AS497,0)=BF$6),$AV497,dNULL)</f>
        <v>-99</v>
      </c>
      <c r="BG497">
        <f ca="1">IF(AND($AT497&lt;3,OFFSET(DATA!$C$14,$AS497,0)=BG$6),$AV497,dNULL)</f>
        <v>-99</v>
      </c>
      <c r="BH497">
        <f ca="1">IF(AND($AT497&lt;3,OFFSET(DATA!$C$14,$AS497,0)=BH$6),$AV497,dNULL)</f>
        <v>-99</v>
      </c>
    </row>
    <row r="498" spans="45:60" x14ac:dyDescent="0.25">
      <c r="AS498">
        <f t="shared" si="116"/>
        <v>42</v>
      </c>
      <c r="AT498">
        <f t="shared" si="117"/>
        <v>5</v>
      </c>
      <c r="AU498">
        <f t="shared" ca="1" si="118"/>
        <v>-99</v>
      </c>
      <c r="AV498">
        <f t="shared" ca="1" si="119"/>
        <v>-99</v>
      </c>
      <c r="AW498">
        <f ca="1">IF(AND($AT498&lt;3,OFFSET(DATA!$C$14,$AS498,0)=AW$6),$AV498,dNULL)</f>
        <v>-99</v>
      </c>
      <c r="AX498">
        <f ca="1">IF(AND($AT498&lt;3,OFFSET(DATA!$C$14,$AS498,0)=AX$6),$AV498,dNULL)</f>
        <v>-99</v>
      </c>
      <c r="AY498">
        <f ca="1">IF(AND($AT498&lt;3,OFFSET(DATA!$C$14,$AS498,0)=AY$6),$AV498,dNULL)</f>
        <v>-99</v>
      </c>
      <c r="AZ498">
        <f ca="1">IF(AND($AT498&lt;3,OFFSET(DATA!$C$14,$AS498,0)=AZ$6),$AV498,dNULL)</f>
        <v>-99</v>
      </c>
      <c r="BA498">
        <f ca="1">IF(AND($AT498&lt;3,OFFSET(DATA!$C$14,$AS498,0)=BA$6),$AV498,dNULL)</f>
        <v>-99</v>
      </c>
      <c r="BB498">
        <f ca="1">IF(AND($AT498&lt;3,OFFSET(DATA!$C$14,$AS498,0)=BB$6),$AV498,dNULL)</f>
        <v>-99</v>
      </c>
      <c r="BC498">
        <f ca="1">IF(AND($AT498&lt;3,OFFSET(DATA!$C$14,$AS498,0)=BC$6),$AV498,dNULL)</f>
        <v>-99</v>
      </c>
      <c r="BD498">
        <f ca="1">IF(AND($AT498&lt;3,OFFSET(DATA!$C$14,$AS498,0)=BD$6),$AV498,dNULL)</f>
        <v>-99</v>
      </c>
      <c r="BE498">
        <f ca="1">IF(AND($AT498&lt;3,OFFSET(DATA!$C$14,$AS498,0)=BE$6),$AV498,dNULL)</f>
        <v>-99</v>
      </c>
      <c r="BF498">
        <f ca="1">IF(AND($AT498&lt;3,OFFSET(DATA!$C$14,$AS498,0)=BF$6),$AV498,dNULL)</f>
        <v>-99</v>
      </c>
      <c r="BG498">
        <f ca="1">IF(AND($AT498&lt;3,OFFSET(DATA!$C$14,$AS498,0)=BG$6),$AV498,dNULL)</f>
        <v>-99</v>
      </c>
      <c r="BH498">
        <f ca="1">IF(AND($AT498&lt;3,OFFSET(DATA!$C$14,$AS498,0)=BH$6),$AV498,dNULL)</f>
        <v>-99</v>
      </c>
    </row>
    <row r="499" spans="45:60" x14ac:dyDescent="0.25">
      <c r="AS499">
        <f t="shared" si="116"/>
        <v>43</v>
      </c>
      <c r="AT499">
        <f t="shared" si="117"/>
        <v>5</v>
      </c>
      <c r="AU499">
        <f t="shared" ca="1" si="118"/>
        <v>-99</v>
      </c>
      <c r="AV499">
        <f t="shared" ca="1" si="119"/>
        <v>-99</v>
      </c>
      <c r="AW499">
        <f ca="1">IF(AND($AT499&lt;3,OFFSET(DATA!$C$14,$AS499,0)=AW$6),$AV499,dNULL)</f>
        <v>-99</v>
      </c>
      <c r="AX499">
        <f ca="1">IF(AND($AT499&lt;3,OFFSET(DATA!$C$14,$AS499,0)=AX$6),$AV499,dNULL)</f>
        <v>-99</v>
      </c>
      <c r="AY499">
        <f ca="1">IF(AND($AT499&lt;3,OFFSET(DATA!$C$14,$AS499,0)=AY$6),$AV499,dNULL)</f>
        <v>-99</v>
      </c>
      <c r="AZ499">
        <f ca="1">IF(AND($AT499&lt;3,OFFSET(DATA!$C$14,$AS499,0)=AZ$6),$AV499,dNULL)</f>
        <v>-99</v>
      </c>
      <c r="BA499">
        <f ca="1">IF(AND($AT499&lt;3,OFFSET(DATA!$C$14,$AS499,0)=BA$6),$AV499,dNULL)</f>
        <v>-99</v>
      </c>
      <c r="BB499">
        <f ca="1">IF(AND($AT499&lt;3,OFFSET(DATA!$C$14,$AS499,0)=BB$6),$AV499,dNULL)</f>
        <v>-99</v>
      </c>
      <c r="BC499">
        <f ca="1">IF(AND($AT499&lt;3,OFFSET(DATA!$C$14,$AS499,0)=BC$6),$AV499,dNULL)</f>
        <v>-99</v>
      </c>
      <c r="BD499">
        <f ca="1">IF(AND($AT499&lt;3,OFFSET(DATA!$C$14,$AS499,0)=BD$6),$AV499,dNULL)</f>
        <v>-99</v>
      </c>
      <c r="BE499">
        <f ca="1">IF(AND($AT499&lt;3,OFFSET(DATA!$C$14,$AS499,0)=BE$6),$AV499,dNULL)</f>
        <v>-99</v>
      </c>
      <c r="BF499">
        <f ca="1">IF(AND($AT499&lt;3,OFFSET(DATA!$C$14,$AS499,0)=BF$6),$AV499,dNULL)</f>
        <v>-99</v>
      </c>
      <c r="BG499">
        <f ca="1">IF(AND($AT499&lt;3,OFFSET(DATA!$C$14,$AS499,0)=BG$6),$AV499,dNULL)</f>
        <v>-99</v>
      </c>
      <c r="BH499">
        <f ca="1">IF(AND($AT499&lt;3,OFFSET(DATA!$C$14,$AS499,0)=BH$6),$AV499,dNULL)</f>
        <v>-99</v>
      </c>
    </row>
    <row r="500" spans="45:60" x14ac:dyDescent="0.25">
      <c r="AS500">
        <f t="shared" si="116"/>
        <v>44</v>
      </c>
      <c r="AT500">
        <f t="shared" si="117"/>
        <v>5</v>
      </c>
      <c r="AU500">
        <f t="shared" ca="1" si="118"/>
        <v>-99</v>
      </c>
      <c r="AV500">
        <f t="shared" ca="1" si="119"/>
        <v>-99</v>
      </c>
      <c r="AW500">
        <f ca="1">IF(AND($AT500&lt;3,OFFSET(DATA!$C$14,$AS500,0)=AW$6),$AV500,dNULL)</f>
        <v>-99</v>
      </c>
      <c r="AX500">
        <f ca="1">IF(AND($AT500&lt;3,OFFSET(DATA!$C$14,$AS500,0)=AX$6),$AV500,dNULL)</f>
        <v>-99</v>
      </c>
      <c r="AY500">
        <f ca="1">IF(AND($AT500&lt;3,OFFSET(DATA!$C$14,$AS500,0)=AY$6),$AV500,dNULL)</f>
        <v>-99</v>
      </c>
      <c r="AZ500">
        <f ca="1">IF(AND($AT500&lt;3,OFFSET(DATA!$C$14,$AS500,0)=AZ$6),$AV500,dNULL)</f>
        <v>-99</v>
      </c>
      <c r="BA500">
        <f ca="1">IF(AND($AT500&lt;3,OFFSET(DATA!$C$14,$AS500,0)=BA$6),$AV500,dNULL)</f>
        <v>-99</v>
      </c>
      <c r="BB500">
        <f ca="1">IF(AND($AT500&lt;3,OFFSET(DATA!$C$14,$AS500,0)=BB$6),$AV500,dNULL)</f>
        <v>-99</v>
      </c>
      <c r="BC500">
        <f ca="1">IF(AND($AT500&lt;3,OFFSET(DATA!$C$14,$AS500,0)=BC$6),$AV500,dNULL)</f>
        <v>-99</v>
      </c>
      <c r="BD500">
        <f ca="1">IF(AND($AT500&lt;3,OFFSET(DATA!$C$14,$AS500,0)=BD$6),$AV500,dNULL)</f>
        <v>-99</v>
      </c>
      <c r="BE500">
        <f ca="1">IF(AND($AT500&lt;3,OFFSET(DATA!$C$14,$AS500,0)=BE$6),$AV500,dNULL)</f>
        <v>-99</v>
      </c>
      <c r="BF500">
        <f ca="1">IF(AND($AT500&lt;3,OFFSET(DATA!$C$14,$AS500,0)=BF$6),$AV500,dNULL)</f>
        <v>-99</v>
      </c>
      <c r="BG500">
        <f ca="1">IF(AND($AT500&lt;3,OFFSET(DATA!$C$14,$AS500,0)=BG$6),$AV500,dNULL)</f>
        <v>-99</v>
      </c>
      <c r="BH500">
        <f ca="1">IF(AND($AT500&lt;3,OFFSET(DATA!$C$14,$AS500,0)=BH$6),$AV500,dNULL)</f>
        <v>-99</v>
      </c>
    </row>
    <row r="501" spans="45:60" x14ac:dyDescent="0.25">
      <c r="AS501">
        <f t="shared" si="116"/>
        <v>45</v>
      </c>
      <c r="AT501">
        <f t="shared" si="117"/>
        <v>5</v>
      </c>
      <c r="AU501">
        <f t="shared" ca="1" si="118"/>
        <v>-99</v>
      </c>
      <c r="AV501">
        <f t="shared" ca="1" si="119"/>
        <v>-99</v>
      </c>
      <c r="AW501">
        <f ca="1">IF(AND($AT501&lt;3,OFFSET(DATA!$C$14,$AS501,0)=AW$6),$AV501,dNULL)</f>
        <v>-99</v>
      </c>
      <c r="AX501">
        <f ca="1">IF(AND($AT501&lt;3,OFFSET(DATA!$C$14,$AS501,0)=AX$6),$AV501,dNULL)</f>
        <v>-99</v>
      </c>
      <c r="AY501">
        <f ca="1">IF(AND($AT501&lt;3,OFFSET(DATA!$C$14,$AS501,0)=AY$6),$AV501,dNULL)</f>
        <v>-99</v>
      </c>
      <c r="AZ501">
        <f ca="1">IF(AND($AT501&lt;3,OFFSET(DATA!$C$14,$AS501,0)=AZ$6),$AV501,dNULL)</f>
        <v>-99</v>
      </c>
      <c r="BA501">
        <f ca="1">IF(AND($AT501&lt;3,OFFSET(DATA!$C$14,$AS501,0)=BA$6),$AV501,dNULL)</f>
        <v>-99</v>
      </c>
      <c r="BB501">
        <f ca="1">IF(AND($AT501&lt;3,OFFSET(DATA!$C$14,$AS501,0)=BB$6),$AV501,dNULL)</f>
        <v>-99</v>
      </c>
      <c r="BC501">
        <f ca="1">IF(AND($AT501&lt;3,OFFSET(DATA!$C$14,$AS501,0)=BC$6),$AV501,dNULL)</f>
        <v>-99</v>
      </c>
      <c r="BD501">
        <f ca="1">IF(AND($AT501&lt;3,OFFSET(DATA!$C$14,$AS501,0)=BD$6),$AV501,dNULL)</f>
        <v>-99</v>
      </c>
      <c r="BE501">
        <f ca="1">IF(AND($AT501&lt;3,OFFSET(DATA!$C$14,$AS501,0)=BE$6),$AV501,dNULL)</f>
        <v>-99</v>
      </c>
      <c r="BF501">
        <f ca="1">IF(AND($AT501&lt;3,OFFSET(DATA!$C$14,$AS501,0)=BF$6),$AV501,dNULL)</f>
        <v>-99</v>
      </c>
      <c r="BG501">
        <f ca="1">IF(AND($AT501&lt;3,OFFSET(DATA!$C$14,$AS501,0)=BG$6),$AV501,dNULL)</f>
        <v>-99</v>
      </c>
      <c r="BH501">
        <f ca="1">IF(AND($AT501&lt;3,OFFSET(DATA!$C$14,$AS501,0)=BH$6),$AV501,dNULL)</f>
        <v>-99</v>
      </c>
    </row>
    <row r="502" spans="45:60" x14ac:dyDescent="0.25">
      <c r="AS502">
        <f t="shared" si="116"/>
        <v>46</v>
      </c>
      <c r="AT502">
        <f t="shared" si="117"/>
        <v>5</v>
      </c>
      <c r="AU502">
        <f t="shared" ca="1" si="118"/>
        <v>-99</v>
      </c>
      <c r="AV502">
        <f t="shared" ca="1" si="119"/>
        <v>-99</v>
      </c>
      <c r="AW502">
        <f ca="1">IF(AND($AT502&lt;3,OFFSET(DATA!$C$14,$AS502,0)=AW$6),$AV502,dNULL)</f>
        <v>-99</v>
      </c>
      <c r="AX502">
        <f ca="1">IF(AND($AT502&lt;3,OFFSET(DATA!$C$14,$AS502,0)=AX$6),$AV502,dNULL)</f>
        <v>-99</v>
      </c>
      <c r="AY502">
        <f ca="1">IF(AND($AT502&lt;3,OFFSET(DATA!$C$14,$AS502,0)=AY$6),$AV502,dNULL)</f>
        <v>-99</v>
      </c>
      <c r="AZ502">
        <f ca="1">IF(AND($AT502&lt;3,OFFSET(DATA!$C$14,$AS502,0)=AZ$6),$AV502,dNULL)</f>
        <v>-99</v>
      </c>
      <c r="BA502">
        <f ca="1">IF(AND($AT502&lt;3,OFFSET(DATA!$C$14,$AS502,0)=BA$6),$AV502,dNULL)</f>
        <v>-99</v>
      </c>
      <c r="BB502">
        <f ca="1">IF(AND($AT502&lt;3,OFFSET(DATA!$C$14,$AS502,0)=BB$6),$AV502,dNULL)</f>
        <v>-99</v>
      </c>
      <c r="BC502">
        <f ca="1">IF(AND($AT502&lt;3,OFFSET(DATA!$C$14,$AS502,0)=BC$6),$AV502,dNULL)</f>
        <v>-99</v>
      </c>
      <c r="BD502">
        <f ca="1">IF(AND($AT502&lt;3,OFFSET(DATA!$C$14,$AS502,0)=BD$6),$AV502,dNULL)</f>
        <v>-99</v>
      </c>
      <c r="BE502">
        <f ca="1">IF(AND($AT502&lt;3,OFFSET(DATA!$C$14,$AS502,0)=BE$6),$AV502,dNULL)</f>
        <v>-99</v>
      </c>
      <c r="BF502">
        <f ca="1">IF(AND($AT502&lt;3,OFFSET(DATA!$C$14,$AS502,0)=BF$6),$AV502,dNULL)</f>
        <v>-99</v>
      </c>
      <c r="BG502">
        <f ca="1">IF(AND($AT502&lt;3,OFFSET(DATA!$C$14,$AS502,0)=BG$6),$AV502,dNULL)</f>
        <v>-99</v>
      </c>
      <c r="BH502">
        <f ca="1">IF(AND($AT502&lt;3,OFFSET(DATA!$C$14,$AS502,0)=BH$6),$AV502,dNULL)</f>
        <v>-99</v>
      </c>
    </row>
    <row r="503" spans="45:60" x14ac:dyDescent="0.25">
      <c r="AS503">
        <f t="shared" si="116"/>
        <v>47</v>
      </c>
      <c r="AT503">
        <f t="shared" si="117"/>
        <v>5</v>
      </c>
      <c r="AU503">
        <f t="shared" ca="1" si="118"/>
        <v>-99</v>
      </c>
      <c r="AV503">
        <f t="shared" ca="1" si="119"/>
        <v>-99</v>
      </c>
      <c r="AW503">
        <f ca="1">IF(AND($AT503&lt;3,OFFSET(DATA!$C$14,$AS503,0)=AW$6),$AV503,dNULL)</f>
        <v>-99</v>
      </c>
      <c r="AX503">
        <f ca="1">IF(AND($AT503&lt;3,OFFSET(DATA!$C$14,$AS503,0)=AX$6),$AV503,dNULL)</f>
        <v>-99</v>
      </c>
      <c r="AY503">
        <f ca="1">IF(AND($AT503&lt;3,OFFSET(DATA!$C$14,$AS503,0)=AY$6),$AV503,dNULL)</f>
        <v>-99</v>
      </c>
      <c r="AZ503">
        <f ca="1">IF(AND($AT503&lt;3,OFFSET(DATA!$C$14,$AS503,0)=AZ$6),$AV503,dNULL)</f>
        <v>-99</v>
      </c>
      <c r="BA503">
        <f ca="1">IF(AND($AT503&lt;3,OFFSET(DATA!$C$14,$AS503,0)=BA$6),$AV503,dNULL)</f>
        <v>-99</v>
      </c>
      <c r="BB503">
        <f ca="1">IF(AND($AT503&lt;3,OFFSET(DATA!$C$14,$AS503,0)=BB$6),$AV503,dNULL)</f>
        <v>-99</v>
      </c>
      <c r="BC503">
        <f ca="1">IF(AND($AT503&lt;3,OFFSET(DATA!$C$14,$AS503,0)=BC$6),$AV503,dNULL)</f>
        <v>-99</v>
      </c>
      <c r="BD503">
        <f ca="1">IF(AND($AT503&lt;3,OFFSET(DATA!$C$14,$AS503,0)=BD$6),$AV503,dNULL)</f>
        <v>-99</v>
      </c>
      <c r="BE503">
        <f ca="1">IF(AND($AT503&lt;3,OFFSET(DATA!$C$14,$AS503,0)=BE$6),$AV503,dNULL)</f>
        <v>-99</v>
      </c>
      <c r="BF503">
        <f ca="1">IF(AND($AT503&lt;3,OFFSET(DATA!$C$14,$AS503,0)=BF$6),$AV503,dNULL)</f>
        <v>-99</v>
      </c>
      <c r="BG503">
        <f ca="1">IF(AND($AT503&lt;3,OFFSET(DATA!$C$14,$AS503,0)=BG$6),$AV503,dNULL)</f>
        <v>-99</v>
      </c>
      <c r="BH503">
        <f ca="1">IF(AND($AT503&lt;3,OFFSET(DATA!$C$14,$AS503,0)=BH$6),$AV503,dNULL)</f>
        <v>-99</v>
      </c>
    </row>
    <row r="504" spans="45:60" x14ac:dyDescent="0.25">
      <c r="AS504">
        <f t="shared" si="116"/>
        <v>48</v>
      </c>
      <c r="AT504">
        <f t="shared" si="117"/>
        <v>5</v>
      </c>
      <c r="AU504">
        <f t="shared" ca="1" si="118"/>
        <v>-99</v>
      </c>
      <c r="AV504">
        <f t="shared" ca="1" si="119"/>
        <v>-99</v>
      </c>
      <c r="AW504">
        <f ca="1">IF(AND($AT504&lt;3,OFFSET(DATA!$C$14,$AS504,0)=AW$6),$AV504,dNULL)</f>
        <v>-99</v>
      </c>
      <c r="AX504">
        <f ca="1">IF(AND($AT504&lt;3,OFFSET(DATA!$C$14,$AS504,0)=AX$6),$AV504,dNULL)</f>
        <v>-99</v>
      </c>
      <c r="AY504">
        <f ca="1">IF(AND($AT504&lt;3,OFFSET(DATA!$C$14,$AS504,0)=AY$6),$AV504,dNULL)</f>
        <v>-99</v>
      </c>
      <c r="AZ504">
        <f ca="1">IF(AND($AT504&lt;3,OFFSET(DATA!$C$14,$AS504,0)=AZ$6),$AV504,dNULL)</f>
        <v>-99</v>
      </c>
      <c r="BA504">
        <f ca="1">IF(AND($AT504&lt;3,OFFSET(DATA!$C$14,$AS504,0)=BA$6),$AV504,dNULL)</f>
        <v>-99</v>
      </c>
      <c r="BB504">
        <f ca="1">IF(AND($AT504&lt;3,OFFSET(DATA!$C$14,$AS504,0)=BB$6),$AV504,dNULL)</f>
        <v>-99</v>
      </c>
      <c r="BC504">
        <f ca="1">IF(AND($AT504&lt;3,OFFSET(DATA!$C$14,$AS504,0)=BC$6),$AV504,dNULL)</f>
        <v>-99</v>
      </c>
      <c r="BD504">
        <f ca="1">IF(AND($AT504&lt;3,OFFSET(DATA!$C$14,$AS504,0)=BD$6),$AV504,dNULL)</f>
        <v>-99</v>
      </c>
      <c r="BE504">
        <f ca="1">IF(AND($AT504&lt;3,OFFSET(DATA!$C$14,$AS504,0)=BE$6),$AV504,dNULL)</f>
        <v>-99</v>
      </c>
      <c r="BF504">
        <f ca="1">IF(AND($AT504&lt;3,OFFSET(DATA!$C$14,$AS504,0)=BF$6),$AV504,dNULL)</f>
        <v>-99</v>
      </c>
      <c r="BG504">
        <f ca="1">IF(AND($AT504&lt;3,OFFSET(DATA!$C$14,$AS504,0)=BG$6),$AV504,dNULL)</f>
        <v>-99</v>
      </c>
      <c r="BH504">
        <f ca="1">IF(AND($AT504&lt;3,OFFSET(DATA!$C$14,$AS504,0)=BH$6),$AV504,dNULL)</f>
        <v>-99</v>
      </c>
    </row>
    <row r="505" spans="45:60" x14ac:dyDescent="0.25">
      <c r="AS505">
        <f t="shared" si="116"/>
        <v>49</v>
      </c>
      <c r="AT505">
        <f t="shared" si="117"/>
        <v>5</v>
      </c>
      <c r="AU505">
        <f t="shared" ca="1" si="118"/>
        <v>-99</v>
      </c>
      <c r="AV505">
        <f t="shared" ca="1" si="119"/>
        <v>-99</v>
      </c>
      <c r="AW505">
        <f ca="1">IF(AND($AT505&lt;3,OFFSET(DATA!$C$14,$AS505,0)=AW$6),$AV505,dNULL)</f>
        <v>-99</v>
      </c>
      <c r="AX505">
        <f ca="1">IF(AND($AT505&lt;3,OFFSET(DATA!$C$14,$AS505,0)=AX$6),$AV505,dNULL)</f>
        <v>-99</v>
      </c>
      <c r="AY505">
        <f ca="1">IF(AND($AT505&lt;3,OFFSET(DATA!$C$14,$AS505,0)=AY$6),$AV505,dNULL)</f>
        <v>-99</v>
      </c>
      <c r="AZ505">
        <f ca="1">IF(AND($AT505&lt;3,OFFSET(DATA!$C$14,$AS505,0)=AZ$6),$AV505,dNULL)</f>
        <v>-99</v>
      </c>
      <c r="BA505">
        <f ca="1">IF(AND($AT505&lt;3,OFFSET(DATA!$C$14,$AS505,0)=BA$6),$AV505,dNULL)</f>
        <v>-99</v>
      </c>
      <c r="BB505">
        <f ca="1">IF(AND($AT505&lt;3,OFFSET(DATA!$C$14,$AS505,0)=BB$6),$AV505,dNULL)</f>
        <v>-99</v>
      </c>
      <c r="BC505">
        <f ca="1">IF(AND($AT505&lt;3,OFFSET(DATA!$C$14,$AS505,0)=BC$6),$AV505,dNULL)</f>
        <v>-99</v>
      </c>
      <c r="BD505">
        <f ca="1">IF(AND($AT505&lt;3,OFFSET(DATA!$C$14,$AS505,0)=BD$6),$AV505,dNULL)</f>
        <v>-99</v>
      </c>
      <c r="BE505">
        <f ca="1">IF(AND($AT505&lt;3,OFFSET(DATA!$C$14,$AS505,0)=BE$6),$AV505,dNULL)</f>
        <v>-99</v>
      </c>
      <c r="BF505">
        <f ca="1">IF(AND($AT505&lt;3,OFFSET(DATA!$C$14,$AS505,0)=BF$6),$AV505,dNULL)</f>
        <v>-99</v>
      </c>
      <c r="BG505">
        <f ca="1">IF(AND($AT505&lt;3,OFFSET(DATA!$C$14,$AS505,0)=BG$6),$AV505,dNULL)</f>
        <v>-99</v>
      </c>
      <c r="BH505">
        <f ca="1">IF(AND($AT505&lt;3,OFFSET(DATA!$C$14,$AS505,0)=BH$6),$AV505,dNULL)</f>
        <v>-99</v>
      </c>
    </row>
    <row r="506" spans="45:60" x14ac:dyDescent="0.25">
      <c r="AS506">
        <f t="shared" si="116"/>
        <v>50</v>
      </c>
      <c r="AT506">
        <f t="shared" si="117"/>
        <v>5</v>
      </c>
      <c r="AU506">
        <f t="shared" ca="1" si="118"/>
        <v>-99</v>
      </c>
      <c r="AV506">
        <f t="shared" ca="1" si="119"/>
        <v>-99</v>
      </c>
      <c r="AW506">
        <f ca="1">IF(AND($AT506&lt;3,OFFSET(DATA!$C$14,$AS506,0)=AW$6),$AV506,dNULL)</f>
        <v>-99</v>
      </c>
      <c r="AX506">
        <f ca="1">IF(AND($AT506&lt;3,OFFSET(DATA!$C$14,$AS506,0)=AX$6),$AV506,dNULL)</f>
        <v>-99</v>
      </c>
      <c r="AY506">
        <f ca="1">IF(AND($AT506&lt;3,OFFSET(DATA!$C$14,$AS506,0)=AY$6),$AV506,dNULL)</f>
        <v>-99</v>
      </c>
      <c r="AZ506">
        <f ca="1">IF(AND($AT506&lt;3,OFFSET(DATA!$C$14,$AS506,0)=AZ$6),$AV506,dNULL)</f>
        <v>-99</v>
      </c>
      <c r="BA506">
        <f ca="1">IF(AND($AT506&lt;3,OFFSET(DATA!$C$14,$AS506,0)=BA$6),$AV506,dNULL)</f>
        <v>-99</v>
      </c>
      <c r="BB506">
        <f ca="1">IF(AND($AT506&lt;3,OFFSET(DATA!$C$14,$AS506,0)=BB$6),$AV506,dNULL)</f>
        <v>-99</v>
      </c>
      <c r="BC506">
        <f ca="1">IF(AND($AT506&lt;3,OFFSET(DATA!$C$14,$AS506,0)=BC$6),$AV506,dNULL)</f>
        <v>-99</v>
      </c>
      <c r="BD506">
        <f ca="1">IF(AND($AT506&lt;3,OFFSET(DATA!$C$14,$AS506,0)=BD$6),$AV506,dNULL)</f>
        <v>-99</v>
      </c>
      <c r="BE506">
        <f ca="1">IF(AND($AT506&lt;3,OFFSET(DATA!$C$14,$AS506,0)=BE$6),$AV506,dNULL)</f>
        <v>-99</v>
      </c>
      <c r="BF506">
        <f ca="1">IF(AND($AT506&lt;3,OFFSET(DATA!$C$14,$AS506,0)=BF$6),$AV506,dNULL)</f>
        <v>-99</v>
      </c>
      <c r="BG506">
        <f ca="1">IF(AND($AT506&lt;3,OFFSET(DATA!$C$14,$AS506,0)=BG$6),$AV506,dNULL)</f>
        <v>-99</v>
      </c>
      <c r="BH506">
        <f ca="1">IF(AND($AT506&lt;3,OFFSET(DATA!$C$14,$AS506,0)=BH$6),$AV506,dNULL)</f>
        <v>-99</v>
      </c>
    </row>
    <row r="507" spans="45:60" x14ac:dyDescent="0.25">
      <c r="AS507">
        <f t="shared" si="116"/>
        <v>51</v>
      </c>
      <c r="AT507">
        <f t="shared" si="117"/>
        <v>5</v>
      </c>
      <c r="AU507">
        <f t="shared" ca="1" si="118"/>
        <v>-99</v>
      </c>
      <c r="AV507">
        <f t="shared" ca="1" si="119"/>
        <v>-99</v>
      </c>
      <c r="AW507">
        <f ca="1">IF(AND($AT507&lt;3,OFFSET(DATA!$C$14,$AS507,0)=AW$6),$AV507,dNULL)</f>
        <v>-99</v>
      </c>
      <c r="AX507">
        <f ca="1">IF(AND($AT507&lt;3,OFFSET(DATA!$C$14,$AS507,0)=AX$6),$AV507,dNULL)</f>
        <v>-99</v>
      </c>
      <c r="AY507">
        <f ca="1">IF(AND($AT507&lt;3,OFFSET(DATA!$C$14,$AS507,0)=AY$6),$AV507,dNULL)</f>
        <v>-99</v>
      </c>
      <c r="AZ507">
        <f ca="1">IF(AND($AT507&lt;3,OFFSET(DATA!$C$14,$AS507,0)=AZ$6),$AV507,dNULL)</f>
        <v>-99</v>
      </c>
      <c r="BA507">
        <f ca="1">IF(AND($AT507&lt;3,OFFSET(DATA!$C$14,$AS507,0)=BA$6),$AV507,dNULL)</f>
        <v>-99</v>
      </c>
      <c r="BB507">
        <f ca="1">IF(AND($AT507&lt;3,OFFSET(DATA!$C$14,$AS507,0)=BB$6),$AV507,dNULL)</f>
        <v>-99</v>
      </c>
      <c r="BC507">
        <f ca="1">IF(AND($AT507&lt;3,OFFSET(DATA!$C$14,$AS507,0)=BC$6),$AV507,dNULL)</f>
        <v>-99</v>
      </c>
      <c r="BD507">
        <f ca="1">IF(AND($AT507&lt;3,OFFSET(DATA!$C$14,$AS507,0)=BD$6),$AV507,dNULL)</f>
        <v>-99</v>
      </c>
      <c r="BE507">
        <f ca="1">IF(AND($AT507&lt;3,OFFSET(DATA!$C$14,$AS507,0)=BE$6),$AV507,dNULL)</f>
        <v>-99</v>
      </c>
      <c r="BF507">
        <f ca="1">IF(AND($AT507&lt;3,OFFSET(DATA!$C$14,$AS507,0)=BF$6),$AV507,dNULL)</f>
        <v>-99</v>
      </c>
      <c r="BG507">
        <f ca="1">IF(AND($AT507&lt;3,OFFSET(DATA!$C$14,$AS507,0)=BG$6),$AV507,dNULL)</f>
        <v>-99</v>
      </c>
      <c r="BH507">
        <f ca="1">IF(AND($AT507&lt;3,OFFSET(DATA!$C$14,$AS507,0)=BH$6),$AV507,dNULL)</f>
        <v>-99</v>
      </c>
    </row>
    <row r="508" spans="45:60" x14ac:dyDescent="0.25">
      <c r="AS508">
        <f t="shared" si="116"/>
        <v>52</v>
      </c>
      <c r="AT508">
        <f t="shared" si="117"/>
        <v>5</v>
      </c>
      <c r="AU508">
        <f t="shared" ca="1" si="118"/>
        <v>-99</v>
      </c>
      <c r="AV508">
        <f t="shared" ca="1" si="119"/>
        <v>-99</v>
      </c>
      <c r="AW508">
        <f ca="1">IF(AND($AT508&lt;3,OFFSET(DATA!$C$14,$AS508,0)=AW$6),$AV508,dNULL)</f>
        <v>-99</v>
      </c>
      <c r="AX508">
        <f ca="1">IF(AND($AT508&lt;3,OFFSET(DATA!$C$14,$AS508,0)=AX$6),$AV508,dNULL)</f>
        <v>-99</v>
      </c>
      <c r="AY508">
        <f ca="1">IF(AND($AT508&lt;3,OFFSET(DATA!$C$14,$AS508,0)=AY$6),$AV508,dNULL)</f>
        <v>-99</v>
      </c>
      <c r="AZ508">
        <f ca="1">IF(AND($AT508&lt;3,OFFSET(DATA!$C$14,$AS508,0)=AZ$6),$AV508,dNULL)</f>
        <v>-99</v>
      </c>
      <c r="BA508">
        <f ca="1">IF(AND($AT508&lt;3,OFFSET(DATA!$C$14,$AS508,0)=BA$6),$AV508,dNULL)</f>
        <v>-99</v>
      </c>
      <c r="BB508">
        <f ca="1">IF(AND($AT508&lt;3,OFFSET(DATA!$C$14,$AS508,0)=BB$6),$AV508,dNULL)</f>
        <v>-99</v>
      </c>
      <c r="BC508">
        <f ca="1">IF(AND($AT508&lt;3,OFFSET(DATA!$C$14,$AS508,0)=BC$6),$AV508,dNULL)</f>
        <v>-99</v>
      </c>
      <c r="BD508">
        <f ca="1">IF(AND($AT508&lt;3,OFFSET(DATA!$C$14,$AS508,0)=BD$6),$AV508,dNULL)</f>
        <v>-99</v>
      </c>
      <c r="BE508">
        <f ca="1">IF(AND($AT508&lt;3,OFFSET(DATA!$C$14,$AS508,0)=BE$6),$AV508,dNULL)</f>
        <v>-99</v>
      </c>
      <c r="BF508">
        <f ca="1">IF(AND($AT508&lt;3,OFFSET(DATA!$C$14,$AS508,0)=BF$6),$AV508,dNULL)</f>
        <v>-99</v>
      </c>
      <c r="BG508">
        <f ca="1">IF(AND($AT508&lt;3,OFFSET(DATA!$C$14,$AS508,0)=BG$6),$AV508,dNULL)</f>
        <v>-99</v>
      </c>
      <c r="BH508">
        <f ca="1">IF(AND($AT508&lt;3,OFFSET(DATA!$C$14,$AS508,0)=BH$6),$AV508,dNULL)</f>
        <v>-99</v>
      </c>
    </row>
    <row r="509" spans="45:60" x14ac:dyDescent="0.25">
      <c r="AS509">
        <f t="shared" si="116"/>
        <v>53</v>
      </c>
      <c r="AT509">
        <f t="shared" si="117"/>
        <v>5</v>
      </c>
      <c r="AU509">
        <f t="shared" ca="1" si="118"/>
        <v>-99</v>
      </c>
      <c r="AV509">
        <f t="shared" ca="1" si="119"/>
        <v>-99</v>
      </c>
      <c r="AW509">
        <f ca="1">IF(AND($AT509&lt;3,OFFSET(DATA!$C$14,$AS509,0)=AW$6),$AV509,dNULL)</f>
        <v>-99</v>
      </c>
      <c r="AX509">
        <f ca="1">IF(AND($AT509&lt;3,OFFSET(DATA!$C$14,$AS509,0)=AX$6),$AV509,dNULL)</f>
        <v>-99</v>
      </c>
      <c r="AY509">
        <f ca="1">IF(AND($AT509&lt;3,OFFSET(DATA!$C$14,$AS509,0)=AY$6),$AV509,dNULL)</f>
        <v>-99</v>
      </c>
      <c r="AZ509">
        <f ca="1">IF(AND($AT509&lt;3,OFFSET(DATA!$C$14,$AS509,0)=AZ$6),$AV509,dNULL)</f>
        <v>-99</v>
      </c>
      <c r="BA509">
        <f ca="1">IF(AND($AT509&lt;3,OFFSET(DATA!$C$14,$AS509,0)=BA$6),$AV509,dNULL)</f>
        <v>-99</v>
      </c>
      <c r="BB509">
        <f ca="1">IF(AND($AT509&lt;3,OFFSET(DATA!$C$14,$AS509,0)=BB$6),$AV509,dNULL)</f>
        <v>-99</v>
      </c>
      <c r="BC509">
        <f ca="1">IF(AND($AT509&lt;3,OFFSET(DATA!$C$14,$AS509,0)=BC$6),$AV509,dNULL)</f>
        <v>-99</v>
      </c>
      <c r="BD509">
        <f ca="1">IF(AND($AT509&lt;3,OFFSET(DATA!$C$14,$AS509,0)=BD$6),$AV509,dNULL)</f>
        <v>-99</v>
      </c>
      <c r="BE509">
        <f ca="1">IF(AND($AT509&lt;3,OFFSET(DATA!$C$14,$AS509,0)=BE$6),$AV509,dNULL)</f>
        <v>-99</v>
      </c>
      <c r="BF509">
        <f ca="1">IF(AND($AT509&lt;3,OFFSET(DATA!$C$14,$AS509,0)=BF$6),$AV509,dNULL)</f>
        <v>-99</v>
      </c>
      <c r="BG509">
        <f ca="1">IF(AND($AT509&lt;3,OFFSET(DATA!$C$14,$AS509,0)=BG$6),$AV509,dNULL)</f>
        <v>-99</v>
      </c>
      <c r="BH509">
        <f ca="1">IF(AND($AT509&lt;3,OFFSET(DATA!$C$14,$AS509,0)=BH$6),$AV509,dNULL)</f>
        <v>-99</v>
      </c>
    </row>
    <row r="510" spans="45:60" x14ac:dyDescent="0.25">
      <c r="AS510">
        <f t="shared" si="116"/>
        <v>54</v>
      </c>
      <c r="AT510">
        <f t="shared" si="117"/>
        <v>5</v>
      </c>
      <c r="AU510">
        <f t="shared" ca="1" si="118"/>
        <v>-99</v>
      </c>
      <c r="AV510">
        <f t="shared" ca="1" si="119"/>
        <v>-99</v>
      </c>
      <c r="AW510">
        <f ca="1">IF(AND($AT510&lt;3,OFFSET(DATA!$C$14,$AS510,0)=AW$6),$AV510,dNULL)</f>
        <v>-99</v>
      </c>
      <c r="AX510">
        <f ca="1">IF(AND($AT510&lt;3,OFFSET(DATA!$C$14,$AS510,0)=AX$6),$AV510,dNULL)</f>
        <v>-99</v>
      </c>
      <c r="AY510">
        <f ca="1">IF(AND($AT510&lt;3,OFFSET(DATA!$C$14,$AS510,0)=AY$6),$AV510,dNULL)</f>
        <v>-99</v>
      </c>
      <c r="AZ510">
        <f ca="1">IF(AND($AT510&lt;3,OFFSET(DATA!$C$14,$AS510,0)=AZ$6),$AV510,dNULL)</f>
        <v>-99</v>
      </c>
      <c r="BA510">
        <f ca="1">IF(AND($AT510&lt;3,OFFSET(DATA!$C$14,$AS510,0)=BA$6),$AV510,dNULL)</f>
        <v>-99</v>
      </c>
      <c r="BB510">
        <f ca="1">IF(AND($AT510&lt;3,OFFSET(DATA!$C$14,$AS510,0)=BB$6),$AV510,dNULL)</f>
        <v>-99</v>
      </c>
      <c r="BC510">
        <f ca="1">IF(AND($AT510&lt;3,OFFSET(DATA!$C$14,$AS510,0)=BC$6),$AV510,dNULL)</f>
        <v>-99</v>
      </c>
      <c r="BD510">
        <f ca="1">IF(AND($AT510&lt;3,OFFSET(DATA!$C$14,$AS510,0)=BD$6),$AV510,dNULL)</f>
        <v>-99</v>
      </c>
      <c r="BE510">
        <f ca="1">IF(AND($AT510&lt;3,OFFSET(DATA!$C$14,$AS510,0)=BE$6),$AV510,dNULL)</f>
        <v>-99</v>
      </c>
      <c r="BF510">
        <f ca="1">IF(AND($AT510&lt;3,OFFSET(DATA!$C$14,$AS510,0)=BF$6),$AV510,dNULL)</f>
        <v>-99</v>
      </c>
      <c r="BG510">
        <f ca="1">IF(AND($AT510&lt;3,OFFSET(DATA!$C$14,$AS510,0)=BG$6),$AV510,dNULL)</f>
        <v>-99</v>
      </c>
      <c r="BH510">
        <f ca="1">IF(AND($AT510&lt;3,OFFSET(DATA!$C$14,$AS510,0)=BH$6),$AV510,dNULL)</f>
        <v>-99</v>
      </c>
    </row>
    <row r="511" spans="45:60" x14ac:dyDescent="0.25">
      <c r="AS511">
        <f t="shared" si="116"/>
        <v>55</v>
      </c>
      <c r="AT511">
        <f t="shared" si="117"/>
        <v>5</v>
      </c>
      <c r="AU511">
        <f t="shared" ca="1" si="118"/>
        <v>-99</v>
      </c>
      <c r="AV511">
        <f t="shared" ca="1" si="119"/>
        <v>-99</v>
      </c>
      <c r="AW511">
        <f ca="1">IF(AND($AT511&lt;3,OFFSET(DATA!$C$14,$AS511,0)=AW$6),$AV511,dNULL)</f>
        <v>-99</v>
      </c>
      <c r="AX511">
        <f ca="1">IF(AND($AT511&lt;3,OFFSET(DATA!$C$14,$AS511,0)=AX$6),$AV511,dNULL)</f>
        <v>-99</v>
      </c>
      <c r="AY511">
        <f ca="1">IF(AND($AT511&lt;3,OFFSET(DATA!$C$14,$AS511,0)=AY$6),$AV511,dNULL)</f>
        <v>-99</v>
      </c>
      <c r="AZ511">
        <f ca="1">IF(AND($AT511&lt;3,OFFSET(DATA!$C$14,$AS511,0)=AZ$6),$AV511,dNULL)</f>
        <v>-99</v>
      </c>
      <c r="BA511">
        <f ca="1">IF(AND($AT511&lt;3,OFFSET(DATA!$C$14,$AS511,0)=BA$6),$AV511,dNULL)</f>
        <v>-99</v>
      </c>
      <c r="BB511">
        <f ca="1">IF(AND($AT511&lt;3,OFFSET(DATA!$C$14,$AS511,0)=BB$6),$AV511,dNULL)</f>
        <v>-99</v>
      </c>
      <c r="BC511">
        <f ca="1">IF(AND($AT511&lt;3,OFFSET(DATA!$C$14,$AS511,0)=BC$6),$AV511,dNULL)</f>
        <v>-99</v>
      </c>
      <c r="BD511">
        <f ca="1">IF(AND($AT511&lt;3,OFFSET(DATA!$C$14,$AS511,0)=BD$6),$AV511,dNULL)</f>
        <v>-99</v>
      </c>
      <c r="BE511">
        <f ca="1">IF(AND($AT511&lt;3,OFFSET(DATA!$C$14,$AS511,0)=BE$6),$AV511,dNULL)</f>
        <v>-99</v>
      </c>
      <c r="BF511">
        <f ca="1">IF(AND($AT511&lt;3,OFFSET(DATA!$C$14,$AS511,0)=BF$6),$AV511,dNULL)</f>
        <v>-99</v>
      </c>
      <c r="BG511">
        <f ca="1">IF(AND($AT511&lt;3,OFFSET(DATA!$C$14,$AS511,0)=BG$6),$AV511,dNULL)</f>
        <v>-99</v>
      </c>
      <c r="BH511">
        <f ca="1">IF(AND($AT511&lt;3,OFFSET(DATA!$C$14,$AS511,0)=BH$6),$AV511,dNULL)</f>
        <v>-99</v>
      </c>
    </row>
    <row r="512" spans="45:60" x14ac:dyDescent="0.25">
      <c r="AS512">
        <f t="shared" si="116"/>
        <v>56</v>
      </c>
      <c r="AT512">
        <f t="shared" si="117"/>
        <v>5</v>
      </c>
      <c r="AU512">
        <f t="shared" ca="1" si="118"/>
        <v>-99</v>
      </c>
      <c r="AV512">
        <f t="shared" ca="1" si="119"/>
        <v>-99</v>
      </c>
      <c r="AW512">
        <f ca="1">IF(AND($AT512&lt;3,OFFSET(DATA!$C$14,$AS512,0)=AW$6),$AV512,dNULL)</f>
        <v>-99</v>
      </c>
      <c r="AX512">
        <f ca="1">IF(AND($AT512&lt;3,OFFSET(DATA!$C$14,$AS512,0)=AX$6),$AV512,dNULL)</f>
        <v>-99</v>
      </c>
      <c r="AY512">
        <f ca="1">IF(AND($AT512&lt;3,OFFSET(DATA!$C$14,$AS512,0)=AY$6),$AV512,dNULL)</f>
        <v>-99</v>
      </c>
      <c r="AZ512">
        <f ca="1">IF(AND($AT512&lt;3,OFFSET(DATA!$C$14,$AS512,0)=AZ$6),$AV512,dNULL)</f>
        <v>-99</v>
      </c>
      <c r="BA512">
        <f ca="1">IF(AND($AT512&lt;3,OFFSET(DATA!$C$14,$AS512,0)=BA$6),$AV512,dNULL)</f>
        <v>-99</v>
      </c>
      <c r="BB512">
        <f ca="1">IF(AND($AT512&lt;3,OFFSET(DATA!$C$14,$AS512,0)=BB$6),$AV512,dNULL)</f>
        <v>-99</v>
      </c>
      <c r="BC512">
        <f ca="1">IF(AND($AT512&lt;3,OFFSET(DATA!$C$14,$AS512,0)=BC$6),$AV512,dNULL)</f>
        <v>-99</v>
      </c>
      <c r="BD512">
        <f ca="1">IF(AND($AT512&lt;3,OFFSET(DATA!$C$14,$AS512,0)=BD$6),$AV512,dNULL)</f>
        <v>-99</v>
      </c>
      <c r="BE512">
        <f ca="1">IF(AND($AT512&lt;3,OFFSET(DATA!$C$14,$AS512,0)=BE$6),$AV512,dNULL)</f>
        <v>-99</v>
      </c>
      <c r="BF512">
        <f ca="1">IF(AND($AT512&lt;3,OFFSET(DATA!$C$14,$AS512,0)=BF$6),$AV512,dNULL)</f>
        <v>-99</v>
      </c>
      <c r="BG512">
        <f ca="1">IF(AND($AT512&lt;3,OFFSET(DATA!$C$14,$AS512,0)=BG$6),$AV512,dNULL)</f>
        <v>-99</v>
      </c>
      <c r="BH512">
        <f ca="1">IF(AND($AT512&lt;3,OFFSET(DATA!$C$14,$AS512,0)=BH$6),$AV512,dNULL)</f>
        <v>-99</v>
      </c>
    </row>
    <row r="513" spans="45:60" x14ac:dyDescent="0.25">
      <c r="AS513">
        <f t="shared" si="116"/>
        <v>57</v>
      </c>
      <c r="AT513">
        <f t="shared" si="117"/>
        <v>5</v>
      </c>
      <c r="AU513">
        <f t="shared" ca="1" si="118"/>
        <v>-99</v>
      </c>
      <c r="AV513">
        <f t="shared" ca="1" si="119"/>
        <v>-99</v>
      </c>
      <c r="AW513">
        <f ca="1">IF(AND($AT513&lt;3,OFFSET(DATA!$C$14,$AS513,0)=AW$6),$AV513,dNULL)</f>
        <v>-99</v>
      </c>
      <c r="AX513">
        <f ca="1">IF(AND($AT513&lt;3,OFFSET(DATA!$C$14,$AS513,0)=AX$6),$AV513,dNULL)</f>
        <v>-99</v>
      </c>
      <c r="AY513">
        <f ca="1">IF(AND($AT513&lt;3,OFFSET(DATA!$C$14,$AS513,0)=AY$6),$AV513,dNULL)</f>
        <v>-99</v>
      </c>
      <c r="AZ513">
        <f ca="1">IF(AND($AT513&lt;3,OFFSET(DATA!$C$14,$AS513,0)=AZ$6),$AV513,dNULL)</f>
        <v>-99</v>
      </c>
      <c r="BA513">
        <f ca="1">IF(AND($AT513&lt;3,OFFSET(DATA!$C$14,$AS513,0)=BA$6),$AV513,dNULL)</f>
        <v>-99</v>
      </c>
      <c r="BB513">
        <f ca="1">IF(AND($AT513&lt;3,OFFSET(DATA!$C$14,$AS513,0)=BB$6),$AV513,dNULL)</f>
        <v>-99</v>
      </c>
      <c r="BC513">
        <f ca="1">IF(AND($AT513&lt;3,OFFSET(DATA!$C$14,$AS513,0)=BC$6),$AV513,dNULL)</f>
        <v>-99</v>
      </c>
      <c r="BD513">
        <f ca="1">IF(AND($AT513&lt;3,OFFSET(DATA!$C$14,$AS513,0)=BD$6),$AV513,dNULL)</f>
        <v>-99</v>
      </c>
      <c r="BE513">
        <f ca="1">IF(AND($AT513&lt;3,OFFSET(DATA!$C$14,$AS513,0)=BE$6),$AV513,dNULL)</f>
        <v>-99</v>
      </c>
      <c r="BF513">
        <f ca="1">IF(AND($AT513&lt;3,OFFSET(DATA!$C$14,$AS513,0)=BF$6),$AV513,dNULL)</f>
        <v>-99</v>
      </c>
      <c r="BG513">
        <f ca="1">IF(AND($AT513&lt;3,OFFSET(DATA!$C$14,$AS513,0)=BG$6),$AV513,dNULL)</f>
        <v>-99</v>
      </c>
      <c r="BH513">
        <f ca="1">IF(AND($AT513&lt;3,OFFSET(DATA!$C$14,$AS513,0)=BH$6),$AV513,dNULL)</f>
        <v>-99</v>
      </c>
    </row>
    <row r="514" spans="45:60" x14ac:dyDescent="0.25">
      <c r="AS514">
        <f t="shared" si="116"/>
        <v>58</v>
      </c>
      <c r="AT514">
        <f t="shared" si="117"/>
        <v>5</v>
      </c>
      <c r="AU514">
        <f t="shared" ca="1" si="118"/>
        <v>-99</v>
      </c>
      <c r="AV514">
        <f t="shared" ca="1" si="119"/>
        <v>-99</v>
      </c>
      <c r="AW514">
        <f ca="1">IF(AND($AT514&lt;3,OFFSET(DATA!$C$14,$AS514,0)=AW$6),$AV514,dNULL)</f>
        <v>-99</v>
      </c>
      <c r="AX514">
        <f ca="1">IF(AND($AT514&lt;3,OFFSET(DATA!$C$14,$AS514,0)=AX$6),$AV514,dNULL)</f>
        <v>-99</v>
      </c>
      <c r="AY514">
        <f ca="1">IF(AND($AT514&lt;3,OFFSET(DATA!$C$14,$AS514,0)=AY$6),$AV514,dNULL)</f>
        <v>-99</v>
      </c>
      <c r="AZ514">
        <f ca="1">IF(AND($AT514&lt;3,OFFSET(DATA!$C$14,$AS514,0)=AZ$6),$AV514,dNULL)</f>
        <v>-99</v>
      </c>
      <c r="BA514">
        <f ca="1">IF(AND($AT514&lt;3,OFFSET(DATA!$C$14,$AS514,0)=BA$6),$AV514,dNULL)</f>
        <v>-99</v>
      </c>
      <c r="BB514">
        <f ca="1">IF(AND($AT514&lt;3,OFFSET(DATA!$C$14,$AS514,0)=BB$6),$AV514,dNULL)</f>
        <v>-99</v>
      </c>
      <c r="BC514">
        <f ca="1">IF(AND($AT514&lt;3,OFFSET(DATA!$C$14,$AS514,0)=BC$6),$AV514,dNULL)</f>
        <v>-99</v>
      </c>
      <c r="BD514">
        <f ca="1">IF(AND($AT514&lt;3,OFFSET(DATA!$C$14,$AS514,0)=BD$6),$AV514,dNULL)</f>
        <v>-99</v>
      </c>
      <c r="BE514">
        <f ca="1">IF(AND($AT514&lt;3,OFFSET(DATA!$C$14,$AS514,0)=BE$6),$AV514,dNULL)</f>
        <v>-99</v>
      </c>
      <c r="BF514">
        <f ca="1">IF(AND($AT514&lt;3,OFFSET(DATA!$C$14,$AS514,0)=BF$6),$AV514,dNULL)</f>
        <v>-99</v>
      </c>
      <c r="BG514">
        <f ca="1">IF(AND($AT514&lt;3,OFFSET(DATA!$C$14,$AS514,0)=BG$6),$AV514,dNULL)</f>
        <v>-99</v>
      </c>
      <c r="BH514">
        <f ca="1">IF(AND($AT514&lt;3,OFFSET(DATA!$C$14,$AS514,0)=BH$6),$AV514,dNULL)</f>
        <v>-99</v>
      </c>
    </row>
    <row r="515" spans="45:60" x14ac:dyDescent="0.25">
      <c r="AS515">
        <f t="shared" si="116"/>
        <v>59</v>
      </c>
      <c r="AT515">
        <f t="shared" si="117"/>
        <v>5</v>
      </c>
      <c r="AU515">
        <f t="shared" ca="1" si="118"/>
        <v>-99</v>
      </c>
      <c r="AV515">
        <f t="shared" ca="1" si="119"/>
        <v>-99</v>
      </c>
      <c r="AW515">
        <f ca="1">IF(AND($AT515&lt;3,OFFSET(DATA!$C$14,$AS515,0)=AW$6),$AV515,dNULL)</f>
        <v>-99</v>
      </c>
      <c r="AX515">
        <f ca="1">IF(AND($AT515&lt;3,OFFSET(DATA!$C$14,$AS515,0)=AX$6),$AV515,dNULL)</f>
        <v>-99</v>
      </c>
      <c r="AY515">
        <f ca="1">IF(AND($AT515&lt;3,OFFSET(DATA!$C$14,$AS515,0)=AY$6),$AV515,dNULL)</f>
        <v>-99</v>
      </c>
      <c r="AZ515">
        <f ca="1">IF(AND($AT515&lt;3,OFFSET(DATA!$C$14,$AS515,0)=AZ$6),$AV515,dNULL)</f>
        <v>-99</v>
      </c>
      <c r="BA515">
        <f ca="1">IF(AND($AT515&lt;3,OFFSET(DATA!$C$14,$AS515,0)=BA$6),$AV515,dNULL)</f>
        <v>-99</v>
      </c>
      <c r="BB515">
        <f ca="1">IF(AND($AT515&lt;3,OFFSET(DATA!$C$14,$AS515,0)=BB$6),$AV515,dNULL)</f>
        <v>-99</v>
      </c>
      <c r="BC515">
        <f ca="1">IF(AND($AT515&lt;3,OFFSET(DATA!$C$14,$AS515,0)=BC$6),$AV515,dNULL)</f>
        <v>-99</v>
      </c>
      <c r="BD515">
        <f ca="1">IF(AND($AT515&lt;3,OFFSET(DATA!$C$14,$AS515,0)=BD$6),$AV515,dNULL)</f>
        <v>-99</v>
      </c>
      <c r="BE515">
        <f ca="1">IF(AND($AT515&lt;3,OFFSET(DATA!$C$14,$AS515,0)=BE$6),$AV515,dNULL)</f>
        <v>-99</v>
      </c>
      <c r="BF515">
        <f ca="1">IF(AND($AT515&lt;3,OFFSET(DATA!$C$14,$AS515,0)=BF$6),$AV515,dNULL)</f>
        <v>-99</v>
      </c>
      <c r="BG515">
        <f ca="1">IF(AND($AT515&lt;3,OFFSET(DATA!$C$14,$AS515,0)=BG$6),$AV515,dNULL)</f>
        <v>-99</v>
      </c>
      <c r="BH515">
        <f ca="1">IF(AND($AT515&lt;3,OFFSET(DATA!$C$14,$AS515,0)=BH$6),$AV515,dNULL)</f>
        <v>-99</v>
      </c>
    </row>
    <row r="516" spans="45:60" x14ac:dyDescent="0.25">
      <c r="AS516">
        <f t="shared" si="116"/>
        <v>60</v>
      </c>
      <c r="AT516">
        <f t="shared" si="117"/>
        <v>5</v>
      </c>
      <c r="AU516">
        <f t="shared" ca="1" si="118"/>
        <v>-99</v>
      </c>
      <c r="AV516">
        <f t="shared" ca="1" si="119"/>
        <v>-99</v>
      </c>
      <c r="AW516">
        <f ca="1">IF(AND($AT516&lt;3,OFFSET(DATA!$C$14,$AS516,0)=AW$6),$AV516,dNULL)</f>
        <v>-99</v>
      </c>
      <c r="AX516">
        <f ca="1">IF(AND($AT516&lt;3,OFFSET(DATA!$C$14,$AS516,0)=AX$6),$AV516,dNULL)</f>
        <v>-99</v>
      </c>
      <c r="AY516">
        <f ca="1">IF(AND($AT516&lt;3,OFFSET(DATA!$C$14,$AS516,0)=AY$6),$AV516,dNULL)</f>
        <v>-99</v>
      </c>
      <c r="AZ516">
        <f ca="1">IF(AND($AT516&lt;3,OFFSET(DATA!$C$14,$AS516,0)=AZ$6),$AV516,dNULL)</f>
        <v>-99</v>
      </c>
      <c r="BA516">
        <f ca="1">IF(AND($AT516&lt;3,OFFSET(DATA!$C$14,$AS516,0)=BA$6),$AV516,dNULL)</f>
        <v>-99</v>
      </c>
      <c r="BB516">
        <f ca="1">IF(AND($AT516&lt;3,OFFSET(DATA!$C$14,$AS516,0)=BB$6),$AV516,dNULL)</f>
        <v>-99</v>
      </c>
      <c r="BC516">
        <f ca="1">IF(AND($AT516&lt;3,OFFSET(DATA!$C$14,$AS516,0)=BC$6),$AV516,dNULL)</f>
        <v>-99</v>
      </c>
      <c r="BD516">
        <f ca="1">IF(AND($AT516&lt;3,OFFSET(DATA!$C$14,$AS516,0)=BD$6),$AV516,dNULL)</f>
        <v>-99</v>
      </c>
      <c r="BE516">
        <f ca="1">IF(AND($AT516&lt;3,OFFSET(DATA!$C$14,$AS516,0)=BE$6),$AV516,dNULL)</f>
        <v>-99</v>
      </c>
      <c r="BF516">
        <f ca="1">IF(AND($AT516&lt;3,OFFSET(DATA!$C$14,$AS516,0)=BF$6),$AV516,dNULL)</f>
        <v>-99</v>
      </c>
      <c r="BG516">
        <f ca="1">IF(AND($AT516&lt;3,OFFSET(DATA!$C$14,$AS516,0)=BG$6),$AV516,dNULL)</f>
        <v>-99</v>
      </c>
      <c r="BH516">
        <f ca="1">IF(AND($AT516&lt;3,OFFSET(DATA!$C$14,$AS516,0)=BH$6),$AV516,dNULL)</f>
        <v>-99</v>
      </c>
    </row>
    <row r="517" spans="45:60" x14ac:dyDescent="0.25">
      <c r="AS517">
        <f t="shared" si="116"/>
        <v>61</v>
      </c>
      <c r="AT517">
        <f t="shared" si="117"/>
        <v>5</v>
      </c>
      <c r="AU517">
        <f t="shared" ca="1" si="118"/>
        <v>-99</v>
      </c>
      <c r="AV517">
        <f t="shared" ca="1" si="119"/>
        <v>-99</v>
      </c>
      <c r="AW517">
        <f ca="1">IF(AND($AT517&lt;3,OFFSET(DATA!$C$14,$AS517,0)=AW$6),$AV517,dNULL)</f>
        <v>-99</v>
      </c>
      <c r="AX517">
        <f ca="1">IF(AND($AT517&lt;3,OFFSET(DATA!$C$14,$AS517,0)=AX$6),$AV517,dNULL)</f>
        <v>-99</v>
      </c>
      <c r="AY517">
        <f ca="1">IF(AND($AT517&lt;3,OFFSET(DATA!$C$14,$AS517,0)=AY$6),$AV517,dNULL)</f>
        <v>-99</v>
      </c>
      <c r="AZ517">
        <f ca="1">IF(AND($AT517&lt;3,OFFSET(DATA!$C$14,$AS517,0)=AZ$6),$AV517,dNULL)</f>
        <v>-99</v>
      </c>
      <c r="BA517">
        <f ca="1">IF(AND($AT517&lt;3,OFFSET(DATA!$C$14,$AS517,0)=BA$6),$AV517,dNULL)</f>
        <v>-99</v>
      </c>
      <c r="BB517">
        <f ca="1">IF(AND($AT517&lt;3,OFFSET(DATA!$C$14,$AS517,0)=BB$6),$AV517,dNULL)</f>
        <v>-99</v>
      </c>
      <c r="BC517">
        <f ca="1">IF(AND($AT517&lt;3,OFFSET(DATA!$C$14,$AS517,0)=BC$6),$AV517,dNULL)</f>
        <v>-99</v>
      </c>
      <c r="BD517">
        <f ca="1">IF(AND($AT517&lt;3,OFFSET(DATA!$C$14,$AS517,0)=BD$6),$AV517,dNULL)</f>
        <v>-99</v>
      </c>
      <c r="BE517">
        <f ca="1">IF(AND($AT517&lt;3,OFFSET(DATA!$C$14,$AS517,0)=BE$6),$AV517,dNULL)</f>
        <v>-99</v>
      </c>
      <c r="BF517">
        <f ca="1">IF(AND($AT517&lt;3,OFFSET(DATA!$C$14,$AS517,0)=BF$6),$AV517,dNULL)</f>
        <v>-99</v>
      </c>
      <c r="BG517">
        <f ca="1">IF(AND($AT517&lt;3,OFFSET(DATA!$C$14,$AS517,0)=BG$6),$AV517,dNULL)</f>
        <v>-99</v>
      </c>
      <c r="BH517">
        <f ca="1">IF(AND($AT517&lt;3,OFFSET(DATA!$C$14,$AS517,0)=BH$6),$AV517,dNULL)</f>
        <v>-99</v>
      </c>
    </row>
    <row r="518" spans="45:60" x14ac:dyDescent="0.25">
      <c r="AS518">
        <f t="shared" si="116"/>
        <v>62</v>
      </c>
      <c r="AT518">
        <f t="shared" si="117"/>
        <v>5</v>
      </c>
      <c r="AU518">
        <f t="shared" ca="1" si="118"/>
        <v>-99</v>
      </c>
      <c r="AV518">
        <f t="shared" ca="1" si="119"/>
        <v>-99</v>
      </c>
      <c r="AW518">
        <f ca="1">IF(AND($AT518&lt;3,OFFSET(DATA!$C$14,$AS518,0)=AW$6),$AV518,dNULL)</f>
        <v>-99</v>
      </c>
      <c r="AX518">
        <f ca="1">IF(AND($AT518&lt;3,OFFSET(DATA!$C$14,$AS518,0)=AX$6),$AV518,dNULL)</f>
        <v>-99</v>
      </c>
      <c r="AY518">
        <f ca="1">IF(AND($AT518&lt;3,OFFSET(DATA!$C$14,$AS518,0)=AY$6),$AV518,dNULL)</f>
        <v>-99</v>
      </c>
      <c r="AZ518">
        <f ca="1">IF(AND($AT518&lt;3,OFFSET(DATA!$C$14,$AS518,0)=AZ$6),$AV518,dNULL)</f>
        <v>-99</v>
      </c>
      <c r="BA518">
        <f ca="1">IF(AND($AT518&lt;3,OFFSET(DATA!$C$14,$AS518,0)=BA$6),$AV518,dNULL)</f>
        <v>-99</v>
      </c>
      <c r="BB518">
        <f ca="1">IF(AND($AT518&lt;3,OFFSET(DATA!$C$14,$AS518,0)=BB$6),$AV518,dNULL)</f>
        <v>-99</v>
      </c>
      <c r="BC518">
        <f ca="1">IF(AND($AT518&lt;3,OFFSET(DATA!$C$14,$AS518,0)=BC$6),$AV518,dNULL)</f>
        <v>-99</v>
      </c>
      <c r="BD518">
        <f ca="1">IF(AND($AT518&lt;3,OFFSET(DATA!$C$14,$AS518,0)=BD$6),$AV518,dNULL)</f>
        <v>-99</v>
      </c>
      <c r="BE518">
        <f ca="1">IF(AND($AT518&lt;3,OFFSET(DATA!$C$14,$AS518,0)=BE$6),$AV518,dNULL)</f>
        <v>-99</v>
      </c>
      <c r="BF518">
        <f ca="1">IF(AND($AT518&lt;3,OFFSET(DATA!$C$14,$AS518,0)=BF$6),$AV518,dNULL)</f>
        <v>-99</v>
      </c>
      <c r="BG518">
        <f ca="1">IF(AND($AT518&lt;3,OFFSET(DATA!$C$14,$AS518,0)=BG$6),$AV518,dNULL)</f>
        <v>-99</v>
      </c>
      <c r="BH518">
        <f ca="1">IF(AND($AT518&lt;3,OFFSET(DATA!$C$14,$AS518,0)=BH$6),$AV518,dNULL)</f>
        <v>-99</v>
      </c>
    </row>
    <row r="519" spans="45:60" x14ac:dyDescent="0.25">
      <c r="AS519">
        <f t="shared" ref="AS519:AS582" si="120">MOD(ROW(AT519)-ROW($AT$7),lCNTsites)+1</f>
        <v>63</v>
      </c>
      <c r="AT519">
        <f t="shared" ref="AT519:AT582" si="121">INT((ROW(AT519)-ROW($AT$7))/lCNTsites)</f>
        <v>5</v>
      </c>
      <c r="AU519">
        <f t="shared" ref="AU519:AU582" ca="1" si="122">IF($AT519=0,(1-OFFSET($AL$6,$AS519,$AT519*2))-OFFSET($AL$6,$AS519,$AT519*2+1)*$K$8,IF($AT519=1,dAnionOFF+1+OFFSET($AL$6,$AS519,$AT519*2)+OFFSET($AL$6,$AS519,$AT519*2+1)/2,IF($AT519=2,$K$17-(1-OFFSET($AL$6,$AS519,$AT519*2))*0.5+(1-OFFSET($AL$6,$AS519,$AT519*2+1))*0.5,dNULL)))</f>
        <v>-99</v>
      </c>
      <c r="AV519">
        <f t="shared" ref="AV519:AV582" ca="1" si="123">IF($AT519=0,OFFSET($AL$6,$AS519,$AT519*2+1)*$L$8,IF($AT519=1,OFFSET($AL$6,$AS519,$AT519*2+1)*3^0.5/2,IF($AT519=2,$L$17+(2-OFFSET($AL$6,$AS519,$AT519*2)-OFFSET($AL$6,$AS519,$AT519*2+1))*$L$8,dNULL)))</f>
        <v>-99</v>
      </c>
      <c r="AW519">
        <f ca="1">IF(AND($AT519&lt;3,OFFSET(DATA!$C$14,$AS519,0)=AW$6),$AV519,dNULL)</f>
        <v>-99</v>
      </c>
      <c r="AX519">
        <f ca="1">IF(AND($AT519&lt;3,OFFSET(DATA!$C$14,$AS519,0)=AX$6),$AV519,dNULL)</f>
        <v>-99</v>
      </c>
      <c r="AY519">
        <f ca="1">IF(AND($AT519&lt;3,OFFSET(DATA!$C$14,$AS519,0)=AY$6),$AV519,dNULL)</f>
        <v>-99</v>
      </c>
      <c r="AZ519">
        <f ca="1">IF(AND($AT519&lt;3,OFFSET(DATA!$C$14,$AS519,0)=AZ$6),$AV519,dNULL)</f>
        <v>-99</v>
      </c>
      <c r="BA519">
        <f ca="1">IF(AND($AT519&lt;3,OFFSET(DATA!$C$14,$AS519,0)=BA$6),$AV519,dNULL)</f>
        <v>-99</v>
      </c>
      <c r="BB519">
        <f ca="1">IF(AND($AT519&lt;3,OFFSET(DATA!$C$14,$AS519,0)=BB$6),$AV519,dNULL)</f>
        <v>-99</v>
      </c>
      <c r="BC519">
        <f ca="1">IF(AND($AT519&lt;3,OFFSET(DATA!$C$14,$AS519,0)=BC$6),$AV519,dNULL)</f>
        <v>-99</v>
      </c>
      <c r="BD519">
        <f ca="1">IF(AND($AT519&lt;3,OFFSET(DATA!$C$14,$AS519,0)=BD$6),$AV519,dNULL)</f>
        <v>-99</v>
      </c>
      <c r="BE519">
        <f ca="1">IF(AND($AT519&lt;3,OFFSET(DATA!$C$14,$AS519,0)=BE$6),$AV519,dNULL)</f>
        <v>-99</v>
      </c>
      <c r="BF519">
        <f ca="1">IF(AND($AT519&lt;3,OFFSET(DATA!$C$14,$AS519,0)=BF$6),$AV519,dNULL)</f>
        <v>-99</v>
      </c>
      <c r="BG519">
        <f ca="1">IF(AND($AT519&lt;3,OFFSET(DATA!$C$14,$AS519,0)=BG$6),$AV519,dNULL)</f>
        <v>-99</v>
      </c>
      <c r="BH519">
        <f ca="1">IF(AND($AT519&lt;3,OFFSET(DATA!$C$14,$AS519,0)=BH$6),$AV519,dNULL)</f>
        <v>-99</v>
      </c>
    </row>
    <row r="520" spans="45:60" x14ac:dyDescent="0.25">
      <c r="AS520">
        <f t="shared" si="120"/>
        <v>64</v>
      </c>
      <c r="AT520">
        <f t="shared" si="121"/>
        <v>5</v>
      </c>
      <c r="AU520">
        <f t="shared" ca="1" si="122"/>
        <v>-99</v>
      </c>
      <c r="AV520">
        <f t="shared" ca="1" si="123"/>
        <v>-99</v>
      </c>
      <c r="AW520">
        <f ca="1">IF(AND($AT520&lt;3,OFFSET(DATA!$C$14,$AS520,0)=AW$6),$AV520,dNULL)</f>
        <v>-99</v>
      </c>
      <c r="AX520">
        <f ca="1">IF(AND($AT520&lt;3,OFFSET(DATA!$C$14,$AS520,0)=AX$6),$AV520,dNULL)</f>
        <v>-99</v>
      </c>
      <c r="AY520">
        <f ca="1">IF(AND($AT520&lt;3,OFFSET(DATA!$C$14,$AS520,0)=AY$6),$AV520,dNULL)</f>
        <v>-99</v>
      </c>
      <c r="AZ520">
        <f ca="1">IF(AND($AT520&lt;3,OFFSET(DATA!$C$14,$AS520,0)=AZ$6),$AV520,dNULL)</f>
        <v>-99</v>
      </c>
      <c r="BA520">
        <f ca="1">IF(AND($AT520&lt;3,OFFSET(DATA!$C$14,$AS520,0)=BA$6),$AV520,dNULL)</f>
        <v>-99</v>
      </c>
      <c r="BB520">
        <f ca="1">IF(AND($AT520&lt;3,OFFSET(DATA!$C$14,$AS520,0)=BB$6),$AV520,dNULL)</f>
        <v>-99</v>
      </c>
      <c r="BC520">
        <f ca="1">IF(AND($AT520&lt;3,OFFSET(DATA!$C$14,$AS520,0)=BC$6),$AV520,dNULL)</f>
        <v>-99</v>
      </c>
      <c r="BD520">
        <f ca="1">IF(AND($AT520&lt;3,OFFSET(DATA!$C$14,$AS520,0)=BD$6),$AV520,dNULL)</f>
        <v>-99</v>
      </c>
      <c r="BE520">
        <f ca="1">IF(AND($AT520&lt;3,OFFSET(DATA!$C$14,$AS520,0)=BE$6),$AV520,dNULL)</f>
        <v>-99</v>
      </c>
      <c r="BF520">
        <f ca="1">IF(AND($AT520&lt;3,OFFSET(DATA!$C$14,$AS520,0)=BF$6),$AV520,dNULL)</f>
        <v>-99</v>
      </c>
      <c r="BG520">
        <f ca="1">IF(AND($AT520&lt;3,OFFSET(DATA!$C$14,$AS520,0)=BG$6),$AV520,dNULL)</f>
        <v>-99</v>
      </c>
      <c r="BH520">
        <f ca="1">IF(AND($AT520&lt;3,OFFSET(DATA!$C$14,$AS520,0)=BH$6),$AV520,dNULL)</f>
        <v>-99</v>
      </c>
    </row>
    <row r="521" spans="45:60" x14ac:dyDescent="0.25">
      <c r="AS521">
        <f t="shared" si="120"/>
        <v>65</v>
      </c>
      <c r="AT521">
        <f t="shared" si="121"/>
        <v>5</v>
      </c>
      <c r="AU521">
        <f t="shared" ca="1" si="122"/>
        <v>-99</v>
      </c>
      <c r="AV521">
        <f t="shared" ca="1" si="123"/>
        <v>-99</v>
      </c>
      <c r="AW521">
        <f ca="1">IF(AND($AT521&lt;3,OFFSET(DATA!$C$14,$AS521,0)=AW$6),$AV521,dNULL)</f>
        <v>-99</v>
      </c>
      <c r="AX521">
        <f ca="1">IF(AND($AT521&lt;3,OFFSET(DATA!$C$14,$AS521,0)=AX$6),$AV521,dNULL)</f>
        <v>-99</v>
      </c>
      <c r="AY521">
        <f ca="1">IF(AND($AT521&lt;3,OFFSET(DATA!$C$14,$AS521,0)=AY$6),$AV521,dNULL)</f>
        <v>-99</v>
      </c>
      <c r="AZ521">
        <f ca="1">IF(AND($AT521&lt;3,OFFSET(DATA!$C$14,$AS521,0)=AZ$6),$AV521,dNULL)</f>
        <v>-99</v>
      </c>
      <c r="BA521">
        <f ca="1">IF(AND($AT521&lt;3,OFFSET(DATA!$C$14,$AS521,0)=BA$6),$AV521,dNULL)</f>
        <v>-99</v>
      </c>
      <c r="BB521">
        <f ca="1">IF(AND($AT521&lt;3,OFFSET(DATA!$C$14,$AS521,0)=BB$6),$AV521,dNULL)</f>
        <v>-99</v>
      </c>
      <c r="BC521">
        <f ca="1">IF(AND($AT521&lt;3,OFFSET(DATA!$C$14,$AS521,0)=BC$6),$AV521,dNULL)</f>
        <v>-99</v>
      </c>
      <c r="BD521">
        <f ca="1">IF(AND($AT521&lt;3,OFFSET(DATA!$C$14,$AS521,0)=BD$6),$AV521,dNULL)</f>
        <v>-99</v>
      </c>
      <c r="BE521">
        <f ca="1">IF(AND($AT521&lt;3,OFFSET(DATA!$C$14,$AS521,0)=BE$6),$AV521,dNULL)</f>
        <v>-99</v>
      </c>
      <c r="BF521">
        <f ca="1">IF(AND($AT521&lt;3,OFFSET(DATA!$C$14,$AS521,0)=BF$6),$AV521,dNULL)</f>
        <v>-99</v>
      </c>
      <c r="BG521">
        <f ca="1">IF(AND($AT521&lt;3,OFFSET(DATA!$C$14,$AS521,0)=BG$6),$AV521,dNULL)</f>
        <v>-99</v>
      </c>
      <c r="BH521">
        <f ca="1">IF(AND($AT521&lt;3,OFFSET(DATA!$C$14,$AS521,0)=BH$6),$AV521,dNULL)</f>
        <v>-99</v>
      </c>
    </row>
    <row r="522" spans="45:60" x14ac:dyDescent="0.25">
      <c r="AS522">
        <f t="shared" si="120"/>
        <v>66</v>
      </c>
      <c r="AT522">
        <f t="shared" si="121"/>
        <v>5</v>
      </c>
      <c r="AU522">
        <f t="shared" ca="1" si="122"/>
        <v>-99</v>
      </c>
      <c r="AV522">
        <f t="shared" ca="1" si="123"/>
        <v>-99</v>
      </c>
      <c r="AW522">
        <f ca="1">IF(AND($AT522&lt;3,OFFSET(DATA!$C$14,$AS522,0)=AW$6),$AV522,dNULL)</f>
        <v>-99</v>
      </c>
      <c r="AX522">
        <f ca="1">IF(AND($AT522&lt;3,OFFSET(DATA!$C$14,$AS522,0)=AX$6),$AV522,dNULL)</f>
        <v>-99</v>
      </c>
      <c r="AY522">
        <f ca="1">IF(AND($AT522&lt;3,OFFSET(DATA!$C$14,$AS522,0)=AY$6),$AV522,dNULL)</f>
        <v>-99</v>
      </c>
      <c r="AZ522">
        <f ca="1">IF(AND($AT522&lt;3,OFFSET(DATA!$C$14,$AS522,0)=AZ$6),$AV522,dNULL)</f>
        <v>-99</v>
      </c>
      <c r="BA522">
        <f ca="1">IF(AND($AT522&lt;3,OFFSET(DATA!$C$14,$AS522,0)=BA$6),$AV522,dNULL)</f>
        <v>-99</v>
      </c>
      <c r="BB522">
        <f ca="1">IF(AND($AT522&lt;3,OFFSET(DATA!$C$14,$AS522,0)=BB$6),$AV522,dNULL)</f>
        <v>-99</v>
      </c>
      <c r="BC522">
        <f ca="1">IF(AND($AT522&lt;3,OFFSET(DATA!$C$14,$AS522,0)=BC$6),$AV522,dNULL)</f>
        <v>-99</v>
      </c>
      <c r="BD522">
        <f ca="1">IF(AND($AT522&lt;3,OFFSET(DATA!$C$14,$AS522,0)=BD$6),$AV522,dNULL)</f>
        <v>-99</v>
      </c>
      <c r="BE522">
        <f ca="1">IF(AND($AT522&lt;3,OFFSET(DATA!$C$14,$AS522,0)=BE$6),$AV522,dNULL)</f>
        <v>-99</v>
      </c>
      <c r="BF522">
        <f ca="1">IF(AND($AT522&lt;3,OFFSET(DATA!$C$14,$AS522,0)=BF$6),$AV522,dNULL)</f>
        <v>-99</v>
      </c>
      <c r="BG522">
        <f ca="1">IF(AND($AT522&lt;3,OFFSET(DATA!$C$14,$AS522,0)=BG$6),$AV522,dNULL)</f>
        <v>-99</v>
      </c>
      <c r="BH522">
        <f ca="1">IF(AND($AT522&lt;3,OFFSET(DATA!$C$14,$AS522,0)=BH$6),$AV522,dNULL)</f>
        <v>-99</v>
      </c>
    </row>
    <row r="523" spans="45:60" x14ac:dyDescent="0.25">
      <c r="AS523">
        <f t="shared" si="120"/>
        <v>67</v>
      </c>
      <c r="AT523">
        <f t="shared" si="121"/>
        <v>5</v>
      </c>
      <c r="AU523">
        <f t="shared" ca="1" si="122"/>
        <v>-99</v>
      </c>
      <c r="AV523">
        <f t="shared" ca="1" si="123"/>
        <v>-99</v>
      </c>
      <c r="AW523">
        <f ca="1">IF(AND($AT523&lt;3,OFFSET(DATA!$C$14,$AS523,0)=AW$6),$AV523,dNULL)</f>
        <v>-99</v>
      </c>
      <c r="AX523">
        <f ca="1">IF(AND($AT523&lt;3,OFFSET(DATA!$C$14,$AS523,0)=AX$6),$AV523,dNULL)</f>
        <v>-99</v>
      </c>
      <c r="AY523">
        <f ca="1">IF(AND($AT523&lt;3,OFFSET(DATA!$C$14,$AS523,0)=AY$6),$AV523,dNULL)</f>
        <v>-99</v>
      </c>
      <c r="AZ523">
        <f ca="1">IF(AND($AT523&lt;3,OFFSET(DATA!$C$14,$AS523,0)=AZ$6),$AV523,dNULL)</f>
        <v>-99</v>
      </c>
      <c r="BA523">
        <f ca="1">IF(AND($AT523&lt;3,OFFSET(DATA!$C$14,$AS523,0)=BA$6),$AV523,dNULL)</f>
        <v>-99</v>
      </c>
      <c r="BB523">
        <f ca="1">IF(AND($AT523&lt;3,OFFSET(DATA!$C$14,$AS523,0)=BB$6),$AV523,dNULL)</f>
        <v>-99</v>
      </c>
      <c r="BC523">
        <f ca="1">IF(AND($AT523&lt;3,OFFSET(DATA!$C$14,$AS523,0)=BC$6),$AV523,dNULL)</f>
        <v>-99</v>
      </c>
      <c r="BD523">
        <f ca="1">IF(AND($AT523&lt;3,OFFSET(DATA!$C$14,$AS523,0)=BD$6),$AV523,dNULL)</f>
        <v>-99</v>
      </c>
      <c r="BE523">
        <f ca="1">IF(AND($AT523&lt;3,OFFSET(DATA!$C$14,$AS523,0)=BE$6),$AV523,dNULL)</f>
        <v>-99</v>
      </c>
      <c r="BF523">
        <f ca="1">IF(AND($AT523&lt;3,OFFSET(DATA!$C$14,$AS523,0)=BF$6),$AV523,dNULL)</f>
        <v>-99</v>
      </c>
      <c r="BG523">
        <f ca="1">IF(AND($AT523&lt;3,OFFSET(DATA!$C$14,$AS523,0)=BG$6),$AV523,dNULL)</f>
        <v>-99</v>
      </c>
      <c r="BH523">
        <f ca="1">IF(AND($AT523&lt;3,OFFSET(DATA!$C$14,$AS523,0)=BH$6),$AV523,dNULL)</f>
        <v>-99</v>
      </c>
    </row>
    <row r="524" spans="45:60" x14ac:dyDescent="0.25">
      <c r="AS524">
        <f t="shared" si="120"/>
        <v>68</v>
      </c>
      <c r="AT524">
        <f t="shared" si="121"/>
        <v>5</v>
      </c>
      <c r="AU524">
        <f t="shared" ca="1" si="122"/>
        <v>-99</v>
      </c>
      <c r="AV524">
        <f t="shared" ca="1" si="123"/>
        <v>-99</v>
      </c>
      <c r="AW524">
        <f ca="1">IF(AND($AT524&lt;3,OFFSET(DATA!$C$14,$AS524,0)=AW$6),$AV524,dNULL)</f>
        <v>-99</v>
      </c>
      <c r="AX524">
        <f ca="1">IF(AND($AT524&lt;3,OFFSET(DATA!$C$14,$AS524,0)=AX$6),$AV524,dNULL)</f>
        <v>-99</v>
      </c>
      <c r="AY524">
        <f ca="1">IF(AND($AT524&lt;3,OFFSET(DATA!$C$14,$AS524,0)=AY$6),$AV524,dNULL)</f>
        <v>-99</v>
      </c>
      <c r="AZ524">
        <f ca="1">IF(AND($AT524&lt;3,OFFSET(DATA!$C$14,$AS524,0)=AZ$6),$AV524,dNULL)</f>
        <v>-99</v>
      </c>
      <c r="BA524">
        <f ca="1">IF(AND($AT524&lt;3,OFFSET(DATA!$C$14,$AS524,0)=BA$6),$AV524,dNULL)</f>
        <v>-99</v>
      </c>
      <c r="BB524">
        <f ca="1">IF(AND($AT524&lt;3,OFFSET(DATA!$C$14,$AS524,0)=BB$6),$AV524,dNULL)</f>
        <v>-99</v>
      </c>
      <c r="BC524">
        <f ca="1">IF(AND($AT524&lt;3,OFFSET(DATA!$C$14,$AS524,0)=BC$6),$AV524,dNULL)</f>
        <v>-99</v>
      </c>
      <c r="BD524">
        <f ca="1">IF(AND($AT524&lt;3,OFFSET(DATA!$C$14,$AS524,0)=BD$6),$AV524,dNULL)</f>
        <v>-99</v>
      </c>
      <c r="BE524">
        <f ca="1">IF(AND($AT524&lt;3,OFFSET(DATA!$C$14,$AS524,0)=BE$6),$AV524,dNULL)</f>
        <v>-99</v>
      </c>
      <c r="BF524">
        <f ca="1">IF(AND($AT524&lt;3,OFFSET(DATA!$C$14,$AS524,0)=BF$6),$AV524,dNULL)</f>
        <v>-99</v>
      </c>
      <c r="BG524">
        <f ca="1">IF(AND($AT524&lt;3,OFFSET(DATA!$C$14,$AS524,0)=BG$6),$AV524,dNULL)</f>
        <v>-99</v>
      </c>
      <c r="BH524">
        <f ca="1">IF(AND($AT524&lt;3,OFFSET(DATA!$C$14,$AS524,0)=BH$6),$AV524,dNULL)</f>
        <v>-99</v>
      </c>
    </row>
    <row r="525" spans="45:60" x14ac:dyDescent="0.25">
      <c r="AS525">
        <f t="shared" si="120"/>
        <v>69</v>
      </c>
      <c r="AT525">
        <f t="shared" si="121"/>
        <v>5</v>
      </c>
      <c r="AU525">
        <f t="shared" ca="1" si="122"/>
        <v>-99</v>
      </c>
      <c r="AV525">
        <f t="shared" ca="1" si="123"/>
        <v>-99</v>
      </c>
      <c r="AW525">
        <f ca="1">IF(AND($AT525&lt;3,OFFSET(DATA!$C$14,$AS525,0)=AW$6),$AV525,dNULL)</f>
        <v>-99</v>
      </c>
      <c r="AX525">
        <f ca="1">IF(AND($AT525&lt;3,OFFSET(DATA!$C$14,$AS525,0)=AX$6),$AV525,dNULL)</f>
        <v>-99</v>
      </c>
      <c r="AY525">
        <f ca="1">IF(AND($AT525&lt;3,OFFSET(DATA!$C$14,$AS525,0)=AY$6),$AV525,dNULL)</f>
        <v>-99</v>
      </c>
      <c r="AZ525">
        <f ca="1">IF(AND($AT525&lt;3,OFFSET(DATA!$C$14,$AS525,0)=AZ$6),$AV525,dNULL)</f>
        <v>-99</v>
      </c>
      <c r="BA525">
        <f ca="1">IF(AND($AT525&lt;3,OFFSET(DATA!$C$14,$AS525,0)=BA$6),$AV525,dNULL)</f>
        <v>-99</v>
      </c>
      <c r="BB525">
        <f ca="1">IF(AND($AT525&lt;3,OFFSET(DATA!$C$14,$AS525,0)=BB$6),$AV525,dNULL)</f>
        <v>-99</v>
      </c>
      <c r="BC525">
        <f ca="1">IF(AND($AT525&lt;3,OFFSET(DATA!$C$14,$AS525,0)=BC$6),$AV525,dNULL)</f>
        <v>-99</v>
      </c>
      <c r="BD525">
        <f ca="1">IF(AND($AT525&lt;3,OFFSET(DATA!$C$14,$AS525,0)=BD$6),$AV525,dNULL)</f>
        <v>-99</v>
      </c>
      <c r="BE525">
        <f ca="1">IF(AND($AT525&lt;3,OFFSET(DATA!$C$14,$AS525,0)=BE$6),$AV525,dNULL)</f>
        <v>-99</v>
      </c>
      <c r="BF525">
        <f ca="1">IF(AND($AT525&lt;3,OFFSET(DATA!$C$14,$AS525,0)=BF$6),$AV525,dNULL)</f>
        <v>-99</v>
      </c>
      <c r="BG525">
        <f ca="1">IF(AND($AT525&lt;3,OFFSET(DATA!$C$14,$AS525,0)=BG$6),$AV525,dNULL)</f>
        <v>-99</v>
      </c>
      <c r="BH525">
        <f ca="1">IF(AND($AT525&lt;3,OFFSET(DATA!$C$14,$AS525,0)=BH$6),$AV525,dNULL)</f>
        <v>-99</v>
      </c>
    </row>
    <row r="526" spans="45:60" x14ac:dyDescent="0.25">
      <c r="AS526">
        <f t="shared" si="120"/>
        <v>70</v>
      </c>
      <c r="AT526">
        <f t="shared" si="121"/>
        <v>5</v>
      </c>
      <c r="AU526">
        <f t="shared" ca="1" si="122"/>
        <v>-99</v>
      </c>
      <c r="AV526">
        <f t="shared" ca="1" si="123"/>
        <v>-99</v>
      </c>
      <c r="AW526">
        <f ca="1">IF(AND($AT526&lt;3,OFFSET(DATA!$C$14,$AS526,0)=AW$6),$AV526,dNULL)</f>
        <v>-99</v>
      </c>
      <c r="AX526">
        <f ca="1">IF(AND($AT526&lt;3,OFFSET(DATA!$C$14,$AS526,0)=AX$6),$AV526,dNULL)</f>
        <v>-99</v>
      </c>
      <c r="AY526">
        <f ca="1">IF(AND($AT526&lt;3,OFFSET(DATA!$C$14,$AS526,0)=AY$6),$AV526,dNULL)</f>
        <v>-99</v>
      </c>
      <c r="AZ526">
        <f ca="1">IF(AND($AT526&lt;3,OFFSET(DATA!$C$14,$AS526,0)=AZ$6),$AV526,dNULL)</f>
        <v>-99</v>
      </c>
      <c r="BA526">
        <f ca="1">IF(AND($AT526&lt;3,OFFSET(DATA!$C$14,$AS526,0)=BA$6),$AV526,dNULL)</f>
        <v>-99</v>
      </c>
      <c r="BB526">
        <f ca="1">IF(AND($AT526&lt;3,OFFSET(DATA!$C$14,$AS526,0)=BB$6),$AV526,dNULL)</f>
        <v>-99</v>
      </c>
      <c r="BC526">
        <f ca="1">IF(AND($AT526&lt;3,OFFSET(DATA!$C$14,$AS526,0)=BC$6),$AV526,dNULL)</f>
        <v>-99</v>
      </c>
      <c r="BD526">
        <f ca="1">IF(AND($AT526&lt;3,OFFSET(DATA!$C$14,$AS526,0)=BD$6),$AV526,dNULL)</f>
        <v>-99</v>
      </c>
      <c r="BE526">
        <f ca="1">IF(AND($AT526&lt;3,OFFSET(DATA!$C$14,$AS526,0)=BE$6),$AV526,dNULL)</f>
        <v>-99</v>
      </c>
      <c r="BF526">
        <f ca="1">IF(AND($AT526&lt;3,OFFSET(DATA!$C$14,$AS526,0)=BF$6),$AV526,dNULL)</f>
        <v>-99</v>
      </c>
      <c r="BG526">
        <f ca="1">IF(AND($AT526&lt;3,OFFSET(DATA!$C$14,$AS526,0)=BG$6),$AV526,dNULL)</f>
        <v>-99</v>
      </c>
      <c r="BH526">
        <f ca="1">IF(AND($AT526&lt;3,OFFSET(DATA!$C$14,$AS526,0)=BH$6),$AV526,dNULL)</f>
        <v>-99</v>
      </c>
    </row>
    <row r="527" spans="45:60" x14ac:dyDescent="0.25">
      <c r="AS527">
        <f t="shared" si="120"/>
        <v>71</v>
      </c>
      <c r="AT527">
        <f t="shared" si="121"/>
        <v>5</v>
      </c>
      <c r="AU527">
        <f t="shared" ca="1" si="122"/>
        <v>-99</v>
      </c>
      <c r="AV527">
        <f t="shared" ca="1" si="123"/>
        <v>-99</v>
      </c>
      <c r="AW527">
        <f ca="1">IF(AND($AT527&lt;3,OFFSET(DATA!$C$14,$AS527,0)=AW$6),$AV527,dNULL)</f>
        <v>-99</v>
      </c>
      <c r="AX527">
        <f ca="1">IF(AND($AT527&lt;3,OFFSET(DATA!$C$14,$AS527,0)=AX$6),$AV527,dNULL)</f>
        <v>-99</v>
      </c>
      <c r="AY527">
        <f ca="1">IF(AND($AT527&lt;3,OFFSET(DATA!$C$14,$AS527,0)=AY$6),$AV527,dNULL)</f>
        <v>-99</v>
      </c>
      <c r="AZ527">
        <f ca="1">IF(AND($AT527&lt;3,OFFSET(DATA!$C$14,$AS527,0)=AZ$6),$AV527,dNULL)</f>
        <v>-99</v>
      </c>
      <c r="BA527">
        <f ca="1">IF(AND($AT527&lt;3,OFFSET(DATA!$C$14,$AS527,0)=BA$6),$AV527,dNULL)</f>
        <v>-99</v>
      </c>
      <c r="BB527">
        <f ca="1">IF(AND($AT527&lt;3,OFFSET(DATA!$C$14,$AS527,0)=BB$6),$AV527,dNULL)</f>
        <v>-99</v>
      </c>
      <c r="BC527">
        <f ca="1">IF(AND($AT527&lt;3,OFFSET(DATA!$C$14,$AS527,0)=BC$6),$AV527,dNULL)</f>
        <v>-99</v>
      </c>
      <c r="BD527">
        <f ca="1">IF(AND($AT527&lt;3,OFFSET(DATA!$C$14,$AS527,0)=BD$6),$AV527,dNULL)</f>
        <v>-99</v>
      </c>
      <c r="BE527">
        <f ca="1">IF(AND($AT527&lt;3,OFFSET(DATA!$C$14,$AS527,0)=BE$6),$AV527,dNULL)</f>
        <v>-99</v>
      </c>
      <c r="BF527">
        <f ca="1">IF(AND($AT527&lt;3,OFFSET(DATA!$C$14,$AS527,0)=BF$6),$AV527,dNULL)</f>
        <v>-99</v>
      </c>
      <c r="BG527">
        <f ca="1">IF(AND($AT527&lt;3,OFFSET(DATA!$C$14,$AS527,0)=BG$6),$AV527,dNULL)</f>
        <v>-99</v>
      </c>
      <c r="BH527">
        <f ca="1">IF(AND($AT527&lt;3,OFFSET(DATA!$C$14,$AS527,0)=BH$6),$AV527,dNULL)</f>
        <v>-99</v>
      </c>
    </row>
    <row r="528" spans="45:60" x14ac:dyDescent="0.25">
      <c r="AS528">
        <f t="shared" si="120"/>
        <v>72</v>
      </c>
      <c r="AT528">
        <f t="shared" si="121"/>
        <v>5</v>
      </c>
      <c r="AU528">
        <f t="shared" ca="1" si="122"/>
        <v>-99</v>
      </c>
      <c r="AV528">
        <f t="shared" ca="1" si="123"/>
        <v>-99</v>
      </c>
      <c r="AW528">
        <f ca="1">IF(AND($AT528&lt;3,OFFSET(DATA!$C$14,$AS528,0)=AW$6),$AV528,dNULL)</f>
        <v>-99</v>
      </c>
      <c r="AX528">
        <f ca="1">IF(AND($AT528&lt;3,OFFSET(DATA!$C$14,$AS528,0)=AX$6),$AV528,dNULL)</f>
        <v>-99</v>
      </c>
      <c r="AY528">
        <f ca="1">IF(AND($AT528&lt;3,OFFSET(DATA!$C$14,$AS528,0)=AY$6),$AV528,dNULL)</f>
        <v>-99</v>
      </c>
      <c r="AZ528">
        <f ca="1">IF(AND($AT528&lt;3,OFFSET(DATA!$C$14,$AS528,0)=AZ$6),$AV528,dNULL)</f>
        <v>-99</v>
      </c>
      <c r="BA528">
        <f ca="1">IF(AND($AT528&lt;3,OFFSET(DATA!$C$14,$AS528,0)=BA$6),$AV528,dNULL)</f>
        <v>-99</v>
      </c>
      <c r="BB528">
        <f ca="1">IF(AND($AT528&lt;3,OFFSET(DATA!$C$14,$AS528,0)=BB$6),$AV528,dNULL)</f>
        <v>-99</v>
      </c>
      <c r="BC528">
        <f ca="1">IF(AND($AT528&lt;3,OFFSET(DATA!$C$14,$AS528,0)=BC$6),$AV528,dNULL)</f>
        <v>-99</v>
      </c>
      <c r="BD528">
        <f ca="1">IF(AND($AT528&lt;3,OFFSET(DATA!$C$14,$AS528,0)=BD$6),$AV528,dNULL)</f>
        <v>-99</v>
      </c>
      <c r="BE528">
        <f ca="1">IF(AND($AT528&lt;3,OFFSET(DATA!$C$14,$AS528,0)=BE$6),$AV528,dNULL)</f>
        <v>-99</v>
      </c>
      <c r="BF528">
        <f ca="1">IF(AND($AT528&lt;3,OFFSET(DATA!$C$14,$AS528,0)=BF$6),$AV528,dNULL)</f>
        <v>-99</v>
      </c>
      <c r="BG528">
        <f ca="1">IF(AND($AT528&lt;3,OFFSET(DATA!$C$14,$AS528,0)=BG$6),$AV528,dNULL)</f>
        <v>-99</v>
      </c>
      <c r="BH528">
        <f ca="1">IF(AND($AT528&lt;3,OFFSET(DATA!$C$14,$AS528,0)=BH$6),$AV528,dNULL)</f>
        <v>-99</v>
      </c>
    </row>
    <row r="529" spans="45:60" x14ac:dyDescent="0.25">
      <c r="AS529">
        <f t="shared" si="120"/>
        <v>73</v>
      </c>
      <c r="AT529">
        <f t="shared" si="121"/>
        <v>5</v>
      </c>
      <c r="AU529">
        <f t="shared" ca="1" si="122"/>
        <v>-99</v>
      </c>
      <c r="AV529">
        <f t="shared" ca="1" si="123"/>
        <v>-99</v>
      </c>
      <c r="AW529">
        <f ca="1">IF(AND($AT529&lt;3,OFFSET(DATA!$C$14,$AS529,0)=AW$6),$AV529,dNULL)</f>
        <v>-99</v>
      </c>
      <c r="AX529">
        <f ca="1">IF(AND($AT529&lt;3,OFFSET(DATA!$C$14,$AS529,0)=AX$6),$AV529,dNULL)</f>
        <v>-99</v>
      </c>
      <c r="AY529">
        <f ca="1">IF(AND($AT529&lt;3,OFFSET(DATA!$C$14,$AS529,0)=AY$6),$AV529,dNULL)</f>
        <v>-99</v>
      </c>
      <c r="AZ529">
        <f ca="1">IF(AND($AT529&lt;3,OFFSET(DATA!$C$14,$AS529,0)=AZ$6),$AV529,dNULL)</f>
        <v>-99</v>
      </c>
      <c r="BA529">
        <f ca="1">IF(AND($AT529&lt;3,OFFSET(DATA!$C$14,$AS529,0)=BA$6),$AV529,dNULL)</f>
        <v>-99</v>
      </c>
      <c r="BB529">
        <f ca="1">IF(AND($AT529&lt;3,OFFSET(DATA!$C$14,$AS529,0)=BB$6),$AV529,dNULL)</f>
        <v>-99</v>
      </c>
      <c r="BC529">
        <f ca="1">IF(AND($AT529&lt;3,OFFSET(DATA!$C$14,$AS529,0)=BC$6),$AV529,dNULL)</f>
        <v>-99</v>
      </c>
      <c r="BD529">
        <f ca="1">IF(AND($AT529&lt;3,OFFSET(DATA!$C$14,$AS529,0)=BD$6),$AV529,dNULL)</f>
        <v>-99</v>
      </c>
      <c r="BE529">
        <f ca="1">IF(AND($AT529&lt;3,OFFSET(DATA!$C$14,$AS529,0)=BE$6),$AV529,dNULL)</f>
        <v>-99</v>
      </c>
      <c r="BF529">
        <f ca="1">IF(AND($AT529&lt;3,OFFSET(DATA!$C$14,$AS529,0)=BF$6),$AV529,dNULL)</f>
        <v>-99</v>
      </c>
      <c r="BG529">
        <f ca="1">IF(AND($AT529&lt;3,OFFSET(DATA!$C$14,$AS529,0)=BG$6),$AV529,dNULL)</f>
        <v>-99</v>
      </c>
      <c r="BH529">
        <f ca="1">IF(AND($AT529&lt;3,OFFSET(DATA!$C$14,$AS529,0)=BH$6),$AV529,dNULL)</f>
        <v>-99</v>
      </c>
    </row>
    <row r="530" spans="45:60" x14ac:dyDescent="0.25">
      <c r="AS530">
        <f t="shared" si="120"/>
        <v>74</v>
      </c>
      <c r="AT530">
        <f t="shared" si="121"/>
        <v>5</v>
      </c>
      <c r="AU530">
        <f t="shared" ca="1" si="122"/>
        <v>-99</v>
      </c>
      <c r="AV530">
        <f t="shared" ca="1" si="123"/>
        <v>-99</v>
      </c>
      <c r="AW530">
        <f ca="1">IF(AND($AT530&lt;3,OFFSET(DATA!$C$14,$AS530,0)=AW$6),$AV530,dNULL)</f>
        <v>-99</v>
      </c>
      <c r="AX530">
        <f ca="1">IF(AND($AT530&lt;3,OFFSET(DATA!$C$14,$AS530,0)=AX$6),$AV530,dNULL)</f>
        <v>-99</v>
      </c>
      <c r="AY530">
        <f ca="1">IF(AND($AT530&lt;3,OFFSET(DATA!$C$14,$AS530,0)=AY$6),$AV530,dNULL)</f>
        <v>-99</v>
      </c>
      <c r="AZ530">
        <f ca="1">IF(AND($AT530&lt;3,OFFSET(DATA!$C$14,$AS530,0)=AZ$6),$AV530,dNULL)</f>
        <v>-99</v>
      </c>
      <c r="BA530">
        <f ca="1">IF(AND($AT530&lt;3,OFFSET(DATA!$C$14,$AS530,0)=BA$6),$AV530,dNULL)</f>
        <v>-99</v>
      </c>
      <c r="BB530">
        <f ca="1">IF(AND($AT530&lt;3,OFFSET(DATA!$C$14,$AS530,0)=BB$6),$AV530,dNULL)</f>
        <v>-99</v>
      </c>
      <c r="BC530">
        <f ca="1">IF(AND($AT530&lt;3,OFFSET(DATA!$C$14,$AS530,0)=BC$6),$AV530,dNULL)</f>
        <v>-99</v>
      </c>
      <c r="BD530">
        <f ca="1">IF(AND($AT530&lt;3,OFFSET(DATA!$C$14,$AS530,0)=BD$6),$AV530,dNULL)</f>
        <v>-99</v>
      </c>
      <c r="BE530">
        <f ca="1">IF(AND($AT530&lt;3,OFFSET(DATA!$C$14,$AS530,0)=BE$6),$AV530,dNULL)</f>
        <v>-99</v>
      </c>
      <c r="BF530">
        <f ca="1">IF(AND($AT530&lt;3,OFFSET(DATA!$C$14,$AS530,0)=BF$6),$AV530,dNULL)</f>
        <v>-99</v>
      </c>
      <c r="BG530">
        <f ca="1">IF(AND($AT530&lt;3,OFFSET(DATA!$C$14,$AS530,0)=BG$6),$AV530,dNULL)</f>
        <v>-99</v>
      </c>
      <c r="BH530">
        <f ca="1">IF(AND($AT530&lt;3,OFFSET(DATA!$C$14,$AS530,0)=BH$6),$AV530,dNULL)</f>
        <v>-99</v>
      </c>
    </row>
    <row r="531" spans="45:60" x14ac:dyDescent="0.25">
      <c r="AS531">
        <f t="shared" si="120"/>
        <v>75</v>
      </c>
      <c r="AT531">
        <f t="shared" si="121"/>
        <v>5</v>
      </c>
      <c r="AU531">
        <f t="shared" ca="1" si="122"/>
        <v>-99</v>
      </c>
      <c r="AV531">
        <f t="shared" ca="1" si="123"/>
        <v>-99</v>
      </c>
      <c r="AW531">
        <f ca="1">IF(AND($AT531&lt;3,OFFSET(DATA!$C$14,$AS531,0)=AW$6),$AV531,dNULL)</f>
        <v>-99</v>
      </c>
      <c r="AX531">
        <f ca="1">IF(AND($AT531&lt;3,OFFSET(DATA!$C$14,$AS531,0)=AX$6),$AV531,dNULL)</f>
        <v>-99</v>
      </c>
      <c r="AY531">
        <f ca="1">IF(AND($AT531&lt;3,OFFSET(DATA!$C$14,$AS531,0)=AY$6),$AV531,dNULL)</f>
        <v>-99</v>
      </c>
      <c r="AZ531">
        <f ca="1">IF(AND($AT531&lt;3,OFFSET(DATA!$C$14,$AS531,0)=AZ$6),$AV531,dNULL)</f>
        <v>-99</v>
      </c>
      <c r="BA531">
        <f ca="1">IF(AND($AT531&lt;3,OFFSET(DATA!$C$14,$AS531,0)=BA$6),$AV531,dNULL)</f>
        <v>-99</v>
      </c>
      <c r="BB531">
        <f ca="1">IF(AND($AT531&lt;3,OFFSET(DATA!$C$14,$AS531,0)=BB$6),$AV531,dNULL)</f>
        <v>-99</v>
      </c>
      <c r="BC531">
        <f ca="1">IF(AND($AT531&lt;3,OFFSET(DATA!$C$14,$AS531,0)=BC$6),$AV531,dNULL)</f>
        <v>-99</v>
      </c>
      <c r="BD531">
        <f ca="1">IF(AND($AT531&lt;3,OFFSET(DATA!$C$14,$AS531,0)=BD$6),$AV531,dNULL)</f>
        <v>-99</v>
      </c>
      <c r="BE531">
        <f ca="1">IF(AND($AT531&lt;3,OFFSET(DATA!$C$14,$AS531,0)=BE$6),$AV531,dNULL)</f>
        <v>-99</v>
      </c>
      <c r="BF531">
        <f ca="1">IF(AND($AT531&lt;3,OFFSET(DATA!$C$14,$AS531,0)=BF$6),$AV531,dNULL)</f>
        <v>-99</v>
      </c>
      <c r="BG531">
        <f ca="1">IF(AND($AT531&lt;3,OFFSET(DATA!$C$14,$AS531,0)=BG$6),$AV531,dNULL)</f>
        <v>-99</v>
      </c>
      <c r="BH531">
        <f ca="1">IF(AND($AT531&lt;3,OFFSET(DATA!$C$14,$AS531,0)=BH$6),$AV531,dNULL)</f>
        <v>-99</v>
      </c>
    </row>
    <row r="532" spans="45:60" x14ac:dyDescent="0.25">
      <c r="AS532">
        <f t="shared" si="120"/>
        <v>76</v>
      </c>
      <c r="AT532">
        <f t="shared" si="121"/>
        <v>5</v>
      </c>
      <c r="AU532">
        <f t="shared" ca="1" si="122"/>
        <v>-99</v>
      </c>
      <c r="AV532">
        <f t="shared" ca="1" si="123"/>
        <v>-99</v>
      </c>
      <c r="AW532">
        <f ca="1">IF(AND($AT532&lt;3,OFFSET(DATA!$C$14,$AS532,0)=AW$6),$AV532,dNULL)</f>
        <v>-99</v>
      </c>
      <c r="AX532">
        <f ca="1">IF(AND($AT532&lt;3,OFFSET(DATA!$C$14,$AS532,0)=AX$6),$AV532,dNULL)</f>
        <v>-99</v>
      </c>
      <c r="AY532">
        <f ca="1">IF(AND($AT532&lt;3,OFFSET(DATA!$C$14,$AS532,0)=AY$6),$AV532,dNULL)</f>
        <v>-99</v>
      </c>
      <c r="AZ532">
        <f ca="1">IF(AND($AT532&lt;3,OFFSET(DATA!$C$14,$AS532,0)=AZ$6),$AV532,dNULL)</f>
        <v>-99</v>
      </c>
      <c r="BA532">
        <f ca="1">IF(AND($AT532&lt;3,OFFSET(DATA!$C$14,$AS532,0)=BA$6),$AV532,dNULL)</f>
        <v>-99</v>
      </c>
      <c r="BB532">
        <f ca="1">IF(AND($AT532&lt;3,OFFSET(DATA!$C$14,$AS532,0)=BB$6),$AV532,dNULL)</f>
        <v>-99</v>
      </c>
      <c r="BC532">
        <f ca="1">IF(AND($AT532&lt;3,OFFSET(DATA!$C$14,$AS532,0)=BC$6),$AV532,dNULL)</f>
        <v>-99</v>
      </c>
      <c r="BD532">
        <f ca="1">IF(AND($AT532&lt;3,OFFSET(DATA!$C$14,$AS532,0)=BD$6),$AV532,dNULL)</f>
        <v>-99</v>
      </c>
      <c r="BE532">
        <f ca="1">IF(AND($AT532&lt;3,OFFSET(DATA!$C$14,$AS532,0)=BE$6),$AV532,dNULL)</f>
        <v>-99</v>
      </c>
      <c r="BF532">
        <f ca="1">IF(AND($AT532&lt;3,OFFSET(DATA!$C$14,$AS532,0)=BF$6),$AV532,dNULL)</f>
        <v>-99</v>
      </c>
      <c r="BG532">
        <f ca="1">IF(AND($AT532&lt;3,OFFSET(DATA!$C$14,$AS532,0)=BG$6),$AV532,dNULL)</f>
        <v>-99</v>
      </c>
      <c r="BH532">
        <f ca="1">IF(AND($AT532&lt;3,OFFSET(DATA!$C$14,$AS532,0)=BH$6),$AV532,dNULL)</f>
        <v>-99</v>
      </c>
    </row>
    <row r="533" spans="45:60" x14ac:dyDescent="0.25">
      <c r="AS533">
        <f t="shared" si="120"/>
        <v>77</v>
      </c>
      <c r="AT533">
        <f t="shared" si="121"/>
        <v>5</v>
      </c>
      <c r="AU533">
        <f t="shared" ca="1" si="122"/>
        <v>-99</v>
      </c>
      <c r="AV533">
        <f t="shared" ca="1" si="123"/>
        <v>-99</v>
      </c>
      <c r="AW533">
        <f ca="1">IF(AND($AT533&lt;3,OFFSET(DATA!$C$14,$AS533,0)=AW$6),$AV533,dNULL)</f>
        <v>-99</v>
      </c>
      <c r="AX533">
        <f ca="1">IF(AND($AT533&lt;3,OFFSET(DATA!$C$14,$AS533,0)=AX$6),$AV533,dNULL)</f>
        <v>-99</v>
      </c>
      <c r="AY533">
        <f ca="1">IF(AND($AT533&lt;3,OFFSET(DATA!$C$14,$AS533,0)=AY$6),$AV533,dNULL)</f>
        <v>-99</v>
      </c>
      <c r="AZ533">
        <f ca="1">IF(AND($AT533&lt;3,OFFSET(DATA!$C$14,$AS533,0)=AZ$6),$AV533,dNULL)</f>
        <v>-99</v>
      </c>
      <c r="BA533">
        <f ca="1">IF(AND($AT533&lt;3,OFFSET(DATA!$C$14,$AS533,0)=BA$6),$AV533,dNULL)</f>
        <v>-99</v>
      </c>
      <c r="BB533">
        <f ca="1">IF(AND($AT533&lt;3,OFFSET(DATA!$C$14,$AS533,0)=BB$6),$AV533,dNULL)</f>
        <v>-99</v>
      </c>
      <c r="BC533">
        <f ca="1">IF(AND($AT533&lt;3,OFFSET(DATA!$C$14,$AS533,0)=BC$6),$AV533,dNULL)</f>
        <v>-99</v>
      </c>
      <c r="BD533">
        <f ca="1">IF(AND($AT533&lt;3,OFFSET(DATA!$C$14,$AS533,0)=BD$6),$AV533,dNULL)</f>
        <v>-99</v>
      </c>
      <c r="BE533">
        <f ca="1">IF(AND($AT533&lt;3,OFFSET(DATA!$C$14,$AS533,0)=BE$6),$AV533,dNULL)</f>
        <v>-99</v>
      </c>
      <c r="BF533">
        <f ca="1">IF(AND($AT533&lt;3,OFFSET(DATA!$C$14,$AS533,0)=BF$6),$AV533,dNULL)</f>
        <v>-99</v>
      </c>
      <c r="BG533">
        <f ca="1">IF(AND($AT533&lt;3,OFFSET(DATA!$C$14,$AS533,0)=BG$6),$AV533,dNULL)</f>
        <v>-99</v>
      </c>
      <c r="BH533">
        <f ca="1">IF(AND($AT533&lt;3,OFFSET(DATA!$C$14,$AS533,0)=BH$6),$AV533,dNULL)</f>
        <v>-99</v>
      </c>
    </row>
    <row r="534" spans="45:60" x14ac:dyDescent="0.25">
      <c r="AS534">
        <f t="shared" si="120"/>
        <v>78</v>
      </c>
      <c r="AT534">
        <f t="shared" si="121"/>
        <v>5</v>
      </c>
      <c r="AU534">
        <f t="shared" ca="1" si="122"/>
        <v>-99</v>
      </c>
      <c r="AV534">
        <f t="shared" ca="1" si="123"/>
        <v>-99</v>
      </c>
      <c r="AW534">
        <f ca="1">IF(AND($AT534&lt;3,OFFSET(DATA!$C$14,$AS534,0)=AW$6),$AV534,dNULL)</f>
        <v>-99</v>
      </c>
      <c r="AX534">
        <f ca="1">IF(AND($AT534&lt;3,OFFSET(DATA!$C$14,$AS534,0)=AX$6),$AV534,dNULL)</f>
        <v>-99</v>
      </c>
      <c r="AY534">
        <f ca="1">IF(AND($AT534&lt;3,OFFSET(DATA!$C$14,$AS534,0)=AY$6),$AV534,dNULL)</f>
        <v>-99</v>
      </c>
      <c r="AZ534">
        <f ca="1">IF(AND($AT534&lt;3,OFFSET(DATA!$C$14,$AS534,0)=AZ$6),$AV534,dNULL)</f>
        <v>-99</v>
      </c>
      <c r="BA534">
        <f ca="1">IF(AND($AT534&lt;3,OFFSET(DATA!$C$14,$AS534,0)=BA$6),$AV534,dNULL)</f>
        <v>-99</v>
      </c>
      <c r="BB534">
        <f ca="1">IF(AND($AT534&lt;3,OFFSET(DATA!$C$14,$AS534,0)=BB$6),$AV534,dNULL)</f>
        <v>-99</v>
      </c>
      <c r="BC534">
        <f ca="1">IF(AND($AT534&lt;3,OFFSET(DATA!$C$14,$AS534,0)=BC$6),$AV534,dNULL)</f>
        <v>-99</v>
      </c>
      <c r="BD534">
        <f ca="1">IF(AND($AT534&lt;3,OFFSET(DATA!$C$14,$AS534,0)=BD$6),$AV534,dNULL)</f>
        <v>-99</v>
      </c>
      <c r="BE534">
        <f ca="1">IF(AND($AT534&lt;3,OFFSET(DATA!$C$14,$AS534,0)=BE$6),$AV534,dNULL)</f>
        <v>-99</v>
      </c>
      <c r="BF534">
        <f ca="1">IF(AND($AT534&lt;3,OFFSET(DATA!$C$14,$AS534,0)=BF$6),$AV534,dNULL)</f>
        <v>-99</v>
      </c>
      <c r="BG534">
        <f ca="1">IF(AND($AT534&lt;3,OFFSET(DATA!$C$14,$AS534,0)=BG$6),$AV534,dNULL)</f>
        <v>-99</v>
      </c>
      <c r="BH534">
        <f ca="1">IF(AND($AT534&lt;3,OFFSET(DATA!$C$14,$AS534,0)=BH$6),$AV534,dNULL)</f>
        <v>-99</v>
      </c>
    </row>
    <row r="535" spans="45:60" x14ac:dyDescent="0.25">
      <c r="AS535">
        <f t="shared" si="120"/>
        <v>79</v>
      </c>
      <c r="AT535">
        <f t="shared" si="121"/>
        <v>5</v>
      </c>
      <c r="AU535">
        <f t="shared" ca="1" si="122"/>
        <v>-99</v>
      </c>
      <c r="AV535">
        <f t="shared" ca="1" si="123"/>
        <v>-99</v>
      </c>
      <c r="AW535">
        <f ca="1">IF(AND($AT535&lt;3,OFFSET(DATA!$C$14,$AS535,0)=AW$6),$AV535,dNULL)</f>
        <v>-99</v>
      </c>
      <c r="AX535">
        <f ca="1">IF(AND($AT535&lt;3,OFFSET(DATA!$C$14,$AS535,0)=AX$6),$AV535,dNULL)</f>
        <v>-99</v>
      </c>
      <c r="AY535">
        <f ca="1">IF(AND($AT535&lt;3,OFFSET(DATA!$C$14,$AS535,0)=AY$6),$AV535,dNULL)</f>
        <v>-99</v>
      </c>
      <c r="AZ535">
        <f ca="1">IF(AND($AT535&lt;3,OFFSET(DATA!$C$14,$AS535,0)=AZ$6),$AV535,dNULL)</f>
        <v>-99</v>
      </c>
      <c r="BA535">
        <f ca="1">IF(AND($AT535&lt;3,OFFSET(DATA!$C$14,$AS535,0)=BA$6),$AV535,dNULL)</f>
        <v>-99</v>
      </c>
      <c r="BB535">
        <f ca="1">IF(AND($AT535&lt;3,OFFSET(DATA!$C$14,$AS535,0)=BB$6),$AV535,dNULL)</f>
        <v>-99</v>
      </c>
      <c r="BC535">
        <f ca="1">IF(AND($AT535&lt;3,OFFSET(DATA!$C$14,$AS535,0)=BC$6),$AV535,dNULL)</f>
        <v>-99</v>
      </c>
      <c r="BD535">
        <f ca="1">IF(AND($AT535&lt;3,OFFSET(DATA!$C$14,$AS535,0)=BD$6),$AV535,dNULL)</f>
        <v>-99</v>
      </c>
      <c r="BE535">
        <f ca="1">IF(AND($AT535&lt;3,OFFSET(DATA!$C$14,$AS535,0)=BE$6),$AV535,dNULL)</f>
        <v>-99</v>
      </c>
      <c r="BF535">
        <f ca="1">IF(AND($AT535&lt;3,OFFSET(DATA!$C$14,$AS535,0)=BF$6),$AV535,dNULL)</f>
        <v>-99</v>
      </c>
      <c r="BG535">
        <f ca="1">IF(AND($AT535&lt;3,OFFSET(DATA!$C$14,$AS535,0)=BG$6),$AV535,dNULL)</f>
        <v>-99</v>
      </c>
      <c r="BH535">
        <f ca="1">IF(AND($AT535&lt;3,OFFSET(DATA!$C$14,$AS535,0)=BH$6),$AV535,dNULL)</f>
        <v>-99</v>
      </c>
    </row>
    <row r="536" spans="45:60" x14ac:dyDescent="0.25">
      <c r="AS536">
        <f t="shared" si="120"/>
        <v>80</v>
      </c>
      <c r="AT536">
        <f t="shared" si="121"/>
        <v>5</v>
      </c>
      <c r="AU536">
        <f t="shared" ca="1" si="122"/>
        <v>-99</v>
      </c>
      <c r="AV536">
        <f t="shared" ca="1" si="123"/>
        <v>-99</v>
      </c>
      <c r="AW536">
        <f ca="1">IF(AND($AT536&lt;3,OFFSET(DATA!$C$14,$AS536,0)=AW$6),$AV536,dNULL)</f>
        <v>-99</v>
      </c>
      <c r="AX536">
        <f ca="1">IF(AND($AT536&lt;3,OFFSET(DATA!$C$14,$AS536,0)=AX$6),$AV536,dNULL)</f>
        <v>-99</v>
      </c>
      <c r="AY536">
        <f ca="1">IF(AND($AT536&lt;3,OFFSET(DATA!$C$14,$AS536,0)=AY$6),$AV536,dNULL)</f>
        <v>-99</v>
      </c>
      <c r="AZ536">
        <f ca="1">IF(AND($AT536&lt;3,OFFSET(DATA!$C$14,$AS536,0)=AZ$6),$AV536,dNULL)</f>
        <v>-99</v>
      </c>
      <c r="BA536">
        <f ca="1">IF(AND($AT536&lt;3,OFFSET(DATA!$C$14,$AS536,0)=BA$6),$AV536,dNULL)</f>
        <v>-99</v>
      </c>
      <c r="BB536">
        <f ca="1">IF(AND($AT536&lt;3,OFFSET(DATA!$C$14,$AS536,0)=BB$6),$AV536,dNULL)</f>
        <v>-99</v>
      </c>
      <c r="BC536">
        <f ca="1">IF(AND($AT536&lt;3,OFFSET(DATA!$C$14,$AS536,0)=BC$6),$AV536,dNULL)</f>
        <v>-99</v>
      </c>
      <c r="BD536">
        <f ca="1">IF(AND($AT536&lt;3,OFFSET(DATA!$C$14,$AS536,0)=BD$6),$AV536,dNULL)</f>
        <v>-99</v>
      </c>
      <c r="BE536">
        <f ca="1">IF(AND($AT536&lt;3,OFFSET(DATA!$C$14,$AS536,0)=BE$6),$AV536,dNULL)</f>
        <v>-99</v>
      </c>
      <c r="BF536">
        <f ca="1">IF(AND($AT536&lt;3,OFFSET(DATA!$C$14,$AS536,0)=BF$6),$AV536,dNULL)</f>
        <v>-99</v>
      </c>
      <c r="BG536">
        <f ca="1">IF(AND($AT536&lt;3,OFFSET(DATA!$C$14,$AS536,0)=BG$6),$AV536,dNULL)</f>
        <v>-99</v>
      </c>
      <c r="BH536">
        <f ca="1">IF(AND($AT536&lt;3,OFFSET(DATA!$C$14,$AS536,0)=BH$6),$AV536,dNULL)</f>
        <v>-99</v>
      </c>
    </row>
    <row r="537" spans="45:60" x14ac:dyDescent="0.25">
      <c r="AS537">
        <f t="shared" si="120"/>
        <v>81</v>
      </c>
      <c r="AT537">
        <f t="shared" si="121"/>
        <v>5</v>
      </c>
      <c r="AU537">
        <f t="shared" ca="1" si="122"/>
        <v>-99</v>
      </c>
      <c r="AV537">
        <f t="shared" ca="1" si="123"/>
        <v>-99</v>
      </c>
      <c r="AW537">
        <f ca="1">IF(AND($AT537&lt;3,OFFSET(DATA!$C$14,$AS537,0)=AW$6),$AV537,dNULL)</f>
        <v>-99</v>
      </c>
      <c r="AX537">
        <f ca="1">IF(AND($AT537&lt;3,OFFSET(DATA!$C$14,$AS537,0)=AX$6),$AV537,dNULL)</f>
        <v>-99</v>
      </c>
      <c r="AY537">
        <f ca="1">IF(AND($AT537&lt;3,OFFSET(DATA!$C$14,$AS537,0)=AY$6),$AV537,dNULL)</f>
        <v>-99</v>
      </c>
      <c r="AZ537">
        <f ca="1">IF(AND($AT537&lt;3,OFFSET(DATA!$C$14,$AS537,0)=AZ$6),$AV537,dNULL)</f>
        <v>-99</v>
      </c>
      <c r="BA537">
        <f ca="1">IF(AND($AT537&lt;3,OFFSET(DATA!$C$14,$AS537,0)=BA$6),$AV537,dNULL)</f>
        <v>-99</v>
      </c>
      <c r="BB537">
        <f ca="1">IF(AND($AT537&lt;3,OFFSET(DATA!$C$14,$AS537,0)=BB$6),$AV537,dNULL)</f>
        <v>-99</v>
      </c>
      <c r="BC537">
        <f ca="1">IF(AND($AT537&lt;3,OFFSET(DATA!$C$14,$AS537,0)=BC$6),$AV537,dNULL)</f>
        <v>-99</v>
      </c>
      <c r="BD537">
        <f ca="1">IF(AND($AT537&lt;3,OFFSET(DATA!$C$14,$AS537,0)=BD$6),$AV537,dNULL)</f>
        <v>-99</v>
      </c>
      <c r="BE537">
        <f ca="1">IF(AND($AT537&lt;3,OFFSET(DATA!$C$14,$AS537,0)=BE$6),$AV537,dNULL)</f>
        <v>-99</v>
      </c>
      <c r="BF537">
        <f ca="1">IF(AND($AT537&lt;3,OFFSET(DATA!$C$14,$AS537,0)=BF$6),$AV537,dNULL)</f>
        <v>-99</v>
      </c>
      <c r="BG537">
        <f ca="1">IF(AND($AT537&lt;3,OFFSET(DATA!$C$14,$AS537,0)=BG$6),$AV537,dNULL)</f>
        <v>-99</v>
      </c>
      <c r="BH537">
        <f ca="1">IF(AND($AT537&lt;3,OFFSET(DATA!$C$14,$AS537,0)=BH$6),$AV537,dNULL)</f>
        <v>-99</v>
      </c>
    </row>
    <row r="538" spans="45:60" x14ac:dyDescent="0.25">
      <c r="AS538">
        <f t="shared" si="120"/>
        <v>82</v>
      </c>
      <c r="AT538">
        <f t="shared" si="121"/>
        <v>5</v>
      </c>
      <c r="AU538">
        <f t="shared" ca="1" si="122"/>
        <v>-99</v>
      </c>
      <c r="AV538">
        <f t="shared" ca="1" si="123"/>
        <v>-99</v>
      </c>
      <c r="AW538">
        <f ca="1">IF(AND($AT538&lt;3,OFFSET(DATA!$C$14,$AS538,0)=AW$6),$AV538,dNULL)</f>
        <v>-99</v>
      </c>
      <c r="AX538">
        <f ca="1">IF(AND($AT538&lt;3,OFFSET(DATA!$C$14,$AS538,0)=AX$6),$AV538,dNULL)</f>
        <v>-99</v>
      </c>
      <c r="AY538">
        <f ca="1">IF(AND($AT538&lt;3,OFFSET(DATA!$C$14,$AS538,0)=AY$6),$AV538,dNULL)</f>
        <v>-99</v>
      </c>
      <c r="AZ538">
        <f ca="1">IF(AND($AT538&lt;3,OFFSET(DATA!$C$14,$AS538,0)=AZ$6),$AV538,dNULL)</f>
        <v>-99</v>
      </c>
      <c r="BA538">
        <f ca="1">IF(AND($AT538&lt;3,OFFSET(DATA!$C$14,$AS538,0)=BA$6),$AV538,dNULL)</f>
        <v>-99</v>
      </c>
      <c r="BB538">
        <f ca="1">IF(AND($AT538&lt;3,OFFSET(DATA!$C$14,$AS538,0)=BB$6),$AV538,dNULL)</f>
        <v>-99</v>
      </c>
      <c r="BC538">
        <f ca="1">IF(AND($AT538&lt;3,OFFSET(DATA!$C$14,$AS538,0)=BC$6),$AV538,dNULL)</f>
        <v>-99</v>
      </c>
      <c r="BD538">
        <f ca="1">IF(AND($AT538&lt;3,OFFSET(DATA!$C$14,$AS538,0)=BD$6),$AV538,dNULL)</f>
        <v>-99</v>
      </c>
      <c r="BE538">
        <f ca="1">IF(AND($AT538&lt;3,OFFSET(DATA!$C$14,$AS538,0)=BE$6),$AV538,dNULL)</f>
        <v>-99</v>
      </c>
      <c r="BF538">
        <f ca="1">IF(AND($AT538&lt;3,OFFSET(DATA!$C$14,$AS538,0)=BF$6),$AV538,dNULL)</f>
        <v>-99</v>
      </c>
      <c r="BG538">
        <f ca="1">IF(AND($AT538&lt;3,OFFSET(DATA!$C$14,$AS538,0)=BG$6),$AV538,dNULL)</f>
        <v>-99</v>
      </c>
      <c r="BH538">
        <f ca="1">IF(AND($AT538&lt;3,OFFSET(DATA!$C$14,$AS538,0)=BH$6),$AV538,dNULL)</f>
        <v>-99</v>
      </c>
    </row>
    <row r="539" spans="45:60" x14ac:dyDescent="0.25">
      <c r="AS539">
        <f t="shared" si="120"/>
        <v>83</v>
      </c>
      <c r="AT539">
        <f t="shared" si="121"/>
        <v>5</v>
      </c>
      <c r="AU539">
        <f t="shared" ca="1" si="122"/>
        <v>-99</v>
      </c>
      <c r="AV539">
        <f t="shared" ca="1" si="123"/>
        <v>-99</v>
      </c>
      <c r="AW539">
        <f ca="1">IF(AND($AT539&lt;3,OFFSET(DATA!$C$14,$AS539,0)=AW$6),$AV539,dNULL)</f>
        <v>-99</v>
      </c>
      <c r="AX539">
        <f ca="1">IF(AND($AT539&lt;3,OFFSET(DATA!$C$14,$AS539,0)=AX$6),$AV539,dNULL)</f>
        <v>-99</v>
      </c>
      <c r="AY539">
        <f ca="1">IF(AND($AT539&lt;3,OFFSET(DATA!$C$14,$AS539,0)=AY$6),$AV539,dNULL)</f>
        <v>-99</v>
      </c>
      <c r="AZ539">
        <f ca="1">IF(AND($AT539&lt;3,OFFSET(DATA!$C$14,$AS539,0)=AZ$6),$AV539,dNULL)</f>
        <v>-99</v>
      </c>
      <c r="BA539">
        <f ca="1">IF(AND($AT539&lt;3,OFFSET(DATA!$C$14,$AS539,0)=BA$6),$AV539,dNULL)</f>
        <v>-99</v>
      </c>
      <c r="BB539">
        <f ca="1">IF(AND($AT539&lt;3,OFFSET(DATA!$C$14,$AS539,0)=BB$6),$AV539,dNULL)</f>
        <v>-99</v>
      </c>
      <c r="BC539">
        <f ca="1">IF(AND($AT539&lt;3,OFFSET(DATA!$C$14,$AS539,0)=BC$6),$AV539,dNULL)</f>
        <v>-99</v>
      </c>
      <c r="BD539">
        <f ca="1">IF(AND($AT539&lt;3,OFFSET(DATA!$C$14,$AS539,0)=BD$6),$AV539,dNULL)</f>
        <v>-99</v>
      </c>
      <c r="BE539">
        <f ca="1">IF(AND($AT539&lt;3,OFFSET(DATA!$C$14,$AS539,0)=BE$6),$AV539,dNULL)</f>
        <v>-99</v>
      </c>
      <c r="BF539">
        <f ca="1">IF(AND($AT539&lt;3,OFFSET(DATA!$C$14,$AS539,0)=BF$6),$AV539,dNULL)</f>
        <v>-99</v>
      </c>
      <c r="BG539">
        <f ca="1">IF(AND($AT539&lt;3,OFFSET(DATA!$C$14,$AS539,0)=BG$6),$AV539,dNULL)</f>
        <v>-99</v>
      </c>
      <c r="BH539">
        <f ca="1">IF(AND($AT539&lt;3,OFFSET(DATA!$C$14,$AS539,0)=BH$6),$AV539,dNULL)</f>
        <v>-99</v>
      </c>
    </row>
    <row r="540" spans="45:60" x14ac:dyDescent="0.25">
      <c r="AS540">
        <f t="shared" si="120"/>
        <v>84</v>
      </c>
      <c r="AT540">
        <f t="shared" si="121"/>
        <v>5</v>
      </c>
      <c r="AU540">
        <f t="shared" ca="1" si="122"/>
        <v>-99</v>
      </c>
      <c r="AV540">
        <f t="shared" ca="1" si="123"/>
        <v>-99</v>
      </c>
      <c r="AW540">
        <f ca="1">IF(AND($AT540&lt;3,OFFSET(DATA!$C$14,$AS540,0)=AW$6),$AV540,dNULL)</f>
        <v>-99</v>
      </c>
      <c r="AX540">
        <f ca="1">IF(AND($AT540&lt;3,OFFSET(DATA!$C$14,$AS540,0)=AX$6),$AV540,dNULL)</f>
        <v>-99</v>
      </c>
      <c r="AY540">
        <f ca="1">IF(AND($AT540&lt;3,OFFSET(DATA!$C$14,$AS540,0)=AY$6),$AV540,dNULL)</f>
        <v>-99</v>
      </c>
      <c r="AZ540">
        <f ca="1">IF(AND($AT540&lt;3,OFFSET(DATA!$C$14,$AS540,0)=AZ$6),$AV540,dNULL)</f>
        <v>-99</v>
      </c>
      <c r="BA540">
        <f ca="1">IF(AND($AT540&lt;3,OFFSET(DATA!$C$14,$AS540,0)=BA$6),$AV540,dNULL)</f>
        <v>-99</v>
      </c>
      <c r="BB540">
        <f ca="1">IF(AND($AT540&lt;3,OFFSET(DATA!$C$14,$AS540,0)=BB$6),$AV540,dNULL)</f>
        <v>-99</v>
      </c>
      <c r="BC540">
        <f ca="1">IF(AND($AT540&lt;3,OFFSET(DATA!$C$14,$AS540,0)=BC$6),$AV540,dNULL)</f>
        <v>-99</v>
      </c>
      <c r="BD540">
        <f ca="1">IF(AND($AT540&lt;3,OFFSET(DATA!$C$14,$AS540,0)=BD$6),$AV540,dNULL)</f>
        <v>-99</v>
      </c>
      <c r="BE540">
        <f ca="1">IF(AND($AT540&lt;3,OFFSET(DATA!$C$14,$AS540,0)=BE$6),$AV540,dNULL)</f>
        <v>-99</v>
      </c>
      <c r="BF540">
        <f ca="1">IF(AND($AT540&lt;3,OFFSET(DATA!$C$14,$AS540,0)=BF$6),$AV540,dNULL)</f>
        <v>-99</v>
      </c>
      <c r="BG540">
        <f ca="1">IF(AND($AT540&lt;3,OFFSET(DATA!$C$14,$AS540,0)=BG$6),$AV540,dNULL)</f>
        <v>-99</v>
      </c>
      <c r="BH540">
        <f ca="1">IF(AND($AT540&lt;3,OFFSET(DATA!$C$14,$AS540,0)=BH$6),$AV540,dNULL)</f>
        <v>-99</v>
      </c>
    </row>
    <row r="541" spans="45:60" x14ac:dyDescent="0.25">
      <c r="AS541">
        <f t="shared" si="120"/>
        <v>85</v>
      </c>
      <c r="AT541">
        <f t="shared" si="121"/>
        <v>5</v>
      </c>
      <c r="AU541">
        <f t="shared" ca="1" si="122"/>
        <v>-99</v>
      </c>
      <c r="AV541">
        <f t="shared" ca="1" si="123"/>
        <v>-99</v>
      </c>
      <c r="AW541">
        <f ca="1">IF(AND($AT541&lt;3,OFFSET(DATA!$C$14,$AS541,0)=AW$6),$AV541,dNULL)</f>
        <v>-99</v>
      </c>
      <c r="AX541">
        <f ca="1">IF(AND($AT541&lt;3,OFFSET(DATA!$C$14,$AS541,0)=AX$6),$AV541,dNULL)</f>
        <v>-99</v>
      </c>
      <c r="AY541">
        <f ca="1">IF(AND($AT541&lt;3,OFFSET(DATA!$C$14,$AS541,0)=AY$6),$AV541,dNULL)</f>
        <v>-99</v>
      </c>
      <c r="AZ541">
        <f ca="1">IF(AND($AT541&lt;3,OFFSET(DATA!$C$14,$AS541,0)=AZ$6),$AV541,dNULL)</f>
        <v>-99</v>
      </c>
      <c r="BA541">
        <f ca="1">IF(AND($AT541&lt;3,OFFSET(DATA!$C$14,$AS541,0)=BA$6),$AV541,dNULL)</f>
        <v>-99</v>
      </c>
      <c r="BB541">
        <f ca="1">IF(AND($AT541&lt;3,OFFSET(DATA!$C$14,$AS541,0)=BB$6),$AV541,dNULL)</f>
        <v>-99</v>
      </c>
      <c r="BC541">
        <f ca="1">IF(AND($AT541&lt;3,OFFSET(DATA!$C$14,$AS541,0)=BC$6),$AV541,dNULL)</f>
        <v>-99</v>
      </c>
      <c r="BD541">
        <f ca="1">IF(AND($AT541&lt;3,OFFSET(DATA!$C$14,$AS541,0)=BD$6),$AV541,dNULL)</f>
        <v>-99</v>
      </c>
      <c r="BE541">
        <f ca="1">IF(AND($AT541&lt;3,OFFSET(DATA!$C$14,$AS541,0)=BE$6),$AV541,dNULL)</f>
        <v>-99</v>
      </c>
      <c r="BF541">
        <f ca="1">IF(AND($AT541&lt;3,OFFSET(DATA!$C$14,$AS541,0)=BF$6),$AV541,dNULL)</f>
        <v>-99</v>
      </c>
      <c r="BG541">
        <f ca="1">IF(AND($AT541&lt;3,OFFSET(DATA!$C$14,$AS541,0)=BG$6),$AV541,dNULL)</f>
        <v>-99</v>
      </c>
      <c r="BH541">
        <f ca="1">IF(AND($AT541&lt;3,OFFSET(DATA!$C$14,$AS541,0)=BH$6),$AV541,dNULL)</f>
        <v>-99</v>
      </c>
    </row>
    <row r="542" spans="45:60" x14ac:dyDescent="0.25">
      <c r="AS542">
        <f t="shared" si="120"/>
        <v>86</v>
      </c>
      <c r="AT542">
        <f t="shared" si="121"/>
        <v>5</v>
      </c>
      <c r="AU542">
        <f t="shared" ca="1" si="122"/>
        <v>-99</v>
      </c>
      <c r="AV542">
        <f t="shared" ca="1" si="123"/>
        <v>-99</v>
      </c>
      <c r="AW542">
        <f ca="1">IF(AND($AT542&lt;3,OFFSET(DATA!$C$14,$AS542,0)=AW$6),$AV542,dNULL)</f>
        <v>-99</v>
      </c>
      <c r="AX542">
        <f ca="1">IF(AND($AT542&lt;3,OFFSET(DATA!$C$14,$AS542,0)=AX$6),$AV542,dNULL)</f>
        <v>-99</v>
      </c>
      <c r="AY542">
        <f ca="1">IF(AND($AT542&lt;3,OFFSET(DATA!$C$14,$AS542,0)=AY$6),$AV542,dNULL)</f>
        <v>-99</v>
      </c>
      <c r="AZ542">
        <f ca="1">IF(AND($AT542&lt;3,OFFSET(DATA!$C$14,$AS542,0)=AZ$6),$AV542,dNULL)</f>
        <v>-99</v>
      </c>
      <c r="BA542">
        <f ca="1">IF(AND($AT542&lt;3,OFFSET(DATA!$C$14,$AS542,0)=BA$6),$AV542,dNULL)</f>
        <v>-99</v>
      </c>
      <c r="BB542">
        <f ca="1">IF(AND($AT542&lt;3,OFFSET(DATA!$C$14,$AS542,0)=BB$6),$AV542,dNULL)</f>
        <v>-99</v>
      </c>
      <c r="BC542">
        <f ca="1">IF(AND($AT542&lt;3,OFFSET(DATA!$C$14,$AS542,0)=BC$6),$AV542,dNULL)</f>
        <v>-99</v>
      </c>
      <c r="BD542">
        <f ca="1">IF(AND($AT542&lt;3,OFFSET(DATA!$C$14,$AS542,0)=BD$6),$AV542,dNULL)</f>
        <v>-99</v>
      </c>
      <c r="BE542">
        <f ca="1">IF(AND($AT542&lt;3,OFFSET(DATA!$C$14,$AS542,0)=BE$6),$AV542,dNULL)</f>
        <v>-99</v>
      </c>
      <c r="BF542">
        <f ca="1">IF(AND($AT542&lt;3,OFFSET(DATA!$C$14,$AS542,0)=BF$6),$AV542,dNULL)</f>
        <v>-99</v>
      </c>
      <c r="BG542">
        <f ca="1">IF(AND($AT542&lt;3,OFFSET(DATA!$C$14,$AS542,0)=BG$6),$AV542,dNULL)</f>
        <v>-99</v>
      </c>
      <c r="BH542">
        <f ca="1">IF(AND($AT542&lt;3,OFFSET(DATA!$C$14,$AS542,0)=BH$6),$AV542,dNULL)</f>
        <v>-99</v>
      </c>
    </row>
    <row r="543" spans="45:60" x14ac:dyDescent="0.25">
      <c r="AS543">
        <f t="shared" si="120"/>
        <v>87</v>
      </c>
      <c r="AT543">
        <f t="shared" si="121"/>
        <v>5</v>
      </c>
      <c r="AU543">
        <f t="shared" ca="1" si="122"/>
        <v>-99</v>
      </c>
      <c r="AV543">
        <f t="shared" ca="1" si="123"/>
        <v>-99</v>
      </c>
      <c r="AW543">
        <f ca="1">IF(AND($AT543&lt;3,OFFSET(DATA!$C$14,$AS543,0)=AW$6),$AV543,dNULL)</f>
        <v>-99</v>
      </c>
      <c r="AX543">
        <f ca="1">IF(AND($AT543&lt;3,OFFSET(DATA!$C$14,$AS543,0)=AX$6),$AV543,dNULL)</f>
        <v>-99</v>
      </c>
      <c r="AY543">
        <f ca="1">IF(AND($AT543&lt;3,OFFSET(DATA!$C$14,$AS543,0)=AY$6),$AV543,dNULL)</f>
        <v>-99</v>
      </c>
      <c r="AZ543">
        <f ca="1">IF(AND($AT543&lt;3,OFFSET(DATA!$C$14,$AS543,0)=AZ$6),$AV543,dNULL)</f>
        <v>-99</v>
      </c>
      <c r="BA543">
        <f ca="1">IF(AND($AT543&lt;3,OFFSET(DATA!$C$14,$AS543,0)=BA$6),$AV543,dNULL)</f>
        <v>-99</v>
      </c>
      <c r="BB543">
        <f ca="1">IF(AND($AT543&lt;3,OFFSET(DATA!$C$14,$AS543,0)=BB$6),$AV543,dNULL)</f>
        <v>-99</v>
      </c>
      <c r="BC543">
        <f ca="1">IF(AND($AT543&lt;3,OFFSET(DATA!$C$14,$AS543,0)=BC$6),$AV543,dNULL)</f>
        <v>-99</v>
      </c>
      <c r="BD543">
        <f ca="1">IF(AND($AT543&lt;3,OFFSET(DATA!$C$14,$AS543,0)=BD$6),$AV543,dNULL)</f>
        <v>-99</v>
      </c>
      <c r="BE543">
        <f ca="1">IF(AND($AT543&lt;3,OFFSET(DATA!$C$14,$AS543,0)=BE$6),$AV543,dNULL)</f>
        <v>-99</v>
      </c>
      <c r="BF543">
        <f ca="1">IF(AND($AT543&lt;3,OFFSET(DATA!$C$14,$AS543,0)=BF$6),$AV543,dNULL)</f>
        <v>-99</v>
      </c>
      <c r="BG543">
        <f ca="1">IF(AND($AT543&lt;3,OFFSET(DATA!$C$14,$AS543,0)=BG$6),$AV543,dNULL)</f>
        <v>-99</v>
      </c>
      <c r="BH543">
        <f ca="1">IF(AND($AT543&lt;3,OFFSET(DATA!$C$14,$AS543,0)=BH$6),$AV543,dNULL)</f>
        <v>-99</v>
      </c>
    </row>
    <row r="544" spans="45:60" x14ac:dyDescent="0.25">
      <c r="AS544">
        <f t="shared" si="120"/>
        <v>88</v>
      </c>
      <c r="AT544">
        <f t="shared" si="121"/>
        <v>5</v>
      </c>
      <c r="AU544">
        <f t="shared" ca="1" si="122"/>
        <v>-99</v>
      </c>
      <c r="AV544">
        <f t="shared" ca="1" si="123"/>
        <v>-99</v>
      </c>
      <c r="AW544">
        <f ca="1">IF(AND($AT544&lt;3,OFFSET(DATA!$C$14,$AS544,0)=AW$6),$AV544,dNULL)</f>
        <v>-99</v>
      </c>
      <c r="AX544">
        <f ca="1">IF(AND($AT544&lt;3,OFFSET(DATA!$C$14,$AS544,0)=AX$6),$AV544,dNULL)</f>
        <v>-99</v>
      </c>
      <c r="AY544">
        <f ca="1">IF(AND($AT544&lt;3,OFFSET(DATA!$C$14,$AS544,0)=AY$6),$AV544,dNULL)</f>
        <v>-99</v>
      </c>
      <c r="AZ544">
        <f ca="1">IF(AND($AT544&lt;3,OFFSET(DATA!$C$14,$AS544,0)=AZ$6),$AV544,dNULL)</f>
        <v>-99</v>
      </c>
      <c r="BA544">
        <f ca="1">IF(AND($AT544&lt;3,OFFSET(DATA!$C$14,$AS544,0)=BA$6),$AV544,dNULL)</f>
        <v>-99</v>
      </c>
      <c r="BB544">
        <f ca="1">IF(AND($AT544&lt;3,OFFSET(DATA!$C$14,$AS544,0)=BB$6),$AV544,dNULL)</f>
        <v>-99</v>
      </c>
      <c r="BC544">
        <f ca="1">IF(AND($AT544&lt;3,OFFSET(DATA!$C$14,$AS544,0)=BC$6),$AV544,dNULL)</f>
        <v>-99</v>
      </c>
      <c r="BD544">
        <f ca="1">IF(AND($AT544&lt;3,OFFSET(DATA!$C$14,$AS544,0)=BD$6),$AV544,dNULL)</f>
        <v>-99</v>
      </c>
      <c r="BE544">
        <f ca="1">IF(AND($AT544&lt;3,OFFSET(DATA!$C$14,$AS544,0)=BE$6),$AV544,dNULL)</f>
        <v>-99</v>
      </c>
      <c r="BF544">
        <f ca="1">IF(AND($AT544&lt;3,OFFSET(DATA!$C$14,$AS544,0)=BF$6),$AV544,dNULL)</f>
        <v>-99</v>
      </c>
      <c r="BG544">
        <f ca="1">IF(AND($AT544&lt;3,OFFSET(DATA!$C$14,$AS544,0)=BG$6),$AV544,dNULL)</f>
        <v>-99</v>
      </c>
      <c r="BH544">
        <f ca="1">IF(AND($AT544&lt;3,OFFSET(DATA!$C$14,$AS544,0)=BH$6),$AV544,dNULL)</f>
        <v>-99</v>
      </c>
    </row>
    <row r="545" spans="45:60" x14ac:dyDescent="0.25">
      <c r="AS545">
        <f t="shared" si="120"/>
        <v>89</v>
      </c>
      <c r="AT545">
        <f t="shared" si="121"/>
        <v>5</v>
      </c>
      <c r="AU545">
        <f t="shared" ca="1" si="122"/>
        <v>-99</v>
      </c>
      <c r="AV545">
        <f t="shared" ca="1" si="123"/>
        <v>-99</v>
      </c>
      <c r="AW545">
        <f ca="1">IF(AND($AT545&lt;3,OFFSET(DATA!$C$14,$AS545,0)=AW$6),$AV545,dNULL)</f>
        <v>-99</v>
      </c>
      <c r="AX545">
        <f ca="1">IF(AND($AT545&lt;3,OFFSET(DATA!$C$14,$AS545,0)=AX$6),$AV545,dNULL)</f>
        <v>-99</v>
      </c>
      <c r="AY545">
        <f ca="1">IF(AND($AT545&lt;3,OFFSET(DATA!$C$14,$AS545,0)=AY$6),$AV545,dNULL)</f>
        <v>-99</v>
      </c>
      <c r="AZ545">
        <f ca="1">IF(AND($AT545&lt;3,OFFSET(DATA!$C$14,$AS545,0)=AZ$6),$AV545,dNULL)</f>
        <v>-99</v>
      </c>
      <c r="BA545">
        <f ca="1">IF(AND($AT545&lt;3,OFFSET(DATA!$C$14,$AS545,0)=BA$6),$AV545,dNULL)</f>
        <v>-99</v>
      </c>
      <c r="BB545">
        <f ca="1">IF(AND($AT545&lt;3,OFFSET(DATA!$C$14,$AS545,0)=BB$6),$AV545,dNULL)</f>
        <v>-99</v>
      </c>
      <c r="BC545">
        <f ca="1">IF(AND($AT545&lt;3,OFFSET(DATA!$C$14,$AS545,0)=BC$6),$AV545,dNULL)</f>
        <v>-99</v>
      </c>
      <c r="BD545">
        <f ca="1">IF(AND($AT545&lt;3,OFFSET(DATA!$C$14,$AS545,0)=BD$6),$AV545,dNULL)</f>
        <v>-99</v>
      </c>
      <c r="BE545">
        <f ca="1">IF(AND($AT545&lt;3,OFFSET(DATA!$C$14,$AS545,0)=BE$6),$AV545,dNULL)</f>
        <v>-99</v>
      </c>
      <c r="BF545">
        <f ca="1">IF(AND($AT545&lt;3,OFFSET(DATA!$C$14,$AS545,0)=BF$6),$AV545,dNULL)</f>
        <v>-99</v>
      </c>
      <c r="BG545">
        <f ca="1">IF(AND($AT545&lt;3,OFFSET(DATA!$C$14,$AS545,0)=BG$6),$AV545,dNULL)</f>
        <v>-99</v>
      </c>
      <c r="BH545">
        <f ca="1">IF(AND($AT545&lt;3,OFFSET(DATA!$C$14,$AS545,0)=BH$6),$AV545,dNULL)</f>
        <v>-99</v>
      </c>
    </row>
    <row r="546" spans="45:60" x14ac:dyDescent="0.25">
      <c r="AS546">
        <f t="shared" si="120"/>
        <v>90</v>
      </c>
      <c r="AT546">
        <f t="shared" si="121"/>
        <v>5</v>
      </c>
      <c r="AU546">
        <f t="shared" ca="1" si="122"/>
        <v>-99</v>
      </c>
      <c r="AV546">
        <f t="shared" ca="1" si="123"/>
        <v>-99</v>
      </c>
      <c r="AW546">
        <f ca="1">IF(AND($AT546&lt;3,OFFSET(DATA!$C$14,$AS546,0)=AW$6),$AV546,dNULL)</f>
        <v>-99</v>
      </c>
      <c r="AX546">
        <f ca="1">IF(AND($AT546&lt;3,OFFSET(DATA!$C$14,$AS546,0)=AX$6),$AV546,dNULL)</f>
        <v>-99</v>
      </c>
      <c r="AY546">
        <f ca="1">IF(AND($AT546&lt;3,OFFSET(DATA!$C$14,$AS546,0)=AY$6),$AV546,dNULL)</f>
        <v>-99</v>
      </c>
      <c r="AZ546">
        <f ca="1">IF(AND($AT546&lt;3,OFFSET(DATA!$C$14,$AS546,0)=AZ$6),$AV546,dNULL)</f>
        <v>-99</v>
      </c>
      <c r="BA546">
        <f ca="1">IF(AND($AT546&lt;3,OFFSET(DATA!$C$14,$AS546,0)=BA$6),$AV546,dNULL)</f>
        <v>-99</v>
      </c>
      <c r="BB546">
        <f ca="1">IF(AND($AT546&lt;3,OFFSET(DATA!$C$14,$AS546,0)=BB$6),$AV546,dNULL)</f>
        <v>-99</v>
      </c>
      <c r="BC546">
        <f ca="1">IF(AND($AT546&lt;3,OFFSET(DATA!$C$14,$AS546,0)=BC$6),$AV546,dNULL)</f>
        <v>-99</v>
      </c>
      <c r="BD546">
        <f ca="1">IF(AND($AT546&lt;3,OFFSET(DATA!$C$14,$AS546,0)=BD$6),$AV546,dNULL)</f>
        <v>-99</v>
      </c>
      <c r="BE546">
        <f ca="1">IF(AND($AT546&lt;3,OFFSET(DATA!$C$14,$AS546,0)=BE$6),$AV546,dNULL)</f>
        <v>-99</v>
      </c>
      <c r="BF546">
        <f ca="1">IF(AND($AT546&lt;3,OFFSET(DATA!$C$14,$AS546,0)=BF$6),$AV546,dNULL)</f>
        <v>-99</v>
      </c>
      <c r="BG546">
        <f ca="1">IF(AND($AT546&lt;3,OFFSET(DATA!$C$14,$AS546,0)=BG$6),$AV546,dNULL)</f>
        <v>-99</v>
      </c>
      <c r="BH546">
        <f ca="1">IF(AND($AT546&lt;3,OFFSET(DATA!$C$14,$AS546,0)=BH$6),$AV546,dNULL)</f>
        <v>-99</v>
      </c>
    </row>
    <row r="547" spans="45:60" x14ac:dyDescent="0.25">
      <c r="AS547">
        <f t="shared" si="120"/>
        <v>1</v>
      </c>
      <c r="AT547">
        <f t="shared" si="121"/>
        <v>6</v>
      </c>
      <c r="AU547">
        <f t="shared" ca="1" si="122"/>
        <v>-99</v>
      </c>
      <c r="AV547">
        <f t="shared" ca="1" si="123"/>
        <v>-99</v>
      </c>
      <c r="AW547">
        <f ca="1">IF(AND($AT547&lt;3,OFFSET(DATA!$C$14,$AS547,0)=AW$6),$AV547,dNULL)</f>
        <v>-99</v>
      </c>
      <c r="AX547">
        <f ca="1">IF(AND($AT547&lt;3,OFFSET(DATA!$C$14,$AS547,0)=AX$6),$AV547,dNULL)</f>
        <v>-99</v>
      </c>
      <c r="AY547">
        <f ca="1">IF(AND($AT547&lt;3,OFFSET(DATA!$C$14,$AS547,0)=AY$6),$AV547,dNULL)</f>
        <v>-99</v>
      </c>
      <c r="AZ547">
        <f ca="1">IF(AND($AT547&lt;3,OFFSET(DATA!$C$14,$AS547,0)=AZ$6),$AV547,dNULL)</f>
        <v>-99</v>
      </c>
      <c r="BA547">
        <f ca="1">IF(AND($AT547&lt;3,OFFSET(DATA!$C$14,$AS547,0)=BA$6),$AV547,dNULL)</f>
        <v>-99</v>
      </c>
      <c r="BB547">
        <f ca="1">IF(AND($AT547&lt;3,OFFSET(DATA!$C$14,$AS547,0)=BB$6),$AV547,dNULL)</f>
        <v>-99</v>
      </c>
      <c r="BC547">
        <f ca="1">IF(AND($AT547&lt;3,OFFSET(DATA!$C$14,$AS547,0)=BC$6),$AV547,dNULL)</f>
        <v>-99</v>
      </c>
      <c r="BD547">
        <f ca="1">IF(AND($AT547&lt;3,OFFSET(DATA!$C$14,$AS547,0)=BD$6),$AV547,dNULL)</f>
        <v>-99</v>
      </c>
      <c r="BE547">
        <f ca="1">IF(AND($AT547&lt;3,OFFSET(DATA!$C$14,$AS547,0)=BE$6),$AV547,dNULL)</f>
        <v>-99</v>
      </c>
      <c r="BF547">
        <f ca="1">IF(AND($AT547&lt;3,OFFSET(DATA!$C$14,$AS547,0)=BF$6),$AV547,dNULL)</f>
        <v>-99</v>
      </c>
      <c r="BG547">
        <f ca="1">IF(AND($AT547&lt;3,OFFSET(DATA!$C$14,$AS547,0)=BG$6),$AV547,dNULL)</f>
        <v>-99</v>
      </c>
      <c r="BH547">
        <f ca="1">IF(AND($AT547&lt;3,OFFSET(DATA!$C$14,$AS547,0)=BH$6),$AV547,dNULL)</f>
        <v>-99</v>
      </c>
    </row>
    <row r="548" spans="45:60" x14ac:dyDescent="0.25">
      <c r="AS548">
        <f t="shared" si="120"/>
        <v>2</v>
      </c>
      <c r="AT548">
        <f t="shared" si="121"/>
        <v>6</v>
      </c>
      <c r="AU548">
        <f t="shared" ca="1" si="122"/>
        <v>-99</v>
      </c>
      <c r="AV548">
        <f t="shared" ca="1" si="123"/>
        <v>-99</v>
      </c>
      <c r="AW548">
        <f ca="1">IF(AND($AT548&lt;3,OFFSET(DATA!$C$14,$AS548,0)=AW$6),$AV548,dNULL)</f>
        <v>-99</v>
      </c>
      <c r="AX548">
        <f ca="1">IF(AND($AT548&lt;3,OFFSET(DATA!$C$14,$AS548,0)=AX$6),$AV548,dNULL)</f>
        <v>-99</v>
      </c>
      <c r="AY548">
        <f ca="1">IF(AND($AT548&lt;3,OFFSET(DATA!$C$14,$AS548,0)=AY$6),$AV548,dNULL)</f>
        <v>-99</v>
      </c>
      <c r="AZ548">
        <f ca="1">IF(AND($AT548&lt;3,OFFSET(DATA!$C$14,$AS548,0)=AZ$6),$AV548,dNULL)</f>
        <v>-99</v>
      </c>
      <c r="BA548">
        <f ca="1">IF(AND($AT548&lt;3,OFFSET(DATA!$C$14,$AS548,0)=BA$6),$AV548,dNULL)</f>
        <v>-99</v>
      </c>
      <c r="BB548">
        <f ca="1">IF(AND($AT548&lt;3,OFFSET(DATA!$C$14,$AS548,0)=BB$6),$AV548,dNULL)</f>
        <v>-99</v>
      </c>
      <c r="BC548">
        <f ca="1">IF(AND($AT548&lt;3,OFFSET(DATA!$C$14,$AS548,0)=BC$6),$AV548,dNULL)</f>
        <v>-99</v>
      </c>
      <c r="BD548">
        <f ca="1">IF(AND($AT548&lt;3,OFFSET(DATA!$C$14,$AS548,0)=BD$6),$AV548,dNULL)</f>
        <v>-99</v>
      </c>
      <c r="BE548">
        <f ca="1">IF(AND($AT548&lt;3,OFFSET(DATA!$C$14,$AS548,0)=BE$6),$AV548,dNULL)</f>
        <v>-99</v>
      </c>
      <c r="BF548">
        <f ca="1">IF(AND($AT548&lt;3,OFFSET(DATA!$C$14,$AS548,0)=BF$6),$AV548,dNULL)</f>
        <v>-99</v>
      </c>
      <c r="BG548">
        <f ca="1">IF(AND($AT548&lt;3,OFFSET(DATA!$C$14,$AS548,0)=BG$6),$AV548,dNULL)</f>
        <v>-99</v>
      </c>
      <c r="BH548">
        <f ca="1">IF(AND($AT548&lt;3,OFFSET(DATA!$C$14,$AS548,0)=BH$6),$AV548,dNULL)</f>
        <v>-99</v>
      </c>
    </row>
    <row r="549" spans="45:60" x14ac:dyDescent="0.25">
      <c r="AS549">
        <f t="shared" si="120"/>
        <v>3</v>
      </c>
      <c r="AT549">
        <f t="shared" si="121"/>
        <v>6</v>
      </c>
      <c r="AU549">
        <f t="shared" ca="1" si="122"/>
        <v>-99</v>
      </c>
      <c r="AV549">
        <f t="shared" ca="1" si="123"/>
        <v>-99</v>
      </c>
      <c r="AW549">
        <f ca="1">IF(AND($AT549&lt;3,OFFSET(DATA!$C$14,$AS549,0)=AW$6),$AV549,dNULL)</f>
        <v>-99</v>
      </c>
      <c r="AX549">
        <f ca="1">IF(AND($AT549&lt;3,OFFSET(DATA!$C$14,$AS549,0)=AX$6),$AV549,dNULL)</f>
        <v>-99</v>
      </c>
      <c r="AY549">
        <f ca="1">IF(AND($AT549&lt;3,OFFSET(DATA!$C$14,$AS549,0)=AY$6),$AV549,dNULL)</f>
        <v>-99</v>
      </c>
      <c r="AZ549">
        <f ca="1">IF(AND($AT549&lt;3,OFFSET(DATA!$C$14,$AS549,0)=AZ$6),$AV549,dNULL)</f>
        <v>-99</v>
      </c>
      <c r="BA549">
        <f ca="1">IF(AND($AT549&lt;3,OFFSET(DATA!$C$14,$AS549,0)=BA$6),$AV549,dNULL)</f>
        <v>-99</v>
      </c>
      <c r="BB549">
        <f ca="1">IF(AND($AT549&lt;3,OFFSET(DATA!$C$14,$AS549,0)=BB$6),$AV549,dNULL)</f>
        <v>-99</v>
      </c>
      <c r="BC549">
        <f ca="1">IF(AND($AT549&lt;3,OFFSET(DATA!$C$14,$AS549,0)=BC$6),$AV549,dNULL)</f>
        <v>-99</v>
      </c>
      <c r="BD549">
        <f ca="1">IF(AND($AT549&lt;3,OFFSET(DATA!$C$14,$AS549,0)=BD$6),$AV549,dNULL)</f>
        <v>-99</v>
      </c>
      <c r="BE549">
        <f ca="1">IF(AND($AT549&lt;3,OFFSET(DATA!$C$14,$AS549,0)=BE$6),$AV549,dNULL)</f>
        <v>-99</v>
      </c>
      <c r="BF549">
        <f ca="1">IF(AND($AT549&lt;3,OFFSET(DATA!$C$14,$AS549,0)=BF$6),$AV549,dNULL)</f>
        <v>-99</v>
      </c>
      <c r="BG549">
        <f ca="1">IF(AND($AT549&lt;3,OFFSET(DATA!$C$14,$AS549,0)=BG$6),$AV549,dNULL)</f>
        <v>-99</v>
      </c>
      <c r="BH549">
        <f ca="1">IF(AND($AT549&lt;3,OFFSET(DATA!$C$14,$AS549,0)=BH$6),$AV549,dNULL)</f>
        <v>-99</v>
      </c>
    </row>
    <row r="550" spans="45:60" x14ac:dyDescent="0.25">
      <c r="AS550">
        <f t="shared" si="120"/>
        <v>4</v>
      </c>
      <c r="AT550">
        <f t="shared" si="121"/>
        <v>6</v>
      </c>
      <c r="AU550">
        <f t="shared" ca="1" si="122"/>
        <v>-99</v>
      </c>
      <c r="AV550">
        <f t="shared" ca="1" si="123"/>
        <v>-99</v>
      </c>
      <c r="AW550">
        <f ca="1">IF(AND($AT550&lt;3,OFFSET(DATA!$C$14,$AS550,0)=AW$6),$AV550,dNULL)</f>
        <v>-99</v>
      </c>
      <c r="AX550">
        <f ca="1">IF(AND($AT550&lt;3,OFFSET(DATA!$C$14,$AS550,0)=AX$6),$AV550,dNULL)</f>
        <v>-99</v>
      </c>
      <c r="AY550">
        <f ca="1">IF(AND($AT550&lt;3,OFFSET(DATA!$C$14,$AS550,0)=AY$6),$AV550,dNULL)</f>
        <v>-99</v>
      </c>
      <c r="AZ550">
        <f ca="1">IF(AND($AT550&lt;3,OFFSET(DATA!$C$14,$AS550,0)=AZ$6),$AV550,dNULL)</f>
        <v>-99</v>
      </c>
      <c r="BA550">
        <f ca="1">IF(AND($AT550&lt;3,OFFSET(DATA!$C$14,$AS550,0)=BA$6),$AV550,dNULL)</f>
        <v>-99</v>
      </c>
      <c r="BB550">
        <f ca="1">IF(AND($AT550&lt;3,OFFSET(DATA!$C$14,$AS550,0)=BB$6),$AV550,dNULL)</f>
        <v>-99</v>
      </c>
      <c r="BC550">
        <f ca="1">IF(AND($AT550&lt;3,OFFSET(DATA!$C$14,$AS550,0)=BC$6),$AV550,dNULL)</f>
        <v>-99</v>
      </c>
      <c r="BD550">
        <f ca="1">IF(AND($AT550&lt;3,OFFSET(DATA!$C$14,$AS550,0)=BD$6),$AV550,dNULL)</f>
        <v>-99</v>
      </c>
      <c r="BE550">
        <f ca="1">IF(AND($AT550&lt;3,OFFSET(DATA!$C$14,$AS550,0)=BE$6),$AV550,dNULL)</f>
        <v>-99</v>
      </c>
      <c r="BF550">
        <f ca="1">IF(AND($AT550&lt;3,OFFSET(DATA!$C$14,$AS550,0)=BF$6),$AV550,dNULL)</f>
        <v>-99</v>
      </c>
      <c r="BG550">
        <f ca="1">IF(AND($AT550&lt;3,OFFSET(DATA!$C$14,$AS550,0)=BG$6),$AV550,dNULL)</f>
        <v>-99</v>
      </c>
      <c r="BH550">
        <f ca="1">IF(AND($AT550&lt;3,OFFSET(DATA!$C$14,$AS550,0)=BH$6),$AV550,dNULL)</f>
        <v>-99</v>
      </c>
    </row>
    <row r="551" spans="45:60" x14ac:dyDescent="0.25">
      <c r="AS551">
        <f t="shared" si="120"/>
        <v>5</v>
      </c>
      <c r="AT551">
        <f t="shared" si="121"/>
        <v>6</v>
      </c>
      <c r="AU551">
        <f t="shared" ca="1" si="122"/>
        <v>-99</v>
      </c>
      <c r="AV551">
        <f t="shared" ca="1" si="123"/>
        <v>-99</v>
      </c>
      <c r="AW551">
        <f ca="1">IF(AND($AT551&lt;3,OFFSET(DATA!$C$14,$AS551,0)=AW$6),$AV551,dNULL)</f>
        <v>-99</v>
      </c>
      <c r="AX551">
        <f ca="1">IF(AND($AT551&lt;3,OFFSET(DATA!$C$14,$AS551,0)=AX$6),$AV551,dNULL)</f>
        <v>-99</v>
      </c>
      <c r="AY551">
        <f ca="1">IF(AND($AT551&lt;3,OFFSET(DATA!$C$14,$AS551,0)=AY$6),$AV551,dNULL)</f>
        <v>-99</v>
      </c>
      <c r="AZ551">
        <f ca="1">IF(AND($AT551&lt;3,OFFSET(DATA!$C$14,$AS551,0)=AZ$6),$AV551,dNULL)</f>
        <v>-99</v>
      </c>
      <c r="BA551">
        <f ca="1">IF(AND($AT551&lt;3,OFFSET(DATA!$C$14,$AS551,0)=BA$6),$AV551,dNULL)</f>
        <v>-99</v>
      </c>
      <c r="BB551">
        <f ca="1">IF(AND($AT551&lt;3,OFFSET(DATA!$C$14,$AS551,0)=BB$6),$AV551,dNULL)</f>
        <v>-99</v>
      </c>
      <c r="BC551">
        <f ca="1">IF(AND($AT551&lt;3,OFFSET(DATA!$C$14,$AS551,0)=BC$6),$AV551,dNULL)</f>
        <v>-99</v>
      </c>
      <c r="BD551">
        <f ca="1">IF(AND($AT551&lt;3,OFFSET(DATA!$C$14,$AS551,0)=BD$6),$AV551,dNULL)</f>
        <v>-99</v>
      </c>
      <c r="BE551">
        <f ca="1">IF(AND($AT551&lt;3,OFFSET(DATA!$C$14,$AS551,0)=BE$6),$AV551,dNULL)</f>
        <v>-99</v>
      </c>
      <c r="BF551">
        <f ca="1">IF(AND($AT551&lt;3,OFFSET(DATA!$C$14,$AS551,0)=BF$6),$AV551,dNULL)</f>
        <v>-99</v>
      </c>
      <c r="BG551">
        <f ca="1">IF(AND($AT551&lt;3,OFFSET(DATA!$C$14,$AS551,0)=BG$6),$AV551,dNULL)</f>
        <v>-99</v>
      </c>
      <c r="BH551">
        <f ca="1">IF(AND($AT551&lt;3,OFFSET(DATA!$C$14,$AS551,0)=BH$6),$AV551,dNULL)</f>
        <v>-99</v>
      </c>
    </row>
    <row r="552" spans="45:60" x14ac:dyDescent="0.25">
      <c r="AS552">
        <f t="shared" si="120"/>
        <v>6</v>
      </c>
      <c r="AT552">
        <f t="shared" si="121"/>
        <v>6</v>
      </c>
      <c r="AU552">
        <f t="shared" ca="1" si="122"/>
        <v>-99</v>
      </c>
      <c r="AV552">
        <f t="shared" ca="1" si="123"/>
        <v>-99</v>
      </c>
      <c r="AW552">
        <f ca="1">IF(AND($AT552&lt;3,OFFSET(DATA!$C$14,$AS552,0)=AW$6),$AV552,dNULL)</f>
        <v>-99</v>
      </c>
      <c r="AX552">
        <f ca="1">IF(AND($AT552&lt;3,OFFSET(DATA!$C$14,$AS552,0)=AX$6),$AV552,dNULL)</f>
        <v>-99</v>
      </c>
      <c r="AY552">
        <f ca="1">IF(AND($AT552&lt;3,OFFSET(DATA!$C$14,$AS552,0)=AY$6),$AV552,dNULL)</f>
        <v>-99</v>
      </c>
      <c r="AZ552">
        <f ca="1">IF(AND($AT552&lt;3,OFFSET(DATA!$C$14,$AS552,0)=AZ$6),$AV552,dNULL)</f>
        <v>-99</v>
      </c>
      <c r="BA552">
        <f ca="1">IF(AND($AT552&lt;3,OFFSET(DATA!$C$14,$AS552,0)=BA$6),$AV552,dNULL)</f>
        <v>-99</v>
      </c>
      <c r="BB552">
        <f ca="1">IF(AND($AT552&lt;3,OFFSET(DATA!$C$14,$AS552,0)=BB$6),$AV552,dNULL)</f>
        <v>-99</v>
      </c>
      <c r="BC552">
        <f ca="1">IF(AND($AT552&lt;3,OFFSET(DATA!$C$14,$AS552,0)=BC$6),$AV552,dNULL)</f>
        <v>-99</v>
      </c>
      <c r="BD552">
        <f ca="1">IF(AND($AT552&lt;3,OFFSET(DATA!$C$14,$AS552,0)=BD$6),$AV552,dNULL)</f>
        <v>-99</v>
      </c>
      <c r="BE552">
        <f ca="1">IF(AND($AT552&lt;3,OFFSET(DATA!$C$14,$AS552,0)=BE$6),$AV552,dNULL)</f>
        <v>-99</v>
      </c>
      <c r="BF552">
        <f ca="1">IF(AND($AT552&lt;3,OFFSET(DATA!$C$14,$AS552,0)=BF$6),$AV552,dNULL)</f>
        <v>-99</v>
      </c>
      <c r="BG552">
        <f ca="1">IF(AND($AT552&lt;3,OFFSET(DATA!$C$14,$AS552,0)=BG$6),$AV552,dNULL)</f>
        <v>-99</v>
      </c>
      <c r="BH552">
        <f ca="1">IF(AND($AT552&lt;3,OFFSET(DATA!$C$14,$AS552,0)=BH$6),$AV552,dNULL)</f>
        <v>-99</v>
      </c>
    </row>
    <row r="553" spans="45:60" x14ac:dyDescent="0.25">
      <c r="AS553">
        <f t="shared" si="120"/>
        <v>7</v>
      </c>
      <c r="AT553">
        <f t="shared" si="121"/>
        <v>6</v>
      </c>
      <c r="AU553">
        <f t="shared" ca="1" si="122"/>
        <v>-99</v>
      </c>
      <c r="AV553">
        <f t="shared" ca="1" si="123"/>
        <v>-99</v>
      </c>
      <c r="AW553">
        <f ca="1">IF(AND($AT553&lt;3,OFFSET(DATA!$C$14,$AS553,0)=AW$6),$AV553,dNULL)</f>
        <v>-99</v>
      </c>
      <c r="AX553">
        <f ca="1">IF(AND($AT553&lt;3,OFFSET(DATA!$C$14,$AS553,0)=AX$6),$AV553,dNULL)</f>
        <v>-99</v>
      </c>
      <c r="AY553">
        <f ca="1">IF(AND($AT553&lt;3,OFFSET(DATA!$C$14,$AS553,0)=AY$6),$AV553,dNULL)</f>
        <v>-99</v>
      </c>
      <c r="AZ553">
        <f ca="1">IF(AND($AT553&lt;3,OFFSET(DATA!$C$14,$AS553,0)=AZ$6),$AV553,dNULL)</f>
        <v>-99</v>
      </c>
      <c r="BA553">
        <f ca="1">IF(AND($AT553&lt;3,OFFSET(DATA!$C$14,$AS553,0)=BA$6),$AV553,dNULL)</f>
        <v>-99</v>
      </c>
      <c r="BB553">
        <f ca="1">IF(AND($AT553&lt;3,OFFSET(DATA!$C$14,$AS553,0)=BB$6),$AV553,dNULL)</f>
        <v>-99</v>
      </c>
      <c r="BC553">
        <f ca="1">IF(AND($AT553&lt;3,OFFSET(DATA!$C$14,$AS553,0)=BC$6),$AV553,dNULL)</f>
        <v>-99</v>
      </c>
      <c r="BD553">
        <f ca="1">IF(AND($AT553&lt;3,OFFSET(DATA!$C$14,$AS553,0)=BD$6),$AV553,dNULL)</f>
        <v>-99</v>
      </c>
      <c r="BE553">
        <f ca="1">IF(AND($AT553&lt;3,OFFSET(DATA!$C$14,$AS553,0)=BE$6),$AV553,dNULL)</f>
        <v>-99</v>
      </c>
      <c r="BF553">
        <f ca="1">IF(AND($AT553&lt;3,OFFSET(DATA!$C$14,$AS553,0)=BF$6),$AV553,dNULL)</f>
        <v>-99</v>
      </c>
      <c r="BG553">
        <f ca="1">IF(AND($AT553&lt;3,OFFSET(DATA!$C$14,$AS553,0)=BG$6),$AV553,dNULL)</f>
        <v>-99</v>
      </c>
      <c r="BH553">
        <f ca="1">IF(AND($AT553&lt;3,OFFSET(DATA!$C$14,$AS553,0)=BH$6),$AV553,dNULL)</f>
        <v>-99</v>
      </c>
    </row>
    <row r="554" spans="45:60" x14ac:dyDescent="0.25">
      <c r="AS554">
        <f t="shared" si="120"/>
        <v>8</v>
      </c>
      <c r="AT554">
        <f t="shared" si="121"/>
        <v>6</v>
      </c>
      <c r="AU554">
        <f t="shared" ca="1" si="122"/>
        <v>-99</v>
      </c>
      <c r="AV554">
        <f t="shared" ca="1" si="123"/>
        <v>-99</v>
      </c>
      <c r="AW554">
        <f ca="1">IF(AND($AT554&lt;3,OFFSET(DATA!$C$14,$AS554,0)=AW$6),$AV554,dNULL)</f>
        <v>-99</v>
      </c>
      <c r="AX554">
        <f ca="1">IF(AND($AT554&lt;3,OFFSET(DATA!$C$14,$AS554,0)=AX$6),$AV554,dNULL)</f>
        <v>-99</v>
      </c>
      <c r="AY554">
        <f ca="1">IF(AND($AT554&lt;3,OFFSET(DATA!$C$14,$AS554,0)=AY$6),$AV554,dNULL)</f>
        <v>-99</v>
      </c>
      <c r="AZ554">
        <f ca="1">IF(AND($AT554&lt;3,OFFSET(DATA!$C$14,$AS554,0)=AZ$6),$AV554,dNULL)</f>
        <v>-99</v>
      </c>
      <c r="BA554">
        <f ca="1">IF(AND($AT554&lt;3,OFFSET(DATA!$C$14,$AS554,0)=BA$6),$AV554,dNULL)</f>
        <v>-99</v>
      </c>
      <c r="BB554">
        <f ca="1">IF(AND($AT554&lt;3,OFFSET(DATA!$C$14,$AS554,0)=BB$6),$AV554,dNULL)</f>
        <v>-99</v>
      </c>
      <c r="BC554">
        <f ca="1">IF(AND($AT554&lt;3,OFFSET(DATA!$C$14,$AS554,0)=BC$6),$AV554,dNULL)</f>
        <v>-99</v>
      </c>
      <c r="BD554">
        <f ca="1">IF(AND($AT554&lt;3,OFFSET(DATA!$C$14,$AS554,0)=BD$6),$AV554,dNULL)</f>
        <v>-99</v>
      </c>
      <c r="BE554">
        <f ca="1">IF(AND($AT554&lt;3,OFFSET(DATA!$C$14,$AS554,0)=BE$6),$AV554,dNULL)</f>
        <v>-99</v>
      </c>
      <c r="BF554">
        <f ca="1">IF(AND($AT554&lt;3,OFFSET(DATA!$C$14,$AS554,0)=BF$6),$AV554,dNULL)</f>
        <v>-99</v>
      </c>
      <c r="BG554">
        <f ca="1">IF(AND($AT554&lt;3,OFFSET(DATA!$C$14,$AS554,0)=BG$6),$AV554,dNULL)</f>
        <v>-99</v>
      </c>
      <c r="BH554">
        <f ca="1">IF(AND($AT554&lt;3,OFFSET(DATA!$C$14,$AS554,0)=BH$6),$AV554,dNULL)</f>
        <v>-99</v>
      </c>
    </row>
    <row r="555" spans="45:60" x14ac:dyDescent="0.25">
      <c r="AS555">
        <f t="shared" si="120"/>
        <v>9</v>
      </c>
      <c r="AT555">
        <f t="shared" si="121"/>
        <v>6</v>
      </c>
      <c r="AU555">
        <f t="shared" ca="1" si="122"/>
        <v>-99</v>
      </c>
      <c r="AV555">
        <f t="shared" ca="1" si="123"/>
        <v>-99</v>
      </c>
      <c r="AW555">
        <f ca="1">IF(AND($AT555&lt;3,OFFSET(DATA!$C$14,$AS555,0)=AW$6),$AV555,dNULL)</f>
        <v>-99</v>
      </c>
      <c r="AX555">
        <f ca="1">IF(AND($AT555&lt;3,OFFSET(DATA!$C$14,$AS555,0)=AX$6),$AV555,dNULL)</f>
        <v>-99</v>
      </c>
      <c r="AY555">
        <f ca="1">IF(AND($AT555&lt;3,OFFSET(DATA!$C$14,$AS555,0)=AY$6),$AV555,dNULL)</f>
        <v>-99</v>
      </c>
      <c r="AZ555">
        <f ca="1">IF(AND($AT555&lt;3,OFFSET(DATA!$C$14,$AS555,0)=AZ$6),$AV555,dNULL)</f>
        <v>-99</v>
      </c>
      <c r="BA555">
        <f ca="1">IF(AND($AT555&lt;3,OFFSET(DATA!$C$14,$AS555,0)=BA$6),$AV555,dNULL)</f>
        <v>-99</v>
      </c>
      <c r="BB555">
        <f ca="1">IF(AND($AT555&lt;3,OFFSET(DATA!$C$14,$AS555,0)=BB$6),$AV555,dNULL)</f>
        <v>-99</v>
      </c>
      <c r="BC555">
        <f ca="1">IF(AND($AT555&lt;3,OFFSET(DATA!$C$14,$AS555,0)=BC$6),$AV555,dNULL)</f>
        <v>-99</v>
      </c>
      <c r="BD555">
        <f ca="1">IF(AND($AT555&lt;3,OFFSET(DATA!$C$14,$AS555,0)=BD$6),$AV555,dNULL)</f>
        <v>-99</v>
      </c>
      <c r="BE555">
        <f ca="1">IF(AND($AT555&lt;3,OFFSET(DATA!$C$14,$AS555,0)=BE$6),$AV555,dNULL)</f>
        <v>-99</v>
      </c>
      <c r="BF555">
        <f ca="1">IF(AND($AT555&lt;3,OFFSET(DATA!$C$14,$AS555,0)=BF$6),$AV555,dNULL)</f>
        <v>-99</v>
      </c>
      <c r="BG555">
        <f ca="1">IF(AND($AT555&lt;3,OFFSET(DATA!$C$14,$AS555,0)=BG$6),$AV555,dNULL)</f>
        <v>-99</v>
      </c>
      <c r="BH555">
        <f ca="1">IF(AND($AT555&lt;3,OFFSET(DATA!$C$14,$AS555,0)=BH$6),$AV555,dNULL)</f>
        <v>-99</v>
      </c>
    </row>
    <row r="556" spans="45:60" x14ac:dyDescent="0.25">
      <c r="AS556">
        <f t="shared" si="120"/>
        <v>10</v>
      </c>
      <c r="AT556">
        <f t="shared" si="121"/>
        <v>6</v>
      </c>
      <c r="AU556">
        <f t="shared" ca="1" si="122"/>
        <v>-99</v>
      </c>
      <c r="AV556">
        <f t="shared" ca="1" si="123"/>
        <v>-99</v>
      </c>
      <c r="AW556">
        <f ca="1">IF(AND($AT556&lt;3,OFFSET(DATA!$C$14,$AS556,0)=AW$6),$AV556,dNULL)</f>
        <v>-99</v>
      </c>
      <c r="AX556">
        <f ca="1">IF(AND($AT556&lt;3,OFFSET(DATA!$C$14,$AS556,0)=AX$6),$AV556,dNULL)</f>
        <v>-99</v>
      </c>
      <c r="AY556">
        <f ca="1">IF(AND($AT556&lt;3,OFFSET(DATA!$C$14,$AS556,0)=AY$6),$AV556,dNULL)</f>
        <v>-99</v>
      </c>
      <c r="AZ556">
        <f ca="1">IF(AND($AT556&lt;3,OFFSET(DATA!$C$14,$AS556,0)=AZ$6),$AV556,dNULL)</f>
        <v>-99</v>
      </c>
      <c r="BA556">
        <f ca="1">IF(AND($AT556&lt;3,OFFSET(DATA!$C$14,$AS556,0)=BA$6),$AV556,dNULL)</f>
        <v>-99</v>
      </c>
      <c r="BB556">
        <f ca="1">IF(AND($AT556&lt;3,OFFSET(DATA!$C$14,$AS556,0)=BB$6),$AV556,dNULL)</f>
        <v>-99</v>
      </c>
      <c r="BC556">
        <f ca="1">IF(AND($AT556&lt;3,OFFSET(DATA!$C$14,$AS556,0)=BC$6),$AV556,dNULL)</f>
        <v>-99</v>
      </c>
      <c r="BD556">
        <f ca="1">IF(AND($AT556&lt;3,OFFSET(DATA!$C$14,$AS556,0)=BD$6),$AV556,dNULL)</f>
        <v>-99</v>
      </c>
      <c r="BE556">
        <f ca="1">IF(AND($AT556&lt;3,OFFSET(DATA!$C$14,$AS556,0)=BE$6),$AV556,dNULL)</f>
        <v>-99</v>
      </c>
      <c r="BF556">
        <f ca="1">IF(AND($AT556&lt;3,OFFSET(DATA!$C$14,$AS556,0)=BF$6),$AV556,dNULL)</f>
        <v>-99</v>
      </c>
      <c r="BG556">
        <f ca="1">IF(AND($AT556&lt;3,OFFSET(DATA!$C$14,$AS556,0)=BG$6),$AV556,dNULL)</f>
        <v>-99</v>
      </c>
      <c r="BH556">
        <f ca="1">IF(AND($AT556&lt;3,OFFSET(DATA!$C$14,$AS556,0)=BH$6),$AV556,dNULL)</f>
        <v>-99</v>
      </c>
    </row>
    <row r="557" spans="45:60" x14ac:dyDescent="0.25">
      <c r="AS557">
        <f t="shared" si="120"/>
        <v>11</v>
      </c>
      <c r="AT557">
        <f t="shared" si="121"/>
        <v>6</v>
      </c>
      <c r="AU557">
        <f t="shared" ca="1" si="122"/>
        <v>-99</v>
      </c>
      <c r="AV557">
        <f t="shared" ca="1" si="123"/>
        <v>-99</v>
      </c>
      <c r="AW557">
        <f ca="1">IF(AND($AT557&lt;3,OFFSET(DATA!$C$14,$AS557,0)=AW$6),$AV557,dNULL)</f>
        <v>-99</v>
      </c>
      <c r="AX557">
        <f ca="1">IF(AND($AT557&lt;3,OFFSET(DATA!$C$14,$AS557,0)=AX$6),$AV557,dNULL)</f>
        <v>-99</v>
      </c>
      <c r="AY557">
        <f ca="1">IF(AND($AT557&lt;3,OFFSET(DATA!$C$14,$AS557,0)=AY$6),$AV557,dNULL)</f>
        <v>-99</v>
      </c>
      <c r="AZ557">
        <f ca="1">IF(AND($AT557&lt;3,OFFSET(DATA!$C$14,$AS557,0)=AZ$6),$AV557,dNULL)</f>
        <v>-99</v>
      </c>
      <c r="BA557">
        <f ca="1">IF(AND($AT557&lt;3,OFFSET(DATA!$C$14,$AS557,0)=BA$6),$AV557,dNULL)</f>
        <v>-99</v>
      </c>
      <c r="BB557">
        <f ca="1">IF(AND($AT557&lt;3,OFFSET(DATA!$C$14,$AS557,0)=BB$6),$AV557,dNULL)</f>
        <v>-99</v>
      </c>
      <c r="BC557">
        <f ca="1">IF(AND($AT557&lt;3,OFFSET(DATA!$C$14,$AS557,0)=BC$6),$AV557,dNULL)</f>
        <v>-99</v>
      </c>
      <c r="BD557">
        <f ca="1">IF(AND($AT557&lt;3,OFFSET(DATA!$C$14,$AS557,0)=BD$6),$AV557,dNULL)</f>
        <v>-99</v>
      </c>
      <c r="BE557">
        <f ca="1">IF(AND($AT557&lt;3,OFFSET(DATA!$C$14,$AS557,0)=BE$6),$AV557,dNULL)</f>
        <v>-99</v>
      </c>
      <c r="BF557">
        <f ca="1">IF(AND($AT557&lt;3,OFFSET(DATA!$C$14,$AS557,0)=BF$6),$AV557,dNULL)</f>
        <v>-99</v>
      </c>
      <c r="BG557">
        <f ca="1">IF(AND($AT557&lt;3,OFFSET(DATA!$C$14,$AS557,0)=BG$6),$AV557,dNULL)</f>
        <v>-99</v>
      </c>
      <c r="BH557">
        <f ca="1">IF(AND($AT557&lt;3,OFFSET(DATA!$C$14,$AS557,0)=BH$6),$AV557,dNULL)</f>
        <v>-99</v>
      </c>
    </row>
    <row r="558" spans="45:60" x14ac:dyDescent="0.25">
      <c r="AS558">
        <f t="shared" si="120"/>
        <v>12</v>
      </c>
      <c r="AT558">
        <f t="shared" si="121"/>
        <v>6</v>
      </c>
      <c r="AU558">
        <f t="shared" ca="1" si="122"/>
        <v>-99</v>
      </c>
      <c r="AV558">
        <f t="shared" ca="1" si="123"/>
        <v>-99</v>
      </c>
      <c r="AW558">
        <f ca="1">IF(AND($AT558&lt;3,OFFSET(DATA!$C$14,$AS558,0)=AW$6),$AV558,dNULL)</f>
        <v>-99</v>
      </c>
      <c r="AX558">
        <f ca="1">IF(AND($AT558&lt;3,OFFSET(DATA!$C$14,$AS558,0)=AX$6),$AV558,dNULL)</f>
        <v>-99</v>
      </c>
      <c r="AY558">
        <f ca="1">IF(AND($AT558&lt;3,OFFSET(DATA!$C$14,$AS558,0)=AY$6),$AV558,dNULL)</f>
        <v>-99</v>
      </c>
      <c r="AZ558">
        <f ca="1">IF(AND($AT558&lt;3,OFFSET(DATA!$C$14,$AS558,0)=AZ$6),$AV558,dNULL)</f>
        <v>-99</v>
      </c>
      <c r="BA558">
        <f ca="1">IF(AND($AT558&lt;3,OFFSET(DATA!$C$14,$AS558,0)=BA$6),$AV558,dNULL)</f>
        <v>-99</v>
      </c>
      <c r="BB558">
        <f ca="1">IF(AND($AT558&lt;3,OFFSET(DATA!$C$14,$AS558,0)=BB$6),$AV558,dNULL)</f>
        <v>-99</v>
      </c>
      <c r="BC558">
        <f ca="1">IF(AND($AT558&lt;3,OFFSET(DATA!$C$14,$AS558,0)=BC$6),$AV558,dNULL)</f>
        <v>-99</v>
      </c>
      <c r="BD558">
        <f ca="1">IF(AND($AT558&lt;3,OFFSET(DATA!$C$14,$AS558,0)=BD$6),$AV558,dNULL)</f>
        <v>-99</v>
      </c>
      <c r="BE558">
        <f ca="1">IF(AND($AT558&lt;3,OFFSET(DATA!$C$14,$AS558,0)=BE$6),$AV558,dNULL)</f>
        <v>-99</v>
      </c>
      <c r="BF558">
        <f ca="1">IF(AND($AT558&lt;3,OFFSET(DATA!$C$14,$AS558,0)=BF$6),$AV558,dNULL)</f>
        <v>-99</v>
      </c>
      <c r="BG558">
        <f ca="1">IF(AND($AT558&lt;3,OFFSET(DATA!$C$14,$AS558,0)=BG$6),$AV558,dNULL)</f>
        <v>-99</v>
      </c>
      <c r="BH558">
        <f ca="1">IF(AND($AT558&lt;3,OFFSET(DATA!$C$14,$AS558,0)=BH$6),$AV558,dNULL)</f>
        <v>-99</v>
      </c>
    </row>
    <row r="559" spans="45:60" x14ac:dyDescent="0.25">
      <c r="AS559">
        <f t="shared" si="120"/>
        <v>13</v>
      </c>
      <c r="AT559">
        <f t="shared" si="121"/>
        <v>6</v>
      </c>
      <c r="AU559">
        <f t="shared" ca="1" si="122"/>
        <v>-99</v>
      </c>
      <c r="AV559">
        <f t="shared" ca="1" si="123"/>
        <v>-99</v>
      </c>
      <c r="AW559">
        <f ca="1">IF(AND($AT559&lt;3,OFFSET(DATA!$C$14,$AS559,0)=AW$6),$AV559,dNULL)</f>
        <v>-99</v>
      </c>
      <c r="AX559">
        <f ca="1">IF(AND($AT559&lt;3,OFFSET(DATA!$C$14,$AS559,0)=AX$6),$AV559,dNULL)</f>
        <v>-99</v>
      </c>
      <c r="AY559">
        <f ca="1">IF(AND($AT559&lt;3,OFFSET(DATA!$C$14,$AS559,0)=AY$6),$AV559,dNULL)</f>
        <v>-99</v>
      </c>
      <c r="AZ559">
        <f ca="1">IF(AND($AT559&lt;3,OFFSET(DATA!$C$14,$AS559,0)=AZ$6),$AV559,dNULL)</f>
        <v>-99</v>
      </c>
      <c r="BA559">
        <f ca="1">IF(AND($AT559&lt;3,OFFSET(DATA!$C$14,$AS559,0)=BA$6),$AV559,dNULL)</f>
        <v>-99</v>
      </c>
      <c r="BB559">
        <f ca="1">IF(AND($AT559&lt;3,OFFSET(DATA!$C$14,$AS559,0)=BB$6),$AV559,dNULL)</f>
        <v>-99</v>
      </c>
      <c r="BC559">
        <f ca="1">IF(AND($AT559&lt;3,OFFSET(DATA!$C$14,$AS559,0)=BC$6),$AV559,dNULL)</f>
        <v>-99</v>
      </c>
      <c r="BD559">
        <f ca="1">IF(AND($AT559&lt;3,OFFSET(DATA!$C$14,$AS559,0)=BD$6),$AV559,dNULL)</f>
        <v>-99</v>
      </c>
      <c r="BE559">
        <f ca="1">IF(AND($AT559&lt;3,OFFSET(DATA!$C$14,$AS559,0)=BE$6),$AV559,dNULL)</f>
        <v>-99</v>
      </c>
      <c r="BF559">
        <f ca="1">IF(AND($AT559&lt;3,OFFSET(DATA!$C$14,$AS559,0)=BF$6),$AV559,dNULL)</f>
        <v>-99</v>
      </c>
      <c r="BG559">
        <f ca="1">IF(AND($AT559&lt;3,OFFSET(DATA!$C$14,$AS559,0)=BG$6),$AV559,dNULL)</f>
        <v>-99</v>
      </c>
      <c r="BH559">
        <f ca="1">IF(AND($AT559&lt;3,OFFSET(DATA!$C$14,$AS559,0)=BH$6),$AV559,dNULL)</f>
        <v>-99</v>
      </c>
    </row>
    <row r="560" spans="45:60" x14ac:dyDescent="0.25">
      <c r="AS560">
        <f t="shared" si="120"/>
        <v>14</v>
      </c>
      <c r="AT560">
        <f t="shared" si="121"/>
        <v>6</v>
      </c>
      <c r="AU560">
        <f t="shared" ca="1" si="122"/>
        <v>-99</v>
      </c>
      <c r="AV560">
        <f t="shared" ca="1" si="123"/>
        <v>-99</v>
      </c>
      <c r="AW560">
        <f ca="1">IF(AND($AT560&lt;3,OFFSET(DATA!$C$14,$AS560,0)=AW$6),$AV560,dNULL)</f>
        <v>-99</v>
      </c>
      <c r="AX560">
        <f ca="1">IF(AND($AT560&lt;3,OFFSET(DATA!$C$14,$AS560,0)=AX$6),$AV560,dNULL)</f>
        <v>-99</v>
      </c>
      <c r="AY560">
        <f ca="1">IF(AND($AT560&lt;3,OFFSET(DATA!$C$14,$AS560,0)=AY$6),$AV560,dNULL)</f>
        <v>-99</v>
      </c>
      <c r="AZ560">
        <f ca="1">IF(AND($AT560&lt;3,OFFSET(DATA!$C$14,$AS560,0)=AZ$6),$AV560,dNULL)</f>
        <v>-99</v>
      </c>
      <c r="BA560">
        <f ca="1">IF(AND($AT560&lt;3,OFFSET(DATA!$C$14,$AS560,0)=BA$6),$AV560,dNULL)</f>
        <v>-99</v>
      </c>
      <c r="BB560">
        <f ca="1">IF(AND($AT560&lt;3,OFFSET(DATA!$C$14,$AS560,0)=BB$6),$AV560,dNULL)</f>
        <v>-99</v>
      </c>
      <c r="BC560">
        <f ca="1">IF(AND($AT560&lt;3,OFFSET(DATA!$C$14,$AS560,0)=BC$6),$AV560,dNULL)</f>
        <v>-99</v>
      </c>
      <c r="BD560">
        <f ca="1">IF(AND($AT560&lt;3,OFFSET(DATA!$C$14,$AS560,0)=BD$6),$AV560,dNULL)</f>
        <v>-99</v>
      </c>
      <c r="BE560">
        <f ca="1">IF(AND($AT560&lt;3,OFFSET(DATA!$C$14,$AS560,0)=BE$6),$AV560,dNULL)</f>
        <v>-99</v>
      </c>
      <c r="BF560">
        <f ca="1">IF(AND($AT560&lt;3,OFFSET(DATA!$C$14,$AS560,0)=BF$6),$AV560,dNULL)</f>
        <v>-99</v>
      </c>
      <c r="BG560">
        <f ca="1">IF(AND($AT560&lt;3,OFFSET(DATA!$C$14,$AS560,0)=BG$6),$AV560,dNULL)</f>
        <v>-99</v>
      </c>
      <c r="BH560">
        <f ca="1">IF(AND($AT560&lt;3,OFFSET(DATA!$C$14,$AS560,0)=BH$6),$AV560,dNULL)</f>
        <v>-99</v>
      </c>
    </row>
    <row r="561" spans="45:60" x14ac:dyDescent="0.25">
      <c r="AS561">
        <f t="shared" si="120"/>
        <v>15</v>
      </c>
      <c r="AT561">
        <f t="shared" si="121"/>
        <v>6</v>
      </c>
      <c r="AU561">
        <f t="shared" ca="1" si="122"/>
        <v>-99</v>
      </c>
      <c r="AV561">
        <f t="shared" ca="1" si="123"/>
        <v>-99</v>
      </c>
      <c r="AW561">
        <f ca="1">IF(AND($AT561&lt;3,OFFSET(DATA!$C$14,$AS561,0)=AW$6),$AV561,dNULL)</f>
        <v>-99</v>
      </c>
      <c r="AX561">
        <f ca="1">IF(AND($AT561&lt;3,OFFSET(DATA!$C$14,$AS561,0)=AX$6),$AV561,dNULL)</f>
        <v>-99</v>
      </c>
      <c r="AY561">
        <f ca="1">IF(AND($AT561&lt;3,OFFSET(DATA!$C$14,$AS561,0)=AY$6),$AV561,dNULL)</f>
        <v>-99</v>
      </c>
      <c r="AZ561">
        <f ca="1">IF(AND($AT561&lt;3,OFFSET(DATA!$C$14,$AS561,0)=AZ$6),$AV561,dNULL)</f>
        <v>-99</v>
      </c>
      <c r="BA561">
        <f ca="1">IF(AND($AT561&lt;3,OFFSET(DATA!$C$14,$AS561,0)=BA$6),$AV561,dNULL)</f>
        <v>-99</v>
      </c>
      <c r="BB561">
        <f ca="1">IF(AND($AT561&lt;3,OFFSET(DATA!$C$14,$AS561,0)=BB$6),$AV561,dNULL)</f>
        <v>-99</v>
      </c>
      <c r="BC561">
        <f ca="1">IF(AND($AT561&lt;3,OFFSET(DATA!$C$14,$AS561,0)=BC$6),$AV561,dNULL)</f>
        <v>-99</v>
      </c>
      <c r="BD561">
        <f ca="1">IF(AND($AT561&lt;3,OFFSET(DATA!$C$14,$AS561,0)=BD$6),$AV561,dNULL)</f>
        <v>-99</v>
      </c>
      <c r="BE561">
        <f ca="1">IF(AND($AT561&lt;3,OFFSET(DATA!$C$14,$AS561,0)=BE$6),$AV561,dNULL)</f>
        <v>-99</v>
      </c>
      <c r="BF561">
        <f ca="1">IF(AND($AT561&lt;3,OFFSET(DATA!$C$14,$AS561,0)=BF$6),$AV561,dNULL)</f>
        <v>-99</v>
      </c>
      <c r="BG561">
        <f ca="1">IF(AND($AT561&lt;3,OFFSET(DATA!$C$14,$AS561,0)=BG$6),$AV561,dNULL)</f>
        <v>-99</v>
      </c>
      <c r="BH561">
        <f ca="1">IF(AND($AT561&lt;3,OFFSET(DATA!$C$14,$AS561,0)=BH$6),$AV561,dNULL)</f>
        <v>-99</v>
      </c>
    </row>
    <row r="562" spans="45:60" x14ac:dyDescent="0.25">
      <c r="AS562">
        <f t="shared" si="120"/>
        <v>16</v>
      </c>
      <c r="AT562">
        <f t="shared" si="121"/>
        <v>6</v>
      </c>
      <c r="AU562">
        <f t="shared" ca="1" si="122"/>
        <v>-99</v>
      </c>
      <c r="AV562">
        <f t="shared" ca="1" si="123"/>
        <v>-99</v>
      </c>
      <c r="AW562">
        <f ca="1">IF(AND($AT562&lt;3,OFFSET(DATA!$C$14,$AS562,0)=AW$6),$AV562,dNULL)</f>
        <v>-99</v>
      </c>
      <c r="AX562">
        <f ca="1">IF(AND($AT562&lt;3,OFFSET(DATA!$C$14,$AS562,0)=AX$6),$AV562,dNULL)</f>
        <v>-99</v>
      </c>
      <c r="AY562">
        <f ca="1">IF(AND($AT562&lt;3,OFFSET(DATA!$C$14,$AS562,0)=AY$6),$AV562,dNULL)</f>
        <v>-99</v>
      </c>
      <c r="AZ562">
        <f ca="1">IF(AND($AT562&lt;3,OFFSET(DATA!$C$14,$AS562,0)=AZ$6),$AV562,dNULL)</f>
        <v>-99</v>
      </c>
      <c r="BA562">
        <f ca="1">IF(AND($AT562&lt;3,OFFSET(DATA!$C$14,$AS562,0)=BA$6),$AV562,dNULL)</f>
        <v>-99</v>
      </c>
      <c r="BB562">
        <f ca="1">IF(AND($AT562&lt;3,OFFSET(DATA!$C$14,$AS562,0)=BB$6),$AV562,dNULL)</f>
        <v>-99</v>
      </c>
      <c r="BC562">
        <f ca="1">IF(AND($AT562&lt;3,OFFSET(DATA!$C$14,$AS562,0)=BC$6),$AV562,dNULL)</f>
        <v>-99</v>
      </c>
      <c r="BD562">
        <f ca="1">IF(AND($AT562&lt;3,OFFSET(DATA!$C$14,$AS562,0)=BD$6),$AV562,dNULL)</f>
        <v>-99</v>
      </c>
      <c r="BE562">
        <f ca="1">IF(AND($AT562&lt;3,OFFSET(DATA!$C$14,$AS562,0)=BE$6),$AV562,dNULL)</f>
        <v>-99</v>
      </c>
      <c r="BF562">
        <f ca="1">IF(AND($AT562&lt;3,OFFSET(DATA!$C$14,$AS562,0)=BF$6),$AV562,dNULL)</f>
        <v>-99</v>
      </c>
      <c r="BG562">
        <f ca="1">IF(AND($AT562&lt;3,OFFSET(DATA!$C$14,$AS562,0)=BG$6),$AV562,dNULL)</f>
        <v>-99</v>
      </c>
      <c r="BH562">
        <f ca="1">IF(AND($AT562&lt;3,OFFSET(DATA!$C$14,$AS562,0)=BH$6),$AV562,dNULL)</f>
        <v>-99</v>
      </c>
    </row>
    <row r="563" spans="45:60" x14ac:dyDescent="0.25">
      <c r="AS563">
        <f t="shared" si="120"/>
        <v>17</v>
      </c>
      <c r="AT563">
        <f t="shared" si="121"/>
        <v>6</v>
      </c>
      <c r="AU563">
        <f t="shared" ca="1" si="122"/>
        <v>-99</v>
      </c>
      <c r="AV563">
        <f t="shared" ca="1" si="123"/>
        <v>-99</v>
      </c>
      <c r="AW563">
        <f ca="1">IF(AND($AT563&lt;3,OFFSET(DATA!$C$14,$AS563,0)=AW$6),$AV563,dNULL)</f>
        <v>-99</v>
      </c>
      <c r="AX563">
        <f ca="1">IF(AND($AT563&lt;3,OFFSET(DATA!$C$14,$AS563,0)=AX$6),$AV563,dNULL)</f>
        <v>-99</v>
      </c>
      <c r="AY563">
        <f ca="1">IF(AND($AT563&lt;3,OFFSET(DATA!$C$14,$AS563,0)=AY$6),$AV563,dNULL)</f>
        <v>-99</v>
      </c>
      <c r="AZ563">
        <f ca="1">IF(AND($AT563&lt;3,OFFSET(DATA!$C$14,$AS563,0)=AZ$6),$AV563,dNULL)</f>
        <v>-99</v>
      </c>
      <c r="BA563">
        <f ca="1">IF(AND($AT563&lt;3,OFFSET(DATA!$C$14,$AS563,0)=BA$6),$AV563,dNULL)</f>
        <v>-99</v>
      </c>
      <c r="BB563">
        <f ca="1">IF(AND($AT563&lt;3,OFFSET(DATA!$C$14,$AS563,0)=BB$6),$AV563,dNULL)</f>
        <v>-99</v>
      </c>
      <c r="BC563">
        <f ca="1">IF(AND($AT563&lt;3,OFFSET(DATA!$C$14,$AS563,0)=BC$6),$AV563,dNULL)</f>
        <v>-99</v>
      </c>
      <c r="BD563">
        <f ca="1">IF(AND($AT563&lt;3,OFFSET(DATA!$C$14,$AS563,0)=BD$6),$AV563,dNULL)</f>
        <v>-99</v>
      </c>
      <c r="BE563">
        <f ca="1">IF(AND($AT563&lt;3,OFFSET(DATA!$C$14,$AS563,0)=BE$6),$AV563,dNULL)</f>
        <v>-99</v>
      </c>
      <c r="BF563">
        <f ca="1">IF(AND($AT563&lt;3,OFFSET(DATA!$C$14,$AS563,0)=BF$6),$AV563,dNULL)</f>
        <v>-99</v>
      </c>
      <c r="BG563">
        <f ca="1">IF(AND($AT563&lt;3,OFFSET(DATA!$C$14,$AS563,0)=BG$6),$AV563,dNULL)</f>
        <v>-99</v>
      </c>
      <c r="BH563">
        <f ca="1">IF(AND($AT563&lt;3,OFFSET(DATA!$C$14,$AS563,0)=BH$6),$AV563,dNULL)</f>
        <v>-99</v>
      </c>
    </row>
    <row r="564" spans="45:60" x14ac:dyDescent="0.25">
      <c r="AS564">
        <f t="shared" si="120"/>
        <v>18</v>
      </c>
      <c r="AT564">
        <f t="shared" si="121"/>
        <v>6</v>
      </c>
      <c r="AU564">
        <f t="shared" ca="1" si="122"/>
        <v>-99</v>
      </c>
      <c r="AV564">
        <f t="shared" ca="1" si="123"/>
        <v>-99</v>
      </c>
      <c r="AW564">
        <f ca="1">IF(AND($AT564&lt;3,OFFSET(DATA!$C$14,$AS564,0)=AW$6),$AV564,dNULL)</f>
        <v>-99</v>
      </c>
      <c r="AX564">
        <f ca="1">IF(AND($AT564&lt;3,OFFSET(DATA!$C$14,$AS564,0)=AX$6),$AV564,dNULL)</f>
        <v>-99</v>
      </c>
      <c r="AY564">
        <f ca="1">IF(AND($AT564&lt;3,OFFSET(DATA!$C$14,$AS564,0)=AY$6),$AV564,dNULL)</f>
        <v>-99</v>
      </c>
      <c r="AZ564">
        <f ca="1">IF(AND($AT564&lt;3,OFFSET(DATA!$C$14,$AS564,0)=AZ$6),$AV564,dNULL)</f>
        <v>-99</v>
      </c>
      <c r="BA564">
        <f ca="1">IF(AND($AT564&lt;3,OFFSET(DATA!$C$14,$AS564,0)=BA$6),$AV564,dNULL)</f>
        <v>-99</v>
      </c>
      <c r="BB564">
        <f ca="1">IF(AND($AT564&lt;3,OFFSET(DATA!$C$14,$AS564,0)=BB$6),$AV564,dNULL)</f>
        <v>-99</v>
      </c>
      <c r="BC564">
        <f ca="1">IF(AND($AT564&lt;3,OFFSET(DATA!$C$14,$AS564,0)=BC$6),$AV564,dNULL)</f>
        <v>-99</v>
      </c>
      <c r="BD564">
        <f ca="1">IF(AND($AT564&lt;3,OFFSET(DATA!$C$14,$AS564,0)=BD$6),$AV564,dNULL)</f>
        <v>-99</v>
      </c>
      <c r="BE564">
        <f ca="1">IF(AND($AT564&lt;3,OFFSET(DATA!$C$14,$AS564,0)=BE$6),$AV564,dNULL)</f>
        <v>-99</v>
      </c>
      <c r="BF564">
        <f ca="1">IF(AND($AT564&lt;3,OFFSET(DATA!$C$14,$AS564,0)=BF$6),$AV564,dNULL)</f>
        <v>-99</v>
      </c>
      <c r="BG564">
        <f ca="1">IF(AND($AT564&lt;3,OFFSET(DATA!$C$14,$AS564,0)=BG$6),$AV564,dNULL)</f>
        <v>-99</v>
      </c>
      <c r="BH564">
        <f ca="1">IF(AND($AT564&lt;3,OFFSET(DATA!$C$14,$AS564,0)=BH$6),$AV564,dNULL)</f>
        <v>-99</v>
      </c>
    </row>
    <row r="565" spans="45:60" x14ac:dyDescent="0.25">
      <c r="AS565">
        <f t="shared" si="120"/>
        <v>19</v>
      </c>
      <c r="AT565">
        <f t="shared" si="121"/>
        <v>6</v>
      </c>
      <c r="AU565">
        <f t="shared" ca="1" si="122"/>
        <v>-99</v>
      </c>
      <c r="AV565">
        <f t="shared" ca="1" si="123"/>
        <v>-99</v>
      </c>
      <c r="AW565">
        <f ca="1">IF(AND($AT565&lt;3,OFFSET(DATA!$C$14,$AS565,0)=AW$6),$AV565,dNULL)</f>
        <v>-99</v>
      </c>
      <c r="AX565">
        <f ca="1">IF(AND($AT565&lt;3,OFFSET(DATA!$C$14,$AS565,0)=AX$6),$AV565,dNULL)</f>
        <v>-99</v>
      </c>
      <c r="AY565">
        <f ca="1">IF(AND($AT565&lt;3,OFFSET(DATA!$C$14,$AS565,0)=AY$6),$AV565,dNULL)</f>
        <v>-99</v>
      </c>
      <c r="AZ565">
        <f ca="1">IF(AND($AT565&lt;3,OFFSET(DATA!$C$14,$AS565,0)=AZ$6),$AV565,dNULL)</f>
        <v>-99</v>
      </c>
      <c r="BA565">
        <f ca="1">IF(AND($AT565&lt;3,OFFSET(DATA!$C$14,$AS565,0)=BA$6),$AV565,dNULL)</f>
        <v>-99</v>
      </c>
      <c r="BB565">
        <f ca="1">IF(AND($AT565&lt;3,OFFSET(DATA!$C$14,$AS565,0)=BB$6),$AV565,dNULL)</f>
        <v>-99</v>
      </c>
      <c r="BC565">
        <f ca="1">IF(AND($AT565&lt;3,OFFSET(DATA!$C$14,$AS565,0)=BC$6),$AV565,dNULL)</f>
        <v>-99</v>
      </c>
      <c r="BD565">
        <f ca="1">IF(AND($AT565&lt;3,OFFSET(DATA!$C$14,$AS565,0)=BD$6),$AV565,dNULL)</f>
        <v>-99</v>
      </c>
      <c r="BE565">
        <f ca="1">IF(AND($AT565&lt;3,OFFSET(DATA!$C$14,$AS565,0)=BE$6),$AV565,dNULL)</f>
        <v>-99</v>
      </c>
      <c r="BF565">
        <f ca="1">IF(AND($AT565&lt;3,OFFSET(DATA!$C$14,$AS565,0)=BF$6),$AV565,dNULL)</f>
        <v>-99</v>
      </c>
      <c r="BG565">
        <f ca="1">IF(AND($AT565&lt;3,OFFSET(DATA!$C$14,$AS565,0)=BG$6),$AV565,dNULL)</f>
        <v>-99</v>
      </c>
      <c r="BH565">
        <f ca="1">IF(AND($AT565&lt;3,OFFSET(DATA!$C$14,$AS565,0)=BH$6),$AV565,dNULL)</f>
        <v>-99</v>
      </c>
    </row>
    <row r="566" spans="45:60" x14ac:dyDescent="0.25">
      <c r="AS566">
        <f t="shared" si="120"/>
        <v>20</v>
      </c>
      <c r="AT566">
        <f t="shared" si="121"/>
        <v>6</v>
      </c>
      <c r="AU566">
        <f t="shared" ca="1" si="122"/>
        <v>-99</v>
      </c>
      <c r="AV566">
        <f t="shared" ca="1" si="123"/>
        <v>-99</v>
      </c>
      <c r="AW566">
        <f ca="1">IF(AND($AT566&lt;3,OFFSET(DATA!$C$14,$AS566,0)=AW$6),$AV566,dNULL)</f>
        <v>-99</v>
      </c>
      <c r="AX566">
        <f ca="1">IF(AND($AT566&lt;3,OFFSET(DATA!$C$14,$AS566,0)=AX$6),$AV566,dNULL)</f>
        <v>-99</v>
      </c>
      <c r="AY566">
        <f ca="1">IF(AND($AT566&lt;3,OFFSET(DATA!$C$14,$AS566,0)=AY$6),$AV566,dNULL)</f>
        <v>-99</v>
      </c>
      <c r="AZ566">
        <f ca="1">IF(AND($AT566&lt;3,OFFSET(DATA!$C$14,$AS566,0)=AZ$6),$AV566,dNULL)</f>
        <v>-99</v>
      </c>
      <c r="BA566">
        <f ca="1">IF(AND($AT566&lt;3,OFFSET(DATA!$C$14,$AS566,0)=BA$6),$AV566,dNULL)</f>
        <v>-99</v>
      </c>
      <c r="BB566">
        <f ca="1">IF(AND($AT566&lt;3,OFFSET(DATA!$C$14,$AS566,0)=BB$6),$AV566,dNULL)</f>
        <v>-99</v>
      </c>
      <c r="BC566">
        <f ca="1">IF(AND($AT566&lt;3,OFFSET(DATA!$C$14,$AS566,0)=BC$6),$AV566,dNULL)</f>
        <v>-99</v>
      </c>
      <c r="BD566">
        <f ca="1">IF(AND($AT566&lt;3,OFFSET(DATA!$C$14,$AS566,0)=BD$6),$AV566,dNULL)</f>
        <v>-99</v>
      </c>
      <c r="BE566">
        <f ca="1">IF(AND($AT566&lt;3,OFFSET(DATA!$C$14,$AS566,0)=BE$6),$AV566,dNULL)</f>
        <v>-99</v>
      </c>
      <c r="BF566">
        <f ca="1">IF(AND($AT566&lt;3,OFFSET(DATA!$C$14,$AS566,0)=BF$6),$AV566,dNULL)</f>
        <v>-99</v>
      </c>
      <c r="BG566">
        <f ca="1">IF(AND($AT566&lt;3,OFFSET(DATA!$C$14,$AS566,0)=BG$6),$AV566,dNULL)</f>
        <v>-99</v>
      </c>
      <c r="BH566">
        <f ca="1">IF(AND($AT566&lt;3,OFFSET(DATA!$C$14,$AS566,0)=BH$6),$AV566,dNULL)</f>
        <v>-99</v>
      </c>
    </row>
    <row r="567" spans="45:60" x14ac:dyDescent="0.25">
      <c r="AS567">
        <f t="shared" si="120"/>
        <v>21</v>
      </c>
      <c r="AT567">
        <f t="shared" si="121"/>
        <v>6</v>
      </c>
      <c r="AU567">
        <f t="shared" ca="1" si="122"/>
        <v>-99</v>
      </c>
      <c r="AV567">
        <f t="shared" ca="1" si="123"/>
        <v>-99</v>
      </c>
      <c r="AW567">
        <f ca="1">IF(AND($AT567&lt;3,OFFSET(DATA!$C$14,$AS567,0)=AW$6),$AV567,dNULL)</f>
        <v>-99</v>
      </c>
      <c r="AX567">
        <f ca="1">IF(AND($AT567&lt;3,OFFSET(DATA!$C$14,$AS567,0)=AX$6),$AV567,dNULL)</f>
        <v>-99</v>
      </c>
      <c r="AY567">
        <f ca="1">IF(AND($AT567&lt;3,OFFSET(DATA!$C$14,$AS567,0)=AY$6),$AV567,dNULL)</f>
        <v>-99</v>
      </c>
      <c r="AZ567">
        <f ca="1">IF(AND($AT567&lt;3,OFFSET(DATA!$C$14,$AS567,0)=AZ$6),$AV567,dNULL)</f>
        <v>-99</v>
      </c>
      <c r="BA567">
        <f ca="1">IF(AND($AT567&lt;3,OFFSET(DATA!$C$14,$AS567,0)=BA$6),$AV567,dNULL)</f>
        <v>-99</v>
      </c>
      <c r="BB567">
        <f ca="1">IF(AND($AT567&lt;3,OFFSET(DATA!$C$14,$AS567,0)=BB$6),$AV567,dNULL)</f>
        <v>-99</v>
      </c>
      <c r="BC567">
        <f ca="1">IF(AND($AT567&lt;3,OFFSET(DATA!$C$14,$AS567,0)=BC$6),$AV567,dNULL)</f>
        <v>-99</v>
      </c>
      <c r="BD567">
        <f ca="1">IF(AND($AT567&lt;3,OFFSET(DATA!$C$14,$AS567,0)=BD$6),$AV567,dNULL)</f>
        <v>-99</v>
      </c>
      <c r="BE567">
        <f ca="1">IF(AND($AT567&lt;3,OFFSET(DATA!$C$14,$AS567,0)=BE$6),$AV567,dNULL)</f>
        <v>-99</v>
      </c>
      <c r="BF567">
        <f ca="1">IF(AND($AT567&lt;3,OFFSET(DATA!$C$14,$AS567,0)=BF$6),$AV567,dNULL)</f>
        <v>-99</v>
      </c>
      <c r="BG567">
        <f ca="1">IF(AND($AT567&lt;3,OFFSET(DATA!$C$14,$AS567,0)=BG$6),$AV567,dNULL)</f>
        <v>-99</v>
      </c>
      <c r="BH567">
        <f ca="1">IF(AND($AT567&lt;3,OFFSET(DATA!$C$14,$AS567,0)=BH$6),$AV567,dNULL)</f>
        <v>-99</v>
      </c>
    </row>
    <row r="568" spans="45:60" x14ac:dyDescent="0.25">
      <c r="AS568">
        <f t="shared" si="120"/>
        <v>22</v>
      </c>
      <c r="AT568">
        <f t="shared" si="121"/>
        <v>6</v>
      </c>
      <c r="AU568">
        <f t="shared" ca="1" si="122"/>
        <v>-99</v>
      </c>
      <c r="AV568">
        <f t="shared" ca="1" si="123"/>
        <v>-99</v>
      </c>
      <c r="AW568">
        <f ca="1">IF(AND($AT568&lt;3,OFFSET(DATA!$C$14,$AS568,0)=AW$6),$AV568,dNULL)</f>
        <v>-99</v>
      </c>
      <c r="AX568">
        <f ca="1">IF(AND($AT568&lt;3,OFFSET(DATA!$C$14,$AS568,0)=AX$6),$AV568,dNULL)</f>
        <v>-99</v>
      </c>
      <c r="AY568">
        <f ca="1">IF(AND($AT568&lt;3,OFFSET(DATA!$C$14,$AS568,0)=AY$6),$AV568,dNULL)</f>
        <v>-99</v>
      </c>
      <c r="AZ568">
        <f ca="1">IF(AND($AT568&lt;3,OFFSET(DATA!$C$14,$AS568,0)=AZ$6),$AV568,dNULL)</f>
        <v>-99</v>
      </c>
      <c r="BA568">
        <f ca="1">IF(AND($AT568&lt;3,OFFSET(DATA!$C$14,$AS568,0)=BA$6),$AV568,dNULL)</f>
        <v>-99</v>
      </c>
      <c r="BB568">
        <f ca="1">IF(AND($AT568&lt;3,OFFSET(DATA!$C$14,$AS568,0)=BB$6),$AV568,dNULL)</f>
        <v>-99</v>
      </c>
      <c r="BC568">
        <f ca="1">IF(AND($AT568&lt;3,OFFSET(DATA!$C$14,$AS568,0)=BC$6),$AV568,dNULL)</f>
        <v>-99</v>
      </c>
      <c r="BD568">
        <f ca="1">IF(AND($AT568&lt;3,OFFSET(DATA!$C$14,$AS568,0)=BD$6),$AV568,dNULL)</f>
        <v>-99</v>
      </c>
      <c r="BE568">
        <f ca="1">IF(AND($AT568&lt;3,OFFSET(DATA!$C$14,$AS568,0)=BE$6),$AV568,dNULL)</f>
        <v>-99</v>
      </c>
      <c r="BF568">
        <f ca="1">IF(AND($AT568&lt;3,OFFSET(DATA!$C$14,$AS568,0)=BF$6),$AV568,dNULL)</f>
        <v>-99</v>
      </c>
      <c r="BG568">
        <f ca="1">IF(AND($AT568&lt;3,OFFSET(DATA!$C$14,$AS568,0)=BG$6),$AV568,dNULL)</f>
        <v>-99</v>
      </c>
      <c r="BH568">
        <f ca="1">IF(AND($AT568&lt;3,OFFSET(DATA!$C$14,$AS568,0)=BH$6),$AV568,dNULL)</f>
        <v>-99</v>
      </c>
    </row>
    <row r="569" spans="45:60" x14ac:dyDescent="0.25">
      <c r="AS569">
        <f t="shared" si="120"/>
        <v>23</v>
      </c>
      <c r="AT569">
        <f t="shared" si="121"/>
        <v>6</v>
      </c>
      <c r="AU569">
        <f t="shared" ca="1" si="122"/>
        <v>-99</v>
      </c>
      <c r="AV569">
        <f t="shared" ca="1" si="123"/>
        <v>-99</v>
      </c>
      <c r="AW569">
        <f ca="1">IF(AND($AT569&lt;3,OFFSET(DATA!$C$14,$AS569,0)=AW$6),$AV569,dNULL)</f>
        <v>-99</v>
      </c>
      <c r="AX569">
        <f ca="1">IF(AND($AT569&lt;3,OFFSET(DATA!$C$14,$AS569,0)=AX$6),$AV569,dNULL)</f>
        <v>-99</v>
      </c>
      <c r="AY569">
        <f ca="1">IF(AND($AT569&lt;3,OFFSET(DATA!$C$14,$AS569,0)=AY$6),$AV569,dNULL)</f>
        <v>-99</v>
      </c>
      <c r="AZ569">
        <f ca="1">IF(AND($AT569&lt;3,OFFSET(DATA!$C$14,$AS569,0)=AZ$6),$AV569,dNULL)</f>
        <v>-99</v>
      </c>
      <c r="BA569">
        <f ca="1">IF(AND($AT569&lt;3,OFFSET(DATA!$C$14,$AS569,0)=BA$6),$AV569,dNULL)</f>
        <v>-99</v>
      </c>
      <c r="BB569">
        <f ca="1">IF(AND($AT569&lt;3,OFFSET(DATA!$C$14,$AS569,0)=BB$6),$AV569,dNULL)</f>
        <v>-99</v>
      </c>
      <c r="BC569">
        <f ca="1">IF(AND($AT569&lt;3,OFFSET(DATA!$C$14,$AS569,0)=BC$6),$AV569,dNULL)</f>
        <v>-99</v>
      </c>
      <c r="BD569">
        <f ca="1">IF(AND($AT569&lt;3,OFFSET(DATA!$C$14,$AS569,0)=BD$6),$AV569,dNULL)</f>
        <v>-99</v>
      </c>
      <c r="BE569">
        <f ca="1">IF(AND($AT569&lt;3,OFFSET(DATA!$C$14,$AS569,0)=BE$6),$AV569,dNULL)</f>
        <v>-99</v>
      </c>
      <c r="BF569">
        <f ca="1">IF(AND($AT569&lt;3,OFFSET(DATA!$C$14,$AS569,0)=BF$6),$AV569,dNULL)</f>
        <v>-99</v>
      </c>
      <c r="BG569">
        <f ca="1">IF(AND($AT569&lt;3,OFFSET(DATA!$C$14,$AS569,0)=BG$6),$AV569,dNULL)</f>
        <v>-99</v>
      </c>
      <c r="BH569">
        <f ca="1">IF(AND($AT569&lt;3,OFFSET(DATA!$C$14,$AS569,0)=BH$6),$AV569,dNULL)</f>
        <v>-99</v>
      </c>
    </row>
    <row r="570" spans="45:60" x14ac:dyDescent="0.25">
      <c r="AS570">
        <f t="shared" si="120"/>
        <v>24</v>
      </c>
      <c r="AT570">
        <f t="shared" si="121"/>
        <v>6</v>
      </c>
      <c r="AU570">
        <f t="shared" ca="1" si="122"/>
        <v>-99</v>
      </c>
      <c r="AV570">
        <f t="shared" ca="1" si="123"/>
        <v>-99</v>
      </c>
      <c r="AW570">
        <f ca="1">IF(AND($AT570&lt;3,OFFSET(DATA!$C$14,$AS570,0)=AW$6),$AV570,dNULL)</f>
        <v>-99</v>
      </c>
      <c r="AX570">
        <f ca="1">IF(AND($AT570&lt;3,OFFSET(DATA!$C$14,$AS570,0)=AX$6),$AV570,dNULL)</f>
        <v>-99</v>
      </c>
      <c r="AY570">
        <f ca="1">IF(AND($AT570&lt;3,OFFSET(DATA!$C$14,$AS570,0)=AY$6),$AV570,dNULL)</f>
        <v>-99</v>
      </c>
      <c r="AZ570">
        <f ca="1">IF(AND($AT570&lt;3,OFFSET(DATA!$C$14,$AS570,0)=AZ$6),$AV570,dNULL)</f>
        <v>-99</v>
      </c>
      <c r="BA570">
        <f ca="1">IF(AND($AT570&lt;3,OFFSET(DATA!$C$14,$AS570,0)=BA$6),$AV570,dNULL)</f>
        <v>-99</v>
      </c>
      <c r="BB570">
        <f ca="1">IF(AND($AT570&lt;3,OFFSET(DATA!$C$14,$AS570,0)=BB$6),$AV570,dNULL)</f>
        <v>-99</v>
      </c>
      <c r="BC570">
        <f ca="1">IF(AND($AT570&lt;3,OFFSET(DATA!$C$14,$AS570,0)=BC$6),$AV570,dNULL)</f>
        <v>-99</v>
      </c>
      <c r="BD570">
        <f ca="1">IF(AND($AT570&lt;3,OFFSET(DATA!$C$14,$AS570,0)=BD$6),$AV570,dNULL)</f>
        <v>-99</v>
      </c>
      <c r="BE570">
        <f ca="1">IF(AND($AT570&lt;3,OFFSET(DATA!$C$14,$AS570,0)=BE$6),$AV570,dNULL)</f>
        <v>-99</v>
      </c>
      <c r="BF570">
        <f ca="1">IF(AND($AT570&lt;3,OFFSET(DATA!$C$14,$AS570,0)=BF$6),$AV570,dNULL)</f>
        <v>-99</v>
      </c>
      <c r="BG570">
        <f ca="1">IF(AND($AT570&lt;3,OFFSET(DATA!$C$14,$AS570,0)=BG$6),$AV570,dNULL)</f>
        <v>-99</v>
      </c>
      <c r="BH570">
        <f ca="1">IF(AND($AT570&lt;3,OFFSET(DATA!$C$14,$AS570,0)=BH$6),$AV570,dNULL)</f>
        <v>-99</v>
      </c>
    </row>
    <row r="571" spans="45:60" x14ac:dyDescent="0.25">
      <c r="AS571">
        <f t="shared" si="120"/>
        <v>25</v>
      </c>
      <c r="AT571">
        <f t="shared" si="121"/>
        <v>6</v>
      </c>
      <c r="AU571">
        <f t="shared" ca="1" si="122"/>
        <v>-99</v>
      </c>
      <c r="AV571">
        <f t="shared" ca="1" si="123"/>
        <v>-99</v>
      </c>
      <c r="AW571">
        <f ca="1">IF(AND($AT571&lt;3,OFFSET(DATA!$C$14,$AS571,0)=AW$6),$AV571,dNULL)</f>
        <v>-99</v>
      </c>
      <c r="AX571">
        <f ca="1">IF(AND($AT571&lt;3,OFFSET(DATA!$C$14,$AS571,0)=AX$6),$AV571,dNULL)</f>
        <v>-99</v>
      </c>
      <c r="AY571">
        <f ca="1">IF(AND($AT571&lt;3,OFFSET(DATA!$C$14,$AS571,0)=AY$6),$AV571,dNULL)</f>
        <v>-99</v>
      </c>
      <c r="AZ571">
        <f ca="1">IF(AND($AT571&lt;3,OFFSET(DATA!$C$14,$AS571,0)=AZ$6),$AV571,dNULL)</f>
        <v>-99</v>
      </c>
      <c r="BA571">
        <f ca="1">IF(AND($AT571&lt;3,OFFSET(DATA!$C$14,$AS571,0)=BA$6),$AV571,dNULL)</f>
        <v>-99</v>
      </c>
      <c r="BB571">
        <f ca="1">IF(AND($AT571&lt;3,OFFSET(DATA!$C$14,$AS571,0)=BB$6),$AV571,dNULL)</f>
        <v>-99</v>
      </c>
      <c r="BC571">
        <f ca="1">IF(AND($AT571&lt;3,OFFSET(DATA!$C$14,$AS571,0)=BC$6),$AV571,dNULL)</f>
        <v>-99</v>
      </c>
      <c r="BD571">
        <f ca="1">IF(AND($AT571&lt;3,OFFSET(DATA!$C$14,$AS571,0)=BD$6),$AV571,dNULL)</f>
        <v>-99</v>
      </c>
      <c r="BE571">
        <f ca="1">IF(AND($AT571&lt;3,OFFSET(DATA!$C$14,$AS571,0)=BE$6),$AV571,dNULL)</f>
        <v>-99</v>
      </c>
      <c r="BF571">
        <f ca="1">IF(AND($AT571&lt;3,OFFSET(DATA!$C$14,$AS571,0)=BF$6),$AV571,dNULL)</f>
        <v>-99</v>
      </c>
      <c r="BG571">
        <f ca="1">IF(AND($AT571&lt;3,OFFSET(DATA!$C$14,$AS571,0)=BG$6),$AV571,dNULL)</f>
        <v>-99</v>
      </c>
      <c r="BH571">
        <f ca="1">IF(AND($AT571&lt;3,OFFSET(DATA!$C$14,$AS571,0)=BH$6),$AV571,dNULL)</f>
        <v>-99</v>
      </c>
    </row>
    <row r="572" spans="45:60" x14ac:dyDescent="0.25">
      <c r="AS572">
        <f t="shared" si="120"/>
        <v>26</v>
      </c>
      <c r="AT572">
        <f t="shared" si="121"/>
        <v>6</v>
      </c>
      <c r="AU572">
        <f t="shared" ca="1" si="122"/>
        <v>-99</v>
      </c>
      <c r="AV572">
        <f t="shared" ca="1" si="123"/>
        <v>-99</v>
      </c>
      <c r="AW572">
        <f ca="1">IF(AND($AT572&lt;3,OFFSET(DATA!$C$14,$AS572,0)=AW$6),$AV572,dNULL)</f>
        <v>-99</v>
      </c>
      <c r="AX572">
        <f ca="1">IF(AND($AT572&lt;3,OFFSET(DATA!$C$14,$AS572,0)=AX$6),$AV572,dNULL)</f>
        <v>-99</v>
      </c>
      <c r="AY572">
        <f ca="1">IF(AND($AT572&lt;3,OFFSET(DATA!$C$14,$AS572,0)=AY$6),$AV572,dNULL)</f>
        <v>-99</v>
      </c>
      <c r="AZ572">
        <f ca="1">IF(AND($AT572&lt;3,OFFSET(DATA!$C$14,$AS572,0)=AZ$6),$AV572,dNULL)</f>
        <v>-99</v>
      </c>
      <c r="BA572">
        <f ca="1">IF(AND($AT572&lt;3,OFFSET(DATA!$C$14,$AS572,0)=BA$6),$AV572,dNULL)</f>
        <v>-99</v>
      </c>
      <c r="BB572">
        <f ca="1">IF(AND($AT572&lt;3,OFFSET(DATA!$C$14,$AS572,0)=BB$6),$AV572,dNULL)</f>
        <v>-99</v>
      </c>
      <c r="BC572">
        <f ca="1">IF(AND($AT572&lt;3,OFFSET(DATA!$C$14,$AS572,0)=BC$6),$AV572,dNULL)</f>
        <v>-99</v>
      </c>
      <c r="BD572">
        <f ca="1">IF(AND($AT572&lt;3,OFFSET(DATA!$C$14,$AS572,0)=BD$6),$AV572,dNULL)</f>
        <v>-99</v>
      </c>
      <c r="BE572">
        <f ca="1">IF(AND($AT572&lt;3,OFFSET(DATA!$C$14,$AS572,0)=BE$6),$AV572,dNULL)</f>
        <v>-99</v>
      </c>
      <c r="BF572">
        <f ca="1">IF(AND($AT572&lt;3,OFFSET(DATA!$C$14,$AS572,0)=BF$6),$AV572,dNULL)</f>
        <v>-99</v>
      </c>
      <c r="BG572">
        <f ca="1">IF(AND($AT572&lt;3,OFFSET(DATA!$C$14,$AS572,0)=BG$6),$AV572,dNULL)</f>
        <v>-99</v>
      </c>
      <c r="BH572">
        <f ca="1">IF(AND($AT572&lt;3,OFFSET(DATA!$C$14,$AS572,0)=BH$6),$AV572,dNULL)</f>
        <v>-99</v>
      </c>
    </row>
    <row r="573" spans="45:60" x14ac:dyDescent="0.25">
      <c r="AS573">
        <f t="shared" si="120"/>
        <v>27</v>
      </c>
      <c r="AT573">
        <f t="shared" si="121"/>
        <v>6</v>
      </c>
      <c r="AU573">
        <f t="shared" ca="1" si="122"/>
        <v>-99</v>
      </c>
      <c r="AV573">
        <f t="shared" ca="1" si="123"/>
        <v>-99</v>
      </c>
      <c r="AW573">
        <f ca="1">IF(AND($AT573&lt;3,OFFSET(DATA!$C$14,$AS573,0)=AW$6),$AV573,dNULL)</f>
        <v>-99</v>
      </c>
      <c r="AX573">
        <f ca="1">IF(AND($AT573&lt;3,OFFSET(DATA!$C$14,$AS573,0)=AX$6),$AV573,dNULL)</f>
        <v>-99</v>
      </c>
      <c r="AY573">
        <f ca="1">IF(AND($AT573&lt;3,OFFSET(DATA!$C$14,$AS573,0)=AY$6),$AV573,dNULL)</f>
        <v>-99</v>
      </c>
      <c r="AZ573">
        <f ca="1">IF(AND($AT573&lt;3,OFFSET(DATA!$C$14,$AS573,0)=AZ$6),$AV573,dNULL)</f>
        <v>-99</v>
      </c>
      <c r="BA573">
        <f ca="1">IF(AND($AT573&lt;3,OFFSET(DATA!$C$14,$AS573,0)=BA$6),$AV573,dNULL)</f>
        <v>-99</v>
      </c>
      <c r="BB573">
        <f ca="1">IF(AND($AT573&lt;3,OFFSET(DATA!$C$14,$AS573,0)=BB$6),$AV573,dNULL)</f>
        <v>-99</v>
      </c>
      <c r="BC573">
        <f ca="1">IF(AND($AT573&lt;3,OFFSET(DATA!$C$14,$AS573,0)=BC$6),$AV573,dNULL)</f>
        <v>-99</v>
      </c>
      <c r="BD573">
        <f ca="1">IF(AND($AT573&lt;3,OFFSET(DATA!$C$14,$AS573,0)=BD$6),$AV573,dNULL)</f>
        <v>-99</v>
      </c>
      <c r="BE573">
        <f ca="1">IF(AND($AT573&lt;3,OFFSET(DATA!$C$14,$AS573,0)=BE$6),$AV573,dNULL)</f>
        <v>-99</v>
      </c>
      <c r="BF573">
        <f ca="1">IF(AND($AT573&lt;3,OFFSET(DATA!$C$14,$AS573,0)=BF$6),$AV573,dNULL)</f>
        <v>-99</v>
      </c>
      <c r="BG573">
        <f ca="1">IF(AND($AT573&lt;3,OFFSET(DATA!$C$14,$AS573,0)=BG$6),$AV573,dNULL)</f>
        <v>-99</v>
      </c>
      <c r="BH573">
        <f ca="1">IF(AND($AT573&lt;3,OFFSET(DATA!$C$14,$AS573,0)=BH$6),$AV573,dNULL)</f>
        <v>-99</v>
      </c>
    </row>
    <row r="574" spans="45:60" x14ac:dyDescent="0.25">
      <c r="AS574">
        <f t="shared" si="120"/>
        <v>28</v>
      </c>
      <c r="AT574">
        <f t="shared" si="121"/>
        <v>6</v>
      </c>
      <c r="AU574">
        <f t="shared" ca="1" si="122"/>
        <v>-99</v>
      </c>
      <c r="AV574">
        <f t="shared" ca="1" si="123"/>
        <v>-99</v>
      </c>
      <c r="AW574">
        <f ca="1">IF(AND($AT574&lt;3,OFFSET(DATA!$C$14,$AS574,0)=AW$6),$AV574,dNULL)</f>
        <v>-99</v>
      </c>
      <c r="AX574">
        <f ca="1">IF(AND($AT574&lt;3,OFFSET(DATA!$C$14,$AS574,0)=AX$6),$AV574,dNULL)</f>
        <v>-99</v>
      </c>
      <c r="AY574">
        <f ca="1">IF(AND($AT574&lt;3,OFFSET(DATA!$C$14,$AS574,0)=AY$6),$AV574,dNULL)</f>
        <v>-99</v>
      </c>
      <c r="AZ574">
        <f ca="1">IF(AND($AT574&lt;3,OFFSET(DATA!$C$14,$AS574,0)=AZ$6),$AV574,dNULL)</f>
        <v>-99</v>
      </c>
      <c r="BA574">
        <f ca="1">IF(AND($AT574&lt;3,OFFSET(DATA!$C$14,$AS574,0)=BA$6),$AV574,dNULL)</f>
        <v>-99</v>
      </c>
      <c r="BB574">
        <f ca="1">IF(AND($AT574&lt;3,OFFSET(DATA!$C$14,$AS574,0)=BB$6),$AV574,dNULL)</f>
        <v>-99</v>
      </c>
      <c r="BC574">
        <f ca="1">IF(AND($AT574&lt;3,OFFSET(DATA!$C$14,$AS574,0)=BC$6),$AV574,dNULL)</f>
        <v>-99</v>
      </c>
      <c r="BD574">
        <f ca="1">IF(AND($AT574&lt;3,OFFSET(DATA!$C$14,$AS574,0)=BD$6),$AV574,dNULL)</f>
        <v>-99</v>
      </c>
      <c r="BE574">
        <f ca="1">IF(AND($AT574&lt;3,OFFSET(DATA!$C$14,$AS574,0)=BE$6),$AV574,dNULL)</f>
        <v>-99</v>
      </c>
      <c r="BF574">
        <f ca="1">IF(AND($AT574&lt;3,OFFSET(DATA!$C$14,$AS574,0)=BF$6),$AV574,dNULL)</f>
        <v>-99</v>
      </c>
      <c r="BG574">
        <f ca="1">IF(AND($AT574&lt;3,OFFSET(DATA!$C$14,$AS574,0)=BG$6),$AV574,dNULL)</f>
        <v>-99</v>
      </c>
      <c r="BH574">
        <f ca="1">IF(AND($AT574&lt;3,OFFSET(DATA!$C$14,$AS574,0)=BH$6),$AV574,dNULL)</f>
        <v>-99</v>
      </c>
    </row>
    <row r="575" spans="45:60" x14ac:dyDescent="0.25">
      <c r="AS575">
        <f t="shared" si="120"/>
        <v>29</v>
      </c>
      <c r="AT575">
        <f t="shared" si="121"/>
        <v>6</v>
      </c>
      <c r="AU575">
        <f t="shared" ca="1" si="122"/>
        <v>-99</v>
      </c>
      <c r="AV575">
        <f t="shared" ca="1" si="123"/>
        <v>-99</v>
      </c>
      <c r="AW575">
        <f ca="1">IF(AND($AT575&lt;3,OFFSET(DATA!$C$14,$AS575,0)=AW$6),$AV575,dNULL)</f>
        <v>-99</v>
      </c>
      <c r="AX575">
        <f ca="1">IF(AND($AT575&lt;3,OFFSET(DATA!$C$14,$AS575,0)=AX$6),$AV575,dNULL)</f>
        <v>-99</v>
      </c>
      <c r="AY575">
        <f ca="1">IF(AND($AT575&lt;3,OFFSET(DATA!$C$14,$AS575,0)=AY$6),$AV575,dNULL)</f>
        <v>-99</v>
      </c>
      <c r="AZ575">
        <f ca="1">IF(AND($AT575&lt;3,OFFSET(DATA!$C$14,$AS575,0)=AZ$6),$AV575,dNULL)</f>
        <v>-99</v>
      </c>
      <c r="BA575">
        <f ca="1">IF(AND($AT575&lt;3,OFFSET(DATA!$C$14,$AS575,0)=BA$6),$AV575,dNULL)</f>
        <v>-99</v>
      </c>
      <c r="BB575">
        <f ca="1">IF(AND($AT575&lt;3,OFFSET(DATA!$C$14,$AS575,0)=BB$6),$AV575,dNULL)</f>
        <v>-99</v>
      </c>
      <c r="BC575">
        <f ca="1">IF(AND($AT575&lt;3,OFFSET(DATA!$C$14,$AS575,0)=BC$6),$AV575,dNULL)</f>
        <v>-99</v>
      </c>
      <c r="BD575">
        <f ca="1">IF(AND($AT575&lt;3,OFFSET(DATA!$C$14,$AS575,0)=BD$6),$AV575,dNULL)</f>
        <v>-99</v>
      </c>
      <c r="BE575">
        <f ca="1">IF(AND($AT575&lt;3,OFFSET(DATA!$C$14,$AS575,0)=BE$6),$AV575,dNULL)</f>
        <v>-99</v>
      </c>
      <c r="BF575">
        <f ca="1">IF(AND($AT575&lt;3,OFFSET(DATA!$C$14,$AS575,0)=BF$6),$AV575,dNULL)</f>
        <v>-99</v>
      </c>
      <c r="BG575">
        <f ca="1">IF(AND($AT575&lt;3,OFFSET(DATA!$C$14,$AS575,0)=BG$6),$AV575,dNULL)</f>
        <v>-99</v>
      </c>
      <c r="BH575">
        <f ca="1">IF(AND($AT575&lt;3,OFFSET(DATA!$C$14,$AS575,0)=BH$6),$AV575,dNULL)</f>
        <v>-99</v>
      </c>
    </row>
    <row r="576" spans="45:60" x14ac:dyDescent="0.25">
      <c r="AS576">
        <f t="shared" si="120"/>
        <v>30</v>
      </c>
      <c r="AT576">
        <f t="shared" si="121"/>
        <v>6</v>
      </c>
      <c r="AU576">
        <f t="shared" ca="1" si="122"/>
        <v>-99</v>
      </c>
      <c r="AV576">
        <f t="shared" ca="1" si="123"/>
        <v>-99</v>
      </c>
      <c r="AW576">
        <f ca="1">IF(AND($AT576&lt;3,OFFSET(DATA!$C$14,$AS576,0)=AW$6),$AV576,dNULL)</f>
        <v>-99</v>
      </c>
      <c r="AX576">
        <f ca="1">IF(AND($AT576&lt;3,OFFSET(DATA!$C$14,$AS576,0)=AX$6),$AV576,dNULL)</f>
        <v>-99</v>
      </c>
      <c r="AY576">
        <f ca="1">IF(AND($AT576&lt;3,OFFSET(DATA!$C$14,$AS576,0)=AY$6),$AV576,dNULL)</f>
        <v>-99</v>
      </c>
      <c r="AZ576">
        <f ca="1">IF(AND($AT576&lt;3,OFFSET(DATA!$C$14,$AS576,0)=AZ$6),$AV576,dNULL)</f>
        <v>-99</v>
      </c>
      <c r="BA576">
        <f ca="1">IF(AND($AT576&lt;3,OFFSET(DATA!$C$14,$AS576,0)=BA$6),$AV576,dNULL)</f>
        <v>-99</v>
      </c>
      <c r="BB576">
        <f ca="1">IF(AND($AT576&lt;3,OFFSET(DATA!$C$14,$AS576,0)=BB$6),$AV576,dNULL)</f>
        <v>-99</v>
      </c>
      <c r="BC576">
        <f ca="1">IF(AND($AT576&lt;3,OFFSET(DATA!$C$14,$AS576,0)=BC$6),$AV576,dNULL)</f>
        <v>-99</v>
      </c>
      <c r="BD576">
        <f ca="1">IF(AND($AT576&lt;3,OFFSET(DATA!$C$14,$AS576,0)=BD$6),$AV576,dNULL)</f>
        <v>-99</v>
      </c>
      <c r="BE576">
        <f ca="1">IF(AND($AT576&lt;3,OFFSET(DATA!$C$14,$AS576,0)=BE$6),$AV576,dNULL)</f>
        <v>-99</v>
      </c>
      <c r="BF576">
        <f ca="1">IF(AND($AT576&lt;3,OFFSET(DATA!$C$14,$AS576,0)=BF$6),$AV576,dNULL)</f>
        <v>-99</v>
      </c>
      <c r="BG576">
        <f ca="1">IF(AND($AT576&lt;3,OFFSET(DATA!$C$14,$AS576,0)=BG$6),$AV576,dNULL)</f>
        <v>-99</v>
      </c>
      <c r="BH576">
        <f ca="1">IF(AND($AT576&lt;3,OFFSET(DATA!$C$14,$AS576,0)=BH$6),$AV576,dNULL)</f>
        <v>-99</v>
      </c>
    </row>
    <row r="577" spans="45:60" x14ac:dyDescent="0.25">
      <c r="AS577">
        <f t="shared" si="120"/>
        <v>31</v>
      </c>
      <c r="AT577">
        <f t="shared" si="121"/>
        <v>6</v>
      </c>
      <c r="AU577">
        <f t="shared" ca="1" si="122"/>
        <v>-99</v>
      </c>
      <c r="AV577">
        <f t="shared" ca="1" si="123"/>
        <v>-99</v>
      </c>
      <c r="AW577">
        <f ca="1">IF(AND($AT577&lt;3,OFFSET(DATA!$C$14,$AS577,0)=AW$6),$AV577,dNULL)</f>
        <v>-99</v>
      </c>
      <c r="AX577">
        <f ca="1">IF(AND($AT577&lt;3,OFFSET(DATA!$C$14,$AS577,0)=AX$6),$AV577,dNULL)</f>
        <v>-99</v>
      </c>
      <c r="AY577">
        <f ca="1">IF(AND($AT577&lt;3,OFFSET(DATA!$C$14,$AS577,0)=AY$6),$AV577,dNULL)</f>
        <v>-99</v>
      </c>
      <c r="AZ577">
        <f ca="1">IF(AND($AT577&lt;3,OFFSET(DATA!$C$14,$AS577,0)=AZ$6),$AV577,dNULL)</f>
        <v>-99</v>
      </c>
      <c r="BA577">
        <f ca="1">IF(AND($AT577&lt;3,OFFSET(DATA!$C$14,$AS577,0)=BA$6),$AV577,dNULL)</f>
        <v>-99</v>
      </c>
      <c r="BB577">
        <f ca="1">IF(AND($AT577&lt;3,OFFSET(DATA!$C$14,$AS577,0)=BB$6),$AV577,dNULL)</f>
        <v>-99</v>
      </c>
      <c r="BC577">
        <f ca="1">IF(AND($AT577&lt;3,OFFSET(DATA!$C$14,$AS577,0)=BC$6),$AV577,dNULL)</f>
        <v>-99</v>
      </c>
      <c r="BD577">
        <f ca="1">IF(AND($AT577&lt;3,OFFSET(DATA!$C$14,$AS577,0)=BD$6),$AV577,dNULL)</f>
        <v>-99</v>
      </c>
      <c r="BE577">
        <f ca="1">IF(AND($AT577&lt;3,OFFSET(DATA!$C$14,$AS577,0)=BE$6),$AV577,dNULL)</f>
        <v>-99</v>
      </c>
      <c r="BF577">
        <f ca="1">IF(AND($AT577&lt;3,OFFSET(DATA!$C$14,$AS577,0)=BF$6),$AV577,dNULL)</f>
        <v>-99</v>
      </c>
      <c r="BG577">
        <f ca="1">IF(AND($AT577&lt;3,OFFSET(DATA!$C$14,$AS577,0)=BG$6),$AV577,dNULL)</f>
        <v>-99</v>
      </c>
      <c r="BH577">
        <f ca="1">IF(AND($AT577&lt;3,OFFSET(DATA!$C$14,$AS577,0)=BH$6),$AV577,dNULL)</f>
        <v>-99</v>
      </c>
    </row>
    <row r="578" spans="45:60" x14ac:dyDescent="0.25">
      <c r="AS578">
        <f t="shared" si="120"/>
        <v>32</v>
      </c>
      <c r="AT578">
        <f t="shared" si="121"/>
        <v>6</v>
      </c>
      <c r="AU578">
        <f t="shared" ca="1" si="122"/>
        <v>-99</v>
      </c>
      <c r="AV578">
        <f t="shared" ca="1" si="123"/>
        <v>-99</v>
      </c>
      <c r="AW578">
        <f ca="1">IF(AND($AT578&lt;3,OFFSET(DATA!$C$14,$AS578,0)=AW$6),$AV578,dNULL)</f>
        <v>-99</v>
      </c>
      <c r="AX578">
        <f ca="1">IF(AND($AT578&lt;3,OFFSET(DATA!$C$14,$AS578,0)=AX$6),$AV578,dNULL)</f>
        <v>-99</v>
      </c>
      <c r="AY578">
        <f ca="1">IF(AND($AT578&lt;3,OFFSET(DATA!$C$14,$AS578,0)=AY$6),$AV578,dNULL)</f>
        <v>-99</v>
      </c>
      <c r="AZ578">
        <f ca="1">IF(AND($AT578&lt;3,OFFSET(DATA!$C$14,$AS578,0)=AZ$6),$AV578,dNULL)</f>
        <v>-99</v>
      </c>
      <c r="BA578">
        <f ca="1">IF(AND($AT578&lt;3,OFFSET(DATA!$C$14,$AS578,0)=BA$6),$AV578,dNULL)</f>
        <v>-99</v>
      </c>
      <c r="BB578">
        <f ca="1">IF(AND($AT578&lt;3,OFFSET(DATA!$C$14,$AS578,0)=BB$6),$AV578,dNULL)</f>
        <v>-99</v>
      </c>
      <c r="BC578">
        <f ca="1">IF(AND($AT578&lt;3,OFFSET(DATA!$C$14,$AS578,0)=BC$6),$AV578,dNULL)</f>
        <v>-99</v>
      </c>
      <c r="BD578">
        <f ca="1">IF(AND($AT578&lt;3,OFFSET(DATA!$C$14,$AS578,0)=BD$6),$AV578,dNULL)</f>
        <v>-99</v>
      </c>
      <c r="BE578">
        <f ca="1">IF(AND($AT578&lt;3,OFFSET(DATA!$C$14,$AS578,0)=BE$6),$AV578,dNULL)</f>
        <v>-99</v>
      </c>
      <c r="BF578">
        <f ca="1">IF(AND($AT578&lt;3,OFFSET(DATA!$C$14,$AS578,0)=BF$6),$AV578,dNULL)</f>
        <v>-99</v>
      </c>
      <c r="BG578">
        <f ca="1">IF(AND($AT578&lt;3,OFFSET(DATA!$C$14,$AS578,0)=BG$6),$AV578,dNULL)</f>
        <v>-99</v>
      </c>
      <c r="BH578">
        <f ca="1">IF(AND($AT578&lt;3,OFFSET(DATA!$C$14,$AS578,0)=BH$6),$AV578,dNULL)</f>
        <v>-99</v>
      </c>
    </row>
    <row r="579" spans="45:60" x14ac:dyDescent="0.25">
      <c r="AS579">
        <f t="shared" si="120"/>
        <v>33</v>
      </c>
      <c r="AT579">
        <f t="shared" si="121"/>
        <v>6</v>
      </c>
      <c r="AU579">
        <f t="shared" ca="1" si="122"/>
        <v>-99</v>
      </c>
      <c r="AV579">
        <f t="shared" ca="1" si="123"/>
        <v>-99</v>
      </c>
      <c r="AW579">
        <f ca="1">IF(AND($AT579&lt;3,OFFSET(DATA!$C$14,$AS579,0)=AW$6),$AV579,dNULL)</f>
        <v>-99</v>
      </c>
      <c r="AX579">
        <f ca="1">IF(AND($AT579&lt;3,OFFSET(DATA!$C$14,$AS579,0)=AX$6),$AV579,dNULL)</f>
        <v>-99</v>
      </c>
      <c r="AY579">
        <f ca="1">IF(AND($AT579&lt;3,OFFSET(DATA!$C$14,$AS579,0)=AY$6),$AV579,dNULL)</f>
        <v>-99</v>
      </c>
      <c r="AZ579">
        <f ca="1">IF(AND($AT579&lt;3,OFFSET(DATA!$C$14,$AS579,0)=AZ$6),$AV579,dNULL)</f>
        <v>-99</v>
      </c>
      <c r="BA579">
        <f ca="1">IF(AND($AT579&lt;3,OFFSET(DATA!$C$14,$AS579,0)=BA$6),$AV579,dNULL)</f>
        <v>-99</v>
      </c>
      <c r="BB579">
        <f ca="1">IF(AND($AT579&lt;3,OFFSET(DATA!$C$14,$AS579,0)=BB$6),$AV579,dNULL)</f>
        <v>-99</v>
      </c>
      <c r="BC579">
        <f ca="1">IF(AND($AT579&lt;3,OFFSET(DATA!$C$14,$AS579,0)=BC$6),$AV579,dNULL)</f>
        <v>-99</v>
      </c>
      <c r="BD579">
        <f ca="1">IF(AND($AT579&lt;3,OFFSET(DATA!$C$14,$AS579,0)=BD$6),$AV579,dNULL)</f>
        <v>-99</v>
      </c>
      <c r="BE579">
        <f ca="1">IF(AND($AT579&lt;3,OFFSET(DATA!$C$14,$AS579,0)=BE$6),$AV579,dNULL)</f>
        <v>-99</v>
      </c>
      <c r="BF579">
        <f ca="1">IF(AND($AT579&lt;3,OFFSET(DATA!$C$14,$AS579,0)=BF$6),$AV579,dNULL)</f>
        <v>-99</v>
      </c>
      <c r="BG579">
        <f ca="1">IF(AND($AT579&lt;3,OFFSET(DATA!$C$14,$AS579,0)=BG$6),$AV579,dNULL)</f>
        <v>-99</v>
      </c>
      <c r="BH579">
        <f ca="1">IF(AND($AT579&lt;3,OFFSET(DATA!$C$14,$AS579,0)=BH$6),$AV579,dNULL)</f>
        <v>-99</v>
      </c>
    </row>
    <row r="580" spans="45:60" x14ac:dyDescent="0.25">
      <c r="AS580">
        <f t="shared" si="120"/>
        <v>34</v>
      </c>
      <c r="AT580">
        <f t="shared" si="121"/>
        <v>6</v>
      </c>
      <c r="AU580">
        <f t="shared" ca="1" si="122"/>
        <v>-99</v>
      </c>
      <c r="AV580">
        <f t="shared" ca="1" si="123"/>
        <v>-99</v>
      </c>
      <c r="AW580">
        <f ca="1">IF(AND($AT580&lt;3,OFFSET(DATA!$C$14,$AS580,0)=AW$6),$AV580,dNULL)</f>
        <v>-99</v>
      </c>
      <c r="AX580">
        <f ca="1">IF(AND($AT580&lt;3,OFFSET(DATA!$C$14,$AS580,0)=AX$6),$AV580,dNULL)</f>
        <v>-99</v>
      </c>
      <c r="AY580">
        <f ca="1">IF(AND($AT580&lt;3,OFFSET(DATA!$C$14,$AS580,0)=AY$6),$AV580,dNULL)</f>
        <v>-99</v>
      </c>
      <c r="AZ580">
        <f ca="1">IF(AND($AT580&lt;3,OFFSET(DATA!$C$14,$AS580,0)=AZ$6),$AV580,dNULL)</f>
        <v>-99</v>
      </c>
      <c r="BA580">
        <f ca="1">IF(AND($AT580&lt;3,OFFSET(DATA!$C$14,$AS580,0)=BA$6),$AV580,dNULL)</f>
        <v>-99</v>
      </c>
      <c r="BB580">
        <f ca="1">IF(AND($AT580&lt;3,OFFSET(DATA!$C$14,$AS580,0)=BB$6),$AV580,dNULL)</f>
        <v>-99</v>
      </c>
      <c r="BC580">
        <f ca="1">IF(AND($AT580&lt;3,OFFSET(DATA!$C$14,$AS580,0)=BC$6),$AV580,dNULL)</f>
        <v>-99</v>
      </c>
      <c r="BD580">
        <f ca="1">IF(AND($AT580&lt;3,OFFSET(DATA!$C$14,$AS580,0)=BD$6),$AV580,dNULL)</f>
        <v>-99</v>
      </c>
      <c r="BE580">
        <f ca="1">IF(AND($AT580&lt;3,OFFSET(DATA!$C$14,$AS580,0)=BE$6),$AV580,dNULL)</f>
        <v>-99</v>
      </c>
      <c r="BF580">
        <f ca="1">IF(AND($AT580&lt;3,OFFSET(DATA!$C$14,$AS580,0)=BF$6),$AV580,dNULL)</f>
        <v>-99</v>
      </c>
      <c r="BG580">
        <f ca="1">IF(AND($AT580&lt;3,OFFSET(DATA!$C$14,$AS580,0)=BG$6),$AV580,dNULL)</f>
        <v>-99</v>
      </c>
      <c r="BH580">
        <f ca="1">IF(AND($AT580&lt;3,OFFSET(DATA!$C$14,$AS580,0)=BH$6),$AV580,dNULL)</f>
        <v>-99</v>
      </c>
    </row>
    <row r="581" spans="45:60" x14ac:dyDescent="0.25">
      <c r="AS581">
        <f t="shared" si="120"/>
        <v>35</v>
      </c>
      <c r="AT581">
        <f t="shared" si="121"/>
        <v>6</v>
      </c>
      <c r="AU581">
        <f t="shared" ca="1" si="122"/>
        <v>-99</v>
      </c>
      <c r="AV581">
        <f t="shared" ca="1" si="123"/>
        <v>-99</v>
      </c>
      <c r="AW581">
        <f ca="1">IF(AND($AT581&lt;3,OFFSET(DATA!$C$14,$AS581,0)=AW$6),$AV581,dNULL)</f>
        <v>-99</v>
      </c>
      <c r="AX581">
        <f ca="1">IF(AND($AT581&lt;3,OFFSET(DATA!$C$14,$AS581,0)=AX$6),$AV581,dNULL)</f>
        <v>-99</v>
      </c>
      <c r="AY581">
        <f ca="1">IF(AND($AT581&lt;3,OFFSET(DATA!$C$14,$AS581,0)=AY$6),$AV581,dNULL)</f>
        <v>-99</v>
      </c>
      <c r="AZ581">
        <f ca="1">IF(AND($AT581&lt;3,OFFSET(DATA!$C$14,$AS581,0)=AZ$6),$AV581,dNULL)</f>
        <v>-99</v>
      </c>
      <c r="BA581">
        <f ca="1">IF(AND($AT581&lt;3,OFFSET(DATA!$C$14,$AS581,0)=BA$6),$AV581,dNULL)</f>
        <v>-99</v>
      </c>
      <c r="BB581">
        <f ca="1">IF(AND($AT581&lt;3,OFFSET(DATA!$C$14,$AS581,0)=BB$6),$AV581,dNULL)</f>
        <v>-99</v>
      </c>
      <c r="BC581">
        <f ca="1">IF(AND($AT581&lt;3,OFFSET(DATA!$C$14,$AS581,0)=BC$6),$AV581,dNULL)</f>
        <v>-99</v>
      </c>
      <c r="BD581">
        <f ca="1">IF(AND($AT581&lt;3,OFFSET(DATA!$C$14,$AS581,0)=BD$6),$AV581,dNULL)</f>
        <v>-99</v>
      </c>
      <c r="BE581">
        <f ca="1">IF(AND($AT581&lt;3,OFFSET(DATA!$C$14,$AS581,0)=BE$6),$AV581,dNULL)</f>
        <v>-99</v>
      </c>
      <c r="BF581">
        <f ca="1">IF(AND($AT581&lt;3,OFFSET(DATA!$C$14,$AS581,0)=BF$6),$AV581,dNULL)</f>
        <v>-99</v>
      </c>
      <c r="BG581">
        <f ca="1">IF(AND($AT581&lt;3,OFFSET(DATA!$C$14,$AS581,0)=BG$6),$AV581,dNULL)</f>
        <v>-99</v>
      </c>
      <c r="BH581">
        <f ca="1">IF(AND($AT581&lt;3,OFFSET(DATA!$C$14,$AS581,0)=BH$6),$AV581,dNULL)</f>
        <v>-99</v>
      </c>
    </row>
    <row r="582" spans="45:60" x14ac:dyDescent="0.25">
      <c r="AS582">
        <f t="shared" si="120"/>
        <v>36</v>
      </c>
      <c r="AT582">
        <f t="shared" si="121"/>
        <v>6</v>
      </c>
      <c r="AU582">
        <f t="shared" ca="1" si="122"/>
        <v>-99</v>
      </c>
      <c r="AV582">
        <f t="shared" ca="1" si="123"/>
        <v>-99</v>
      </c>
      <c r="AW582">
        <f ca="1">IF(AND($AT582&lt;3,OFFSET(DATA!$C$14,$AS582,0)=AW$6),$AV582,dNULL)</f>
        <v>-99</v>
      </c>
      <c r="AX582">
        <f ca="1">IF(AND($AT582&lt;3,OFFSET(DATA!$C$14,$AS582,0)=AX$6),$AV582,dNULL)</f>
        <v>-99</v>
      </c>
      <c r="AY582">
        <f ca="1">IF(AND($AT582&lt;3,OFFSET(DATA!$C$14,$AS582,0)=AY$6),$AV582,dNULL)</f>
        <v>-99</v>
      </c>
      <c r="AZ582">
        <f ca="1">IF(AND($AT582&lt;3,OFFSET(DATA!$C$14,$AS582,0)=AZ$6),$AV582,dNULL)</f>
        <v>-99</v>
      </c>
      <c r="BA582">
        <f ca="1">IF(AND($AT582&lt;3,OFFSET(DATA!$C$14,$AS582,0)=BA$6),$AV582,dNULL)</f>
        <v>-99</v>
      </c>
      <c r="BB582">
        <f ca="1">IF(AND($AT582&lt;3,OFFSET(DATA!$C$14,$AS582,0)=BB$6),$AV582,dNULL)</f>
        <v>-99</v>
      </c>
      <c r="BC582">
        <f ca="1">IF(AND($AT582&lt;3,OFFSET(DATA!$C$14,$AS582,0)=BC$6),$AV582,dNULL)</f>
        <v>-99</v>
      </c>
      <c r="BD582">
        <f ca="1">IF(AND($AT582&lt;3,OFFSET(DATA!$C$14,$AS582,0)=BD$6),$AV582,dNULL)</f>
        <v>-99</v>
      </c>
      <c r="BE582">
        <f ca="1">IF(AND($AT582&lt;3,OFFSET(DATA!$C$14,$AS582,0)=BE$6),$AV582,dNULL)</f>
        <v>-99</v>
      </c>
      <c r="BF582">
        <f ca="1">IF(AND($AT582&lt;3,OFFSET(DATA!$C$14,$AS582,0)=BF$6),$AV582,dNULL)</f>
        <v>-99</v>
      </c>
      <c r="BG582">
        <f ca="1">IF(AND($AT582&lt;3,OFFSET(DATA!$C$14,$AS582,0)=BG$6),$AV582,dNULL)</f>
        <v>-99</v>
      </c>
      <c r="BH582">
        <f ca="1">IF(AND($AT582&lt;3,OFFSET(DATA!$C$14,$AS582,0)=BH$6),$AV582,dNULL)</f>
        <v>-99</v>
      </c>
    </row>
    <row r="583" spans="45:60" x14ac:dyDescent="0.25">
      <c r="AS583">
        <f t="shared" ref="AS583:AS646" si="124">MOD(ROW(AT583)-ROW($AT$7),lCNTsites)+1</f>
        <v>37</v>
      </c>
      <c r="AT583">
        <f t="shared" ref="AT583:AT646" si="125">INT((ROW(AT583)-ROW($AT$7))/lCNTsites)</f>
        <v>6</v>
      </c>
      <c r="AU583">
        <f t="shared" ref="AU583:AU646" ca="1" si="126">IF($AT583=0,(1-OFFSET($AL$6,$AS583,$AT583*2))-OFFSET($AL$6,$AS583,$AT583*2+1)*$K$8,IF($AT583=1,dAnionOFF+1+OFFSET($AL$6,$AS583,$AT583*2)+OFFSET($AL$6,$AS583,$AT583*2+1)/2,IF($AT583=2,$K$17-(1-OFFSET($AL$6,$AS583,$AT583*2))*0.5+(1-OFFSET($AL$6,$AS583,$AT583*2+1))*0.5,dNULL)))</f>
        <v>-99</v>
      </c>
      <c r="AV583">
        <f t="shared" ref="AV583:AV646" ca="1" si="127">IF($AT583=0,OFFSET($AL$6,$AS583,$AT583*2+1)*$L$8,IF($AT583=1,OFFSET($AL$6,$AS583,$AT583*2+1)*3^0.5/2,IF($AT583=2,$L$17+(2-OFFSET($AL$6,$AS583,$AT583*2)-OFFSET($AL$6,$AS583,$AT583*2+1))*$L$8,dNULL)))</f>
        <v>-99</v>
      </c>
      <c r="AW583">
        <f ca="1">IF(AND($AT583&lt;3,OFFSET(DATA!$C$14,$AS583,0)=AW$6),$AV583,dNULL)</f>
        <v>-99</v>
      </c>
      <c r="AX583">
        <f ca="1">IF(AND($AT583&lt;3,OFFSET(DATA!$C$14,$AS583,0)=AX$6),$AV583,dNULL)</f>
        <v>-99</v>
      </c>
      <c r="AY583">
        <f ca="1">IF(AND($AT583&lt;3,OFFSET(DATA!$C$14,$AS583,0)=AY$6),$AV583,dNULL)</f>
        <v>-99</v>
      </c>
      <c r="AZ583">
        <f ca="1">IF(AND($AT583&lt;3,OFFSET(DATA!$C$14,$AS583,0)=AZ$6),$AV583,dNULL)</f>
        <v>-99</v>
      </c>
      <c r="BA583">
        <f ca="1">IF(AND($AT583&lt;3,OFFSET(DATA!$C$14,$AS583,0)=BA$6),$AV583,dNULL)</f>
        <v>-99</v>
      </c>
      <c r="BB583">
        <f ca="1">IF(AND($AT583&lt;3,OFFSET(DATA!$C$14,$AS583,0)=BB$6),$AV583,dNULL)</f>
        <v>-99</v>
      </c>
      <c r="BC583">
        <f ca="1">IF(AND($AT583&lt;3,OFFSET(DATA!$C$14,$AS583,0)=BC$6),$AV583,dNULL)</f>
        <v>-99</v>
      </c>
      <c r="BD583">
        <f ca="1">IF(AND($AT583&lt;3,OFFSET(DATA!$C$14,$AS583,0)=BD$6),$AV583,dNULL)</f>
        <v>-99</v>
      </c>
      <c r="BE583">
        <f ca="1">IF(AND($AT583&lt;3,OFFSET(DATA!$C$14,$AS583,0)=BE$6),$AV583,dNULL)</f>
        <v>-99</v>
      </c>
      <c r="BF583">
        <f ca="1">IF(AND($AT583&lt;3,OFFSET(DATA!$C$14,$AS583,0)=BF$6),$AV583,dNULL)</f>
        <v>-99</v>
      </c>
      <c r="BG583">
        <f ca="1">IF(AND($AT583&lt;3,OFFSET(DATA!$C$14,$AS583,0)=BG$6),$AV583,dNULL)</f>
        <v>-99</v>
      </c>
      <c r="BH583">
        <f ca="1">IF(AND($AT583&lt;3,OFFSET(DATA!$C$14,$AS583,0)=BH$6),$AV583,dNULL)</f>
        <v>-99</v>
      </c>
    </row>
    <row r="584" spans="45:60" x14ac:dyDescent="0.25">
      <c r="AS584">
        <f t="shared" si="124"/>
        <v>38</v>
      </c>
      <c r="AT584">
        <f t="shared" si="125"/>
        <v>6</v>
      </c>
      <c r="AU584">
        <f t="shared" ca="1" si="126"/>
        <v>-99</v>
      </c>
      <c r="AV584">
        <f t="shared" ca="1" si="127"/>
        <v>-99</v>
      </c>
      <c r="AW584">
        <f ca="1">IF(AND($AT584&lt;3,OFFSET(DATA!$C$14,$AS584,0)=AW$6),$AV584,dNULL)</f>
        <v>-99</v>
      </c>
      <c r="AX584">
        <f ca="1">IF(AND($AT584&lt;3,OFFSET(DATA!$C$14,$AS584,0)=AX$6),$AV584,dNULL)</f>
        <v>-99</v>
      </c>
      <c r="AY584">
        <f ca="1">IF(AND($AT584&lt;3,OFFSET(DATA!$C$14,$AS584,0)=AY$6),$AV584,dNULL)</f>
        <v>-99</v>
      </c>
      <c r="AZ584">
        <f ca="1">IF(AND($AT584&lt;3,OFFSET(DATA!$C$14,$AS584,0)=AZ$6),$AV584,dNULL)</f>
        <v>-99</v>
      </c>
      <c r="BA584">
        <f ca="1">IF(AND($AT584&lt;3,OFFSET(DATA!$C$14,$AS584,0)=BA$6),$AV584,dNULL)</f>
        <v>-99</v>
      </c>
      <c r="BB584">
        <f ca="1">IF(AND($AT584&lt;3,OFFSET(DATA!$C$14,$AS584,0)=BB$6),$AV584,dNULL)</f>
        <v>-99</v>
      </c>
      <c r="BC584">
        <f ca="1">IF(AND($AT584&lt;3,OFFSET(DATA!$C$14,$AS584,0)=BC$6),$AV584,dNULL)</f>
        <v>-99</v>
      </c>
      <c r="BD584">
        <f ca="1">IF(AND($AT584&lt;3,OFFSET(DATA!$C$14,$AS584,0)=BD$6),$AV584,dNULL)</f>
        <v>-99</v>
      </c>
      <c r="BE584">
        <f ca="1">IF(AND($AT584&lt;3,OFFSET(DATA!$C$14,$AS584,0)=BE$6),$AV584,dNULL)</f>
        <v>-99</v>
      </c>
      <c r="BF584">
        <f ca="1">IF(AND($AT584&lt;3,OFFSET(DATA!$C$14,$AS584,0)=BF$6),$AV584,dNULL)</f>
        <v>-99</v>
      </c>
      <c r="BG584">
        <f ca="1">IF(AND($AT584&lt;3,OFFSET(DATA!$C$14,$AS584,0)=BG$6),$AV584,dNULL)</f>
        <v>-99</v>
      </c>
      <c r="BH584">
        <f ca="1">IF(AND($AT584&lt;3,OFFSET(DATA!$C$14,$AS584,0)=BH$6),$AV584,dNULL)</f>
        <v>-99</v>
      </c>
    </row>
    <row r="585" spans="45:60" x14ac:dyDescent="0.25">
      <c r="AS585">
        <f t="shared" si="124"/>
        <v>39</v>
      </c>
      <c r="AT585">
        <f t="shared" si="125"/>
        <v>6</v>
      </c>
      <c r="AU585">
        <f t="shared" ca="1" si="126"/>
        <v>-99</v>
      </c>
      <c r="AV585">
        <f t="shared" ca="1" si="127"/>
        <v>-99</v>
      </c>
      <c r="AW585">
        <f ca="1">IF(AND($AT585&lt;3,OFFSET(DATA!$C$14,$AS585,0)=AW$6),$AV585,dNULL)</f>
        <v>-99</v>
      </c>
      <c r="AX585">
        <f ca="1">IF(AND($AT585&lt;3,OFFSET(DATA!$C$14,$AS585,0)=AX$6),$AV585,dNULL)</f>
        <v>-99</v>
      </c>
      <c r="AY585">
        <f ca="1">IF(AND($AT585&lt;3,OFFSET(DATA!$C$14,$AS585,0)=AY$6),$AV585,dNULL)</f>
        <v>-99</v>
      </c>
      <c r="AZ585">
        <f ca="1">IF(AND($AT585&lt;3,OFFSET(DATA!$C$14,$AS585,0)=AZ$6),$AV585,dNULL)</f>
        <v>-99</v>
      </c>
      <c r="BA585">
        <f ca="1">IF(AND($AT585&lt;3,OFFSET(DATA!$C$14,$AS585,0)=BA$6),$AV585,dNULL)</f>
        <v>-99</v>
      </c>
      <c r="BB585">
        <f ca="1">IF(AND($AT585&lt;3,OFFSET(DATA!$C$14,$AS585,0)=BB$6),$AV585,dNULL)</f>
        <v>-99</v>
      </c>
      <c r="BC585">
        <f ca="1">IF(AND($AT585&lt;3,OFFSET(DATA!$C$14,$AS585,0)=BC$6),$AV585,dNULL)</f>
        <v>-99</v>
      </c>
      <c r="BD585">
        <f ca="1">IF(AND($AT585&lt;3,OFFSET(DATA!$C$14,$AS585,0)=BD$6),$AV585,dNULL)</f>
        <v>-99</v>
      </c>
      <c r="BE585">
        <f ca="1">IF(AND($AT585&lt;3,OFFSET(DATA!$C$14,$AS585,0)=BE$6),$AV585,dNULL)</f>
        <v>-99</v>
      </c>
      <c r="BF585">
        <f ca="1">IF(AND($AT585&lt;3,OFFSET(DATA!$C$14,$AS585,0)=BF$6),$AV585,dNULL)</f>
        <v>-99</v>
      </c>
      <c r="BG585">
        <f ca="1">IF(AND($AT585&lt;3,OFFSET(DATA!$C$14,$AS585,0)=BG$6),$AV585,dNULL)</f>
        <v>-99</v>
      </c>
      <c r="BH585">
        <f ca="1">IF(AND($AT585&lt;3,OFFSET(DATA!$C$14,$AS585,0)=BH$6),$AV585,dNULL)</f>
        <v>-99</v>
      </c>
    </row>
    <row r="586" spans="45:60" x14ac:dyDescent="0.25">
      <c r="AS586">
        <f t="shared" si="124"/>
        <v>40</v>
      </c>
      <c r="AT586">
        <f t="shared" si="125"/>
        <v>6</v>
      </c>
      <c r="AU586">
        <f t="shared" ca="1" si="126"/>
        <v>-99</v>
      </c>
      <c r="AV586">
        <f t="shared" ca="1" si="127"/>
        <v>-99</v>
      </c>
      <c r="AW586">
        <f ca="1">IF(AND($AT586&lt;3,OFFSET(DATA!$C$14,$AS586,0)=AW$6),$AV586,dNULL)</f>
        <v>-99</v>
      </c>
      <c r="AX586">
        <f ca="1">IF(AND($AT586&lt;3,OFFSET(DATA!$C$14,$AS586,0)=AX$6),$AV586,dNULL)</f>
        <v>-99</v>
      </c>
      <c r="AY586">
        <f ca="1">IF(AND($AT586&lt;3,OFFSET(DATA!$C$14,$AS586,0)=AY$6),$AV586,dNULL)</f>
        <v>-99</v>
      </c>
      <c r="AZ586">
        <f ca="1">IF(AND($AT586&lt;3,OFFSET(DATA!$C$14,$AS586,0)=AZ$6),$AV586,dNULL)</f>
        <v>-99</v>
      </c>
      <c r="BA586">
        <f ca="1">IF(AND($AT586&lt;3,OFFSET(DATA!$C$14,$AS586,0)=BA$6),$AV586,dNULL)</f>
        <v>-99</v>
      </c>
      <c r="BB586">
        <f ca="1">IF(AND($AT586&lt;3,OFFSET(DATA!$C$14,$AS586,0)=BB$6),$AV586,dNULL)</f>
        <v>-99</v>
      </c>
      <c r="BC586">
        <f ca="1">IF(AND($AT586&lt;3,OFFSET(DATA!$C$14,$AS586,0)=BC$6),$AV586,dNULL)</f>
        <v>-99</v>
      </c>
      <c r="BD586">
        <f ca="1">IF(AND($AT586&lt;3,OFFSET(DATA!$C$14,$AS586,0)=BD$6),$AV586,dNULL)</f>
        <v>-99</v>
      </c>
      <c r="BE586">
        <f ca="1">IF(AND($AT586&lt;3,OFFSET(DATA!$C$14,$AS586,0)=BE$6),$AV586,dNULL)</f>
        <v>-99</v>
      </c>
      <c r="BF586">
        <f ca="1">IF(AND($AT586&lt;3,OFFSET(DATA!$C$14,$AS586,0)=BF$6),$AV586,dNULL)</f>
        <v>-99</v>
      </c>
      <c r="BG586">
        <f ca="1">IF(AND($AT586&lt;3,OFFSET(DATA!$C$14,$AS586,0)=BG$6),$AV586,dNULL)</f>
        <v>-99</v>
      </c>
      <c r="BH586">
        <f ca="1">IF(AND($AT586&lt;3,OFFSET(DATA!$C$14,$AS586,0)=BH$6),$AV586,dNULL)</f>
        <v>-99</v>
      </c>
    </row>
    <row r="587" spans="45:60" x14ac:dyDescent="0.25">
      <c r="AS587">
        <f t="shared" si="124"/>
        <v>41</v>
      </c>
      <c r="AT587">
        <f t="shared" si="125"/>
        <v>6</v>
      </c>
      <c r="AU587">
        <f t="shared" ca="1" si="126"/>
        <v>-99</v>
      </c>
      <c r="AV587">
        <f t="shared" ca="1" si="127"/>
        <v>-99</v>
      </c>
      <c r="AW587">
        <f ca="1">IF(AND($AT587&lt;3,OFFSET(DATA!$C$14,$AS587,0)=AW$6),$AV587,dNULL)</f>
        <v>-99</v>
      </c>
      <c r="AX587">
        <f ca="1">IF(AND($AT587&lt;3,OFFSET(DATA!$C$14,$AS587,0)=AX$6),$AV587,dNULL)</f>
        <v>-99</v>
      </c>
      <c r="AY587">
        <f ca="1">IF(AND($AT587&lt;3,OFFSET(DATA!$C$14,$AS587,0)=AY$6),$AV587,dNULL)</f>
        <v>-99</v>
      </c>
      <c r="AZ587">
        <f ca="1">IF(AND($AT587&lt;3,OFFSET(DATA!$C$14,$AS587,0)=AZ$6),$AV587,dNULL)</f>
        <v>-99</v>
      </c>
      <c r="BA587">
        <f ca="1">IF(AND($AT587&lt;3,OFFSET(DATA!$C$14,$AS587,0)=BA$6),$AV587,dNULL)</f>
        <v>-99</v>
      </c>
      <c r="BB587">
        <f ca="1">IF(AND($AT587&lt;3,OFFSET(DATA!$C$14,$AS587,0)=BB$6),$AV587,dNULL)</f>
        <v>-99</v>
      </c>
      <c r="BC587">
        <f ca="1">IF(AND($AT587&lt;3,OFFSET(DATA!$C$14,$AS587,0)=BC$6),$AV587,dNULL)</f>
        <v>-99</v>
      </c>
      <c r="BD587">
        <f ca="1">IF(AND($AT587&lt;3,OFFSET(DATA!$C$14,$AS587,0)=BD$6),$AV587,dNULL)</f>
        <v>-99</v>
      </c>
      <c r="BE587">
        <f ca="1">IF(AND($AT587&lt;3,OFFSET(DATA!$C$14,$AS587,0)=BE$6),$AV587,dNULL)</f>
        <v>-99</v>
      </c>
      <c r="BF587">
        <f ca="1">IF(AND($AT587&lt;3,OFFSET(DATA!$C$14,$AS587,0)=BF$6),$AV587,dNULL)</f>
        <v>-99</v>
      </c>
      <c r="BG587">
        <f ca="1">IF(AND($AT587&lt;3,OFFSET(DATA!$C$14,$AS587,0)=BG$6),$AV587,dNULL)</f>
        <v>-99</v>
      </c>
      <c r="BH587">
        <f ca="1">IF(AND($AT587&lt;3,OFFSET(DATA!$C$14,$AS587,0)=BH$6),$AV587,dNULL)</f>
        <v>-99</v>
      </c>
    </row>
    <row r="588" spans="45:60" x14ac:dyDescent="0.25">
      <c r="AS588">
        <f t="shared" si="124"/>
        <v>42</v>
      </c>
      <c r="AT588">
        <f t="shared" si="125"/>
        <v>6</v>
      </c>
      <c r="AU588">
        <f t="shared" ca="1" si="126"/>
        <v>-99</v>
      </c>
      <c r="AV588">
        <f t="shared" ca="1" si="127"/>
        <v>-99</v>
      </c>
      <c r="AW588">
        <f ca="1">IF(AND($AT588&lt;3,OFFSET(DATA!$C$14,$AS588,0)=AW$6),$AV588,dNULL)</f>
        <v>-99</v>
      </c>
      <c r="AX588">
        <f ca="1">IF(AND($AT588&lt;3,OFFSET(DATA!$C$14,$AS588,0)=AX$6),$AV588,dNULL)</f>
        <v>-99</v>
      </c>
      <c r="AY588">
        <f ca="1">IF(AND($AT588&lt;3,OFFSET(DATA!$C$14,$AS588,0)=AY$6),$AV588,dNULL)</f>
        <v>-99</v>
      </c>
      <c r="AZ588">
        <f ca="1">IF(AND($AT588&lt;3,OFFSET(DATA!$C$14,$AS588,0)=AZ$6),$AV588,dNULL)</f>
        <v>-99</v>
      </c>
      <c r="BA588">
        <f ca="1">IF(AND($AT588&lt;3,OFFSET(DATA!$C$14,$AS588,0)=BA$6),$AV588,dNULL)</f>
        <v>-99</v>
      </c>
      <c r="BB588">
        <f ca="1">IF(AND($AT588&lt;3,OFFSET(DATA!$C$14,$AS588,0)=BB$6),$AV588,dNULL)</f>
        <v>-99</v>
      </c>
      <c r="BC588">
        <f ca="1">IF(AND($AT588&lt;3,OFFSET(DATA!$C$14,$AS588,0)=BC$6),$AV588,dNULL)</f>
        <v>-99</v>
      </c>
      <c r="BD588">
        <f ca="1">IF(AND($AT588&lt;3,OFFSET(DATA!$C$14,$AS588,0)=BD$6),$AV588,dNULL)</f>
        <v>-99</v>
      </c>
      <c r="BE588">
        <f ca="1">IF(AND($AT588&lt;3,OFFSET(DATA!$C$14,$AS588,0)=BE$6),$AV588,dNULL)</f>
        <v>-99</v>
      </c>
      <c r="BF588">
        <f ca="1">IF(AND($AT588&lt;3,OFFSET(DATA!$C$14,$AS588,0)=BF$6),$AV588,dNULL)</f>
        <v>-99</v>
      </c>
      <c r="BG588">
        <f ca="1">IF(AND($AT588&lt;3,OFFSET(DATA!$C$14,$AS588,0)=BG$6),$AV588,dNULL)</f>
        <v>-99</v>
      </c>
      <c r="BH588">
        <f ca="1">IF(AND($AT588&lt;3,OFFSET(DATA!$C$14,$AS588,0)=BH$6),$AV588,dNULL)</f>
        <v>-99</v>
      </c>
    </row>
    <row r="589" spans="45:60" x14ac:dyDescent="0.25">
      <c r="AS589">
        <f t="shared" si="124"/>
        <v>43</v>
      </c>
      <c r="AT589">
        <f t="shared" si="125"/>
        <v>6</v>
      </c>
      <c r="AU589">
        <f t="shared" ca="1" si="126"/>
        <v>-99</v>
      </c>
      <c r="AV589">
        <f t="shared" ca="1" si="127"/>
        <v>-99</v>
      </c>
      <c r="AW589">
        <f ca="1">IF(AND($AT589&lt;3,OFFSET(DATA!$C$14,$AS589,0)=AW$6),$AV589,dNULL)</f>
        <v>-99</v>
      </c>
      <c r="AX589">
        <f ca="1">IF(AND($AT589&lt;3,OFFSET(DATA!$C$14,$AS589,0)=AX$6),$AV589,dNULL)</f>
        <v>-99</v>
      </c>
      <c r="AY589">
        <f ca="1">IF(AND($AT589&lt;3,OFFSET(DATA!$C$14,$AS589,0)=AY$6),$AV589,dNULL)</f>
        <v>-99</v>
      </c>
      <c r="AZ589">
        <f ca="1">IF(AND($AT589&lt;3,OFFSET(DATA!$C$14,$AS589,0)=AZ$6),$AV589,dNULL)</f>
        <v>-99</v>
      </c>
      <c r="BA589">
        <f ca="1">IF(AND($AT589&lt;3,OFFSET(DATA!$C$14,$AS589,0)=BA$6),$AV589,dNULL)</f>
        <v>-99</v>
      </c>
      <c r="BB589">
        <f ca="1">IF(AND($AT589&lt;3,OFFSET(DATA!$C$14,$AS589,0)=BB$6),$AV589,dNULL)</f>
        <v>-99</v>
      </c>
      <c r="BC589">
        <f ca="1">IF(AND($AT589&lt;3,OFFSET(DATA!$C$14,$AS589,0)=BC$6),$AV589,dNULL)</f>
        <v>-99</v>
      </c>
      <c r="BD589">
        <f ca="1">IF(AND($AT589&lt;3,OFFSET(DATA!$C$14,$AS589,0)=BD$6),$AV589,dNULL)</f>
        <v>-99</v>
      </c>
      <c r="BE589">
        <f ca="1">IF(AND($AT589&lt;3,OFFSET(DATA!$C$14,$AS589,0)=BE$6),$AV589,dNULL)</f>
        <v>-99</v>
      </c>
      <c r="BF589">
        <f ca="1">IF(AND($AT589&lt;3,OFFSET(DATA!$C$14,$AS589,0)=BF$6),$AV589,dNULL)</f>
        <v>-99</v>
      </c>
      <c r="BG589">
        <f ca="1">IF(AND($AT589&lt;3,OFFSET(DATA!$C$14,$AS589,0)=BG$6),$AV589,dNULL)</f>
        <v>-99</v>
      </c>
      <c r="BH589">
        <f ca="1">IF(AND($AT589&lt;3,OFFSET(DATA!$C$14,$AS589,0)=BH$6),$AV589,dNULL)</f>
        <v>-99</v>
      </c>
    </row>
    <row r="590" spans="45:60" x14ac:dyDescent="0.25">
      <c r="AS590">
        <f t="shared" si="124"/>
        <v>44</v>
      </c>
      <c r="AT590">
        <f t="shared" si="125"/>
        <v>6</v>
      </c>
      <c r="AU590">
        <f t="shared" ca="1" si="126"/>
        <v>-99</v>
      </c>
      <c r="AV590">
        <f t="shared" ca="1" si="127"/>
        <v>-99</v>
      </c>
      <c r="AW590">
        <f ca="1">IF(AND($AT590&lt;3,OFFSET(DATA!$C$14,$AS590,0)=AW$6),$AV590,dNULL)</f>
        <v>-99</v>
      </c>
      <c r="AX590">
        <f ca="1">IF(AND($AT590&lt;3,OFFSET(DATA!$C$14,$AS590,0)=AX$6),$AV590,dNULL)</f>
        <v>-99</v>
      </c>
      <c r="AY590">
        <f ca="1">IF(AND($AT590&lt;3,OFFSET(DATA!$C$14,$AS590,0)=AY$6),$AV590,dNULL)</f>
        <v>-99</v>
      </c>
      <c r="AZ590">
        <f ca="1">IF(AND($AT590&lt;3,OFFSET(DATA!$C$14,$AS590,0)=AZ$6),$AV590,dNULL)</f>
        <v>-99</v>
      </c>
      <c r="BA590">
        <f ca="1">IF(AND($AT590&lt;3,OFFSET(DATA!$C$14,$AS590,0)=BA$6),$AV590,dNULL)</f>
        <v>-99</v>
      </c>
      <c r="BB590">
        <f ca="1">IF(AND($AT590&lt;3,OFFSET(DATA!$C$14,$AS590,0)=BB$6),$AV590,dNULL)</f>
        <v>-99</v>
      </c>
      <c r="BC590">
        <f ca="1">IF(AND($AT590&lt;3,OFFSET(DATA!$C$14,$AS590,0)=BC$6),$AV590,dNULL)</f>
        <v>-99</v>
      </c>
      <c r="BD590">
        <f ca="1">IF(AND($AT590&lt;3,OFFSET(DATA!$C$14,$AS590,0)=BD$6),$AV590,dNULL)</f>
        <v>-99</v>
      </c>
      <c r="BE590">
        <f ca="1">IF(AND($AT590&lt;3,OFFSET(DATA!$C$14,$AS590,0)=BE$6),$AV590,dNULL)</f>
        <v>-99</v>
      </c>
      <c r="BF590">
        <f ca="1">IF(AND($AT590&lt;3,OFFSET(DATA!$C$14,$AS590,0)=BF$6),$AV590,dNULL)</f>
        <v>-99</v>
      </c>
      <c r="BG590">
        <f ca="1">IF(AND($AT590&lt;3,OFFSET(DATA!$C$14,$AS590,0)=BG$6),$AV590,dNULL)</f>
        <v>-99</v>
      </c>
      <c r="BH590">
        <f ca="1">IF(AND($AT590&lt;3,OFFSET(DATA!$C$14,$AS590,0)=BH$6),$AV590,dNULL)</f>
        <v>-99</v>
      </c>
    </row>
    <row r="591" spans="45:60" x14ac:dyDescent="0.25">
      <c r="AS591">
        <f t="shared" si="124"/>
        <v>45</v>
      </c>
      <c r="AT591">
        <f t="shared" si="125"/>
        <v>6</v>
      </c>
      <c r="AU591">
        <f t="shared" ca="1" si="126"/>
        <v>-99</v>
      </c>
      <c r="AV591">
        <f t="shared" ca="1" si="127"/>
        <v>-99</v>
      </c>
      <c r="AW591">
        <f ca="1">IF(AND($AT591&lt;3,OFFSET(DATA!$C$14,$AS591,0)=AW$6),$AV591,dNULL)</f>
        <v>-99</v>
      </c>
      <c r="AX591">
        <f ca="1">IF(AND($AT591&lt;3,OFFSET(DATA!$C$14,$AS591,0)=AX$6),$AV591,dNULL)</f>
        <v>-99</v>
      </c>
      <c r="AY591">
        <f ca="1">IF(AND($AT591&lt;3,OFFSET(DATA!$C$14,$AS591,0)=AY$6),$AV591,dNULL)</f>
        <v>-99</v>
      </c>
      <c r="AZ591">
        <f ca="1">IF(AND($AT591&lt;3,OFFSET(DATA!$C$14,$AS591,0)=AZ$6),$AV591,dNULL)</f>
        <v>-99</v>
      </c>
      <c r="BA591">
        <f ca="1">IF(AND($AT591&lt;3,OFFSET(DATA!$C$14,$AS591,0)=BA$6),$AV591,dNULL)</f>
        <v>-99</v>
      </c>
      <c r="BB591">
        <f ca="1">IF(AND($AT591&lt;3,OFFSET(DATA!$C$14,$AS591,0)=BB$6),$AV591,dNULL)</f>
        <v>-99</v>
      </c>
      <c r="BC591">
        <f ca="1">IF(AND($AT591&lt;3,OFFSET(DATA!$C$14,$AS591,0)=BC$6),$AV591,dNULL)</f>
        <v>-99</v>
      </c>
      <c r="BD591">
        <f ca="1">IF(AND($AT591&lt;3,OFFSET(DATA!$C$14,$AS591,0)=BD$6),$AV591,dNULL)</f>
        <v>-99</v>
      </c>
      <c r="BE591">
        <f ca="1">IF(AND($AT591&lt;3,OFFSET(DATA!$C$14,$AS591,0)=BE$6),$AV591,dNULL)</f>
        <v>-99</v>
      </c>
      <c r="BF591">
        <f ca="1">IF(AND($AT591&lt;3,OFFSET(DATA!$C$14,$AS591,0)=BF$6),$AV591,dNULL)</f>
        <v>-99</v>
      </c>
      <c r="BG591">
        <f ca="1">IF(AND($AT591&lt;3,OFFSET(DATA!$C$14,$AS591,0)=BG$6),$AV591,dNULL)</f>
        <v>-99</v>
      </c>
      <c r="BH591">
        <f ca="1">IF(AND($AT591&lt;3,OFFSET(DATA!$C$14,$AS591,0)=BH$6),$AV591,dNULL)</f>
        <v>-99</v>
      </c>
    </row>
    <row r="592" spans="45:60" x14ac:dyDescent="0.25">
      <c r="AS592">
        <f t="shared" si="124"/>
        <v>46</v>
      </c>
      <c r="AT592">
        <f t="shared" si="125"/>
        <v>6</v>
      </c>
      <c r="AU592">
        <f t="shared" ca="1" si="126"/>
        <v>-99</v>
      </c>
      <c r="AV592">
        <f t="shared" ca="1" si="127"/>
        <v>-99</v>
      </c>
      <c r="AW592">
        <f ca="1">IF(AND($AT592&lt;3,OFFSET(DATA!$C$14,$AS592,0)=AW$6),$AV592,dNULL)</f>
        <v>-99</v>
      </c>
      <c r="AX592">
        <f ca="1">IF(AND($AT592&lt;3,OFFSET(DATA!$C$14,$AS592,0)=AX$6),$AV592,dNULL)</f>
        <v>-99</v>
      </c>
      <c r="AY592">
        <f ca="1">IF(AND($AT592&lt;3,OFFSET(DATA!$C$14,$AS592,0)=AY$6),$AV592,dNULL)</f>
        <v>-99</v>
      </c>
      <c r="AZ592">
        <f ca="1">IF(AND($AT592&lt;3,OFFSET(DATA!$C$14,$AS592,0)=AZ$6),$AV592,dNULL)</f>
        <v>-99</v>
      </c>
      <c r="BA592">
        <f ca="1">IF(AND($AT592&lt;3,OFFSET(DATA!$C$14,$AS592,0)=BA$6),$AV592,dNULL)</f>
        <v>-99</v>
      </c>
      <c r="BB592">
        <f ca="1">IF(AND($AT592&lt;3,OFFSET(DATA!$C$14,$AS592,0)=BB$6),$AV592,dNULL)</f>
        <v>-99</v>
      </c>
      <c r="BC592">
        <f ca="1">IF(AND($AT592&lt;3,OFFSET(DATA!$C$14,$AS592,0)=BC$6),$AV592,dNULL)</f>
        <v>-99</v>
      </c>
      <c r="BD592">
        <f ca="1">IF(AND($AT592&lt;3,OFFSET(DATA!$C$14,$AS592,0)=BD$6),$AV592,dNULL)</f>
        <v>-99</v>
      </c>
      <c r="BE592">
        <f ca="1">IF(AND($AT592&lt;3,OFFSET(DATA!$C$14,$AS592,0)=BE$6),$AV592,dNULL)</f>
        <v>-99</v>
      </c>
      <c r="BF592">
        <f ca="1">IF(AND($AT592&lt;3,OFFSET(DATA!$C$14,$AS592,0)=BF$6),$AV592,dNULL)</f>
        <v>-99</v>
      </c>
      <c r="BG592">
        <f ca="1">IF(AND($AT592&lt;3,OFFSET(DATA!$C$14,$AS592,0)=BG$6),$AV592,dNULL)</f>
        <v>-99</v>
      </c>
      <c r="BH592">
        <f ca="1">IF(AND($AT592&lt;3,OFFSET(DATA!$C$14,$AS592,0)=BH$6),$AV592,dNULL)</f>
        <v>-99</v>
      </c>
    </row>
    <row r="593" spans="45:60" x14ac:dyDescent="0.25">
      <c r="AS593">
        <f t="shared" si="124"/>
        <v>47</v>
      </c>
      <c r="AT593">
        <f t="shared" si="125"/>
        <v>6</v>
      </c>
      <c r="AU593">
        <f t="shared" ca="1" si="126"/>
        <v>-99</v>
      </c>
      <c r="AV593">
        <f t="shared" ca="1" si="127"/>
        <v>-99</v>
      </c>
      <c r="AW593">
        <f ca="1">IF(AND($AT593&lt;3,OFFSET(DATA!$C$14,$AS593,0)=AW$6),$AV593,dNULL)</f>
        <v>-99</v>
      </c>
      <c r="AX593">
        <f ca="1">IF(AND($AT593&lt;3,OFFSET(DATA!$C$14,$AS593,0)=AX$6),$AV593,dNULL)</f>
        <v>-99</v>
      </c>
      <c r="AY593">
        <f ca="1">IF(AND($AT593&lt;3,OFFSET(DATA!$C$14,$AS593,0)=AY$6),$AV593,dNULL)</f>
        <v>-99</v>
      </c>
      <c r="AZ593">
        <f ca="1">IF(AND($AT593&lt;3,OFFSET(DATA!$C$14,$AS593,0)=AZ$6),$AV593,dNULL)</f>
        <v>-99</v>
      </c>
      <c r="BA593">
        <f ca="1">IF(AND($AT593&lt;3,OFFSET(DATA!$C$14,$AS593,0)=BA$6),$AV593,dNULL)</f>
        <v>-99</v>
      </c>
      <c r="BB593">
        <f ca="1">IF(AND($AT593&lt;3,OFFSET(DATA!$C$14,$AS593,0)=BB$6),$AV593,dNULL)</f>
        <v>-99</v>
      </c>
      <c r="BC593">
        <f ca="1">IF(AND($AT593&lt;3,OFFSET(DATA!$C$14,$AS593,0)=BC$6),$AV593,dNULL)</f>
        <v>-99</v>
      </c>
      <c r="BD593">
        <f ca="1">IF(AND($AT593&lt;3,OFFSET(DATA!$C$14,$AS593,0)=BD$6),$AV593,dNULL)</f>
        <v>-99</v>
      </c>
      <c r="BE593">
        <f ca="1">IF(AND($AT593&lt;3,OFFSET(DATA!$C$14,$AS593,0)=BE$6),$AV593,dNULL)</f>
        <v>-99</v>
      </c>
      <c r="BF593">
        <f ca="1">IF(AND($AT593&lt;3,OFFSET(DATA!$C$14,$AS593,0)=BF$6),$AV593,dNULL)</f>
        <v>-99</v>
      </c>
      <c r="BG593">
        <f ca="1">IF(AND($AT593&lt;3,OFFSET(DATA!$C$14,$AS593,0)=BG$6),$AV593,dNULL)</f>
        <v>-99</v>
      </c>
      <c r="BH593">
        <f ca="1">IF(AND($AT593&lt;3,OFFSET(DATA!$C$14,$AS593,0)=BH$6),$AV593,dNULL)</f>
        <v>-99</v>
      </c>
    </row>
    <row r="594" spans="45:60" x14ac:dyDescent="0.25">
      <c r="AS594">
        <f t="shared" si="124"/>
        <v>48</v>
      </c>
      <c r="AT594">
        <f t="shared" si="125"/>
        <v>6</v>
      </c>
      <c r="AU594">
        <f t="shared" ca="1" si="126"/>
        <v>-99</v>
      </c>
      <c r="AV594">
        <f t="shared" ca="1" si="127"/>
        <v>-99</v>
      </c>
      <c r="AW594">
        <f ca="1">IF(AND($AT594&lt;3,OFFSET(DATA!$C$14,$AS594,0)=AW$6),$AV594,dNULL)</f>
        <v>-99</v>
      </c>
      <c r="AX594">
        <f ca="1">IF(AND($AT594&lt;3,OFFSET(DATA!$C$14,$AS594,0)=AX$6),$AV594,dNULL)</f>
        <v>-99</v>
      </c>
      <c r="AY594">
        <f ca="1">IF(AND($AT594&lt;3,OFFSET(DATA!$C$14,$AS594,0)=AY$6),$AV594,dNULL)</f>
        <v>-99</v>
      </c>
      <c r="AZ594">
        <f ca="1">IF(AND($AT594&lt;3,OFFSET(DATA!$C$14,$AS594,0)=AZ$6),$AV594,dNULL)</f>
        <v>-99</v>
      </c>
      <c r="BA594">
        <f ca="1">IF(AND($AT594&lt;3,OFFSET(DATA!$C$14,$AS594,0)=BA$6),$AV594,dNULL)</f>
        <v>-99</v>
      </c>
      <c r="BB594">
        <f ca="1">IF(AND($AT594&lt;3,OFFSET(DATA!$C$14,$AS594,0)=BB$6),$AV594,dNULL)</f>
        <v>-99</v>
      </c>
      <c r="BC594">
        <f ca="1">IF(AND($AT594&lt;3,OFFSET(DATA!$C$14,$AS594,0)=BC$6),$AV594,dNULL)</f>
        <v>-99</v>
      </c>
      <c r="BD594">
        <f ca="1">IF(AND($AT594&lt;3,OFFSET(DATA!$C$14,$AS594,0)=BD$6),$AV594,dNULL)</f>
        <v>-99</v>
      </c>
      <c r="BE594">
        <f ca="1">IF(AND($AT594&lt;3,OFFSET(DATA!$C$14,$AS594,0)=BE$6),$AV594,dNULL)</f>
        <v>-99</v>
      </c>
      <c r="BF594">
        <f ca="1">IF(AND($AT594&lt;3,OFFSET(DATA!$C$14,$AS594,0)=BF$6),$AV594,dNULL)</f>
        <v>-99</v>
      </c>
      <c r="BG594">
        <f ca="1">IF(AND($AT594&lt;3,OFFSET(DATA!$C$14,$AS594,0)=BG$6),$AV594,dNULL)</f>
        <v>-99</v>
      </c>
      <c r="BH594">
        <f ca="1">IF(AND($AT594&lt;3,OFFSET(DATA!$C$14,$AS594,0)=BH$6),$AV594,dNULL)</f>
        <v>-99</v>
      </c>
    </row>
    <row r="595" spans="45:60" x14ac:dyDescent="0.25">
      <c r="AS595">
        <f t="shared" si="124"/>
        <v>49</v>
      </c>
      <c r="AT595">
        <f t="shared" si="125"/>
        <v>6</v>
      </c>
      <c r="AU595">
        <f t="shared" ca="1" si="126"/>
        <v>-99</v>
      </c>
      <c r="AV595">
        <f t="shared" ca="1" si="127"/>
        <v>-99</v>
      </c>
      <c r="AW595">
        <f ca="1">IF(AND($AT595&lt;3,OFFSET(DATA!$C$14,$AS595,0)=AW$6),$AV595,dNULL)</f>
        <v>-99</v>
      </c>
      <c r="AX595">
        <f ca="1">IF(AND($AT595&lt;3,OFFSET(DATA!$C$14,$AS595,0)=AX$6),$AV595,dNULL)</f>
        <v>-99</v>
      </c>
      <c r="AY595">
        <f ca="1">IF(AND($AT595&lt;3,OFFSET(DATA!$C$14,$AS595,0)=AY$6),$AV595,dNULL)</f>
        <v>-99</v>
      </c>
      <c r="AZ595">
        <f ca="1">IF(AND($AT595&lt;3,OFFSET(DATA!$C$14,$AS595,0)=AZ$6),$AV595,dNULL)</f>
        <v>-99</v>
      </c>
      <c r="BA595">
        <f ca="1">IF(AND($AT595&lt;3,OFFSET(DATA!$C$14,$AS595,0)=BA$6),$AV595,dNULL)</f>
        <v>-99</v>
      </c>
      <c r="BB595">
        <f ca="1">IF(AND($AT595&lt;3,OFFSET(DATA!$C$14,$AS595,0)=BB$6),$AV595,dNULL)</f>
        <v>-99</v>
      </c>
      <c r="BC595">
        <f ca="1">IF(AND($AT595&lt;3,OFFSET(DATA!$C$14,$AS595,0)=BC$6),$AV595,dNULL)</f>
        <v>-99</v>
      </c>
      <c r="BD595">
        <f ca="1">IF(AND($AT595&lt;3,OFFSET(DATA!$C$14,$AS595,0)=BD$6),$AV595,dNULL)</f>
        <v>-99</v>
      </c>
      <c r="BE595">
        <f ca="1">IF(AND($AT595&lt;3,OFFSET(DATA!$C$14,$AS595,0)=BE$6),$AV595,dNULL)</f>
        <v>-99</v>
      </c>
      <c r="BF595">
        <f ca="1">IF(AND($AT595&lt;3,OFFSET(DATA!$C$14,$AS595,0)=BF$6),$AV595,dNULL)</f>
        <v>-99</v>
      </c>
      <c r="BG595">
        <f ca="1">IF(AND($AT595&lt;3,OFFSET(DATA!$C$14,$AS595,0)=BG$6),$AV595,dNULL)</f>
        <v>-99</v>
      </c>
      <c r="BH595">
        <f ca="1">IF(AND($AT595&lt;3,OFFSET(DATA!$C$14,$AS595,0)=BH$6),$AV595,dNULL)</f>
        <v>-99</v>
      </c>
    </row>
    <row r="596" spans="45:60" x14ac:dyDescent="0.25">
      <c r="AS596">
        <f t="shared" si="124"/>
        <v>50</v>
      </c>
      <c r="AT596">
        <f t="shared" si="125"/>
        <v>6</v>
      </c>
      <c r="AU596">
        <f t="shared" ca="1" si="126"/>
        <v>-99</v>
      </c>
      <c r="AV596">
        <f t="shared" ca="1" si="127"/>
        <v>-99</v>
      </c>
      <c r="AW596">
        <f ca="1">IF(AND($AT596&lt;3,OFFSET(DATA!$C$14,$AS596,0)=AW$6),$AV596,dNULL)</f>
        <v>-99</v>
      </c>
      <c r="AX596">
        <f ca="1">IF(AND($AT596&lt;3,OFFSET(DATA!$C$14,$AS596,0)=AX$6),$AV596,dNULL)</f>
        <v>-99</v>
      </c>
      <c r="AY596">
        <f ca="1">IF(AND($AT596&lt;3,OFFSET(DATA!$C$14,$AS596,0)=AY$6),$AV596,dNULL)</f>
        <v>-99</v>
      </c>
      <c r="AZ596">
        <f ca="1">IF(AND($AT596&lt;3,OFFSET(DATA!$C$14,$AS596,0)=AZ$6),$AV596,dNULL)</f>
        <v>-99</v>
      </c>
      <c r="BA596">
        <f ca="1">IF(AND($AT596&lt;3,OFFSET(DATA!$C$14,$AS596,0)=BA$6),$AV596,dNULL)</f>
        <v>-99</v>
      </c>
      <c r="BB596">
        <f ca="1">IF(AND($AT596&lt;3,OFFSET(DATA!$C$14,$AS596,0)=BB$6),$AV596,dNULL)</f>
        <v>-99</v>
      </c>
      <c r="BC596">
        <f ca="1">IF(AND($AT596&lt;3,OFFSET(DATA!$C$14,$AS596,0)=BC$6),$AV596,dNULL)</f>
        <v>-99</v>
      </c>
      <c r="BD596">
        <f ca="1">IF(AND($AT596&lt;3,OFFSET(DATA!$C$14,$AS596,0)=BD$6),$AV596,dNULL)</f>
        <v>-99</v>
      </c>
      <c r="BE596">
        <f ca="1">IF(AND($AT596&lt;3,OFFSET(DATA!$C$14,$AS596,0)=BE$6),$AV596,dNULL)</f>
        <v>-99</v>
      </c>
      <c r="BF596">
        <f ca="1">IF(AND($AT596&lt;3,OFFSET(DATA!$C$14,$AS596,0)=BF$6),$AV596,dNULL)</f>
        <v>-99</v>
      </c>
      <c r="BG596">
        <f ca="1">IF(AND($AT596&lt;3,OFFSET(DATA!$C$14,$AS596,0)=BG$6),$AV596,dNULL)</f>
        <v>-99</v>
      </c>
      <c r="BH596">
        <f ca="1">IF(AND($AT596&lt;3,OFFSET(DATA!$C$14,$AS596,0)=BH$6),$AV596,dNULL)</f>
        <v>-99</v>
      </c>
    </row>
    <row r="597" spans="45:60" x14ac:dyDescent="0.25">
      <c r="AS597">
        <f t="shared" si="124"/>
        <v>51</v>
      </c>
      <c r="AT597">
        <f t="shared" si="125"/>
        <v>6</v>
      </c>
      <c r="AU597">
        <f t="shared" ca="1" si="126"/>
        <v>-99</v>
      </c>
      <c r="AV597">
        <f t="shared" ca="1" si="127"/>
        <v>-99</v>
      </c>
      <c r="AW597">
        <f ca="1">IF(AND($AT597&lt;3,OFFSET(DATA!$C$14,$AS597,0)=AW$6),$AV597,dNULL)</f>
        <v>-99</v>
      </c>
      <c r="AX597">
        <f ca="1">IF(AND($AT597&lt;3,OFFSET(DATA!$C$14,$AS597,0)=AX$6),$AV597,dNULL)</f>
        <v>-99</v>
      </c>
      <c r="AY597">
        <f ca="1">IF(AND($AT597&lt;3,OFFSET(DATA!$C$14,$AS597,0)=AY$6),$AV597,dNULL)</f>
        <v>-99</v>
      </c>
      <c r="AZ597">
        <f ca="1">IF(AND($AT597&lt;3,OFFSET(DATA!$C$14,$AS597,0)=AZ$6),$AV597,dNULL)</f>
        <v>-99</v>
      </c>
      <c r="BA597">
        <f ca="1">IF(AND($AT597&lt;3,OFFSET(DATA!$C$14,$AS597,0)=BA$6),$AV597,dNULL)</f>
        <v>-99</v>
      </c>
      <c r="BB597">
        <f ca="1">IF(AND($AT597&lt;3,OFFSET(DATA!$C$14,$AS597,0)=BB$6),$AV597,dNULL)</f>
        <v>-99</v>
      </c>
      <c r="BC597">
        <f ca="1">IF(AND($AT597&lt;3,OFFSET(DATA!$C$14,$AS597,0)=BC$6),$AV597,dNULL)</f>
        <v>-99</v>
      </c>
      <c r="BD597">
        <f ca="1">IF(AND($AT597&lt;3,OFFSET(DATA!$C$14,$AS597,0)=BD$6),$AV597,dNULL)</f>
        <v>-99</v>
      </c>
      <c r="BE597">
        <f ca="1">IF(AND($AT597&lt;3,OFFSET(DATA!$C$14,$AS597,0)=BE$6),$AV597,dNULL)</f>
        <v>-99</v>
      </c>
      <c r="BF597">
        <f ca="1">IF(AND($AT597&lt;3,OFFSET(DATA!$C$14,$AS597,0)=BF$6),$AV597,dNULL)</f>
        <v>-99</v>
      </c>
      <c r="BG597">
        <f ca="1">IF(AND($AT597&lt;3,OFFSET(DATA!$C$14,$AS597,0)=BG$6),$AV597,dNULL)</f>
        <v>-99</v>
      </c>
      <c r="BH597">
        <f ca="1">IF(AND($AT597&lt;3,OFFSET(DATA!$C$14,$AS597,0)=BH$6),$AV597,dNULL)</f>
        <v>-99</v>
      </c>
    </row>
    <row r="598" spans="45:60" x14ac:dyDescent="0.25">
      <c r="AS598">
        <f t="shared" si="124"/>
        <v>52</v>
      </c>
      <c r="AT598">
        <f t="shared" si="125"/>
        <v>6</v>
      </c>
      <c r="AU598">
        <f t="shared" ca="1" si="126"/>
        <v>-99</v>
      </c>
      <c r="AV598">
        <f t="shared" ca="1" si="127"/>
        <v>-99</v>
      </c>
      <c r="AW598">
        <f ca="1">IF(AND($AT598&lt;3,OFFSET(DATA!$C$14,$AS598,0)=AW$6),$AV598,dNULL)</f>
        <v>-99</v>
      </c>
      <c r="AX598">
        <f ca="1">IF(AND($AT598&lt;3,OFFSET(DATA!$C$14,$AS598,0)=AX$6),$AV598,dNULL)</f>
        <v>-99</v>
      </c>
      <c r="AY598">
        <f ca="1">IF(AND($AT598&lt;3,OFFSET(DATA!$C$14,$AS598,0)=AY$6),$AV598,dNULL)</f>
        <v>-99</v>
      </c>
      <c r="AZ598">
        <f ca="1">IF(AND($AT598&lt;3,OFFSET(DATA!$C$14,$AS598,0)=AZ$6),$AV598,dNULL)</f>
        <v>-99</v>
      </c>
      <c r="BA598">
        <f ca="1">IF(AND($AT598&lt;3,OFFSET(DATA!$C$14,$AS598,0)=BA$6),$AV598,dNULL)</f>
        <v>-99</v>
      </c>
      <c r="BB598">
        <f ca="1">IF(AND($AT598&lt;3,OFFSET(DATA!$C$14,$AS598,0)=BB$6),$AV598,dNULL)</f>
        <v>-99</v>
      </c>
      <c r="BC598">
        <f ca="1">IF(AND($AT598&lt;3,OFFSET(DATA!$C$14,$AS598,0)=BC$6),$AV598,dNULL)</f>
        <v>-99</v>
      </c>
      <c r="BD598">
        <f ca="1">IF(AND($AT598&lt;3,OFFSET(DATA!$C$14,$AS598,0)=BD$6),$AV598,dNULL)</f>
        <v>-99</v>
      </c>
      <c r="BE598">
        <f ca="1">IF(AND($AT598&lt;3,OFFSET(DATA!$C$14,$AS598,0)=BE$6),$AV598,dNULL)</f>
        <v>-99</v>
      </c>
      <c r="BF598">
        <f ca="1">IF(AND($AT598&lt;3,OFFSET(DATA!$C$14,$AS598,0)=BF$6),$AV598,dNULL)</f>
        <v>-99</v>
      </c>
      <c r="BG598">
        <f ca="1">IF(AND($AT598&lt;3,OFFSET(DATA!$C$14,$AS598,0)=BG$6),$AV598,dNULL)</f>
        <v>-99</v>
      </c>
      <c r="BH598">
        <f ca="1">IF(AND($AT598&lt;3,OFFSET(DATA!$C$14,$AS598,0)=BH$6),$AV598,dNULL)</f>
        <v>-99</v>
      </c>
    </row>
    <row r="599" spans="45:60" x14ac:dyDescent="0.25">
      <c r="AS599">
        <f t="shared" si="124"/>
        <v>53</v>
      </c>
      <c r="AT599">
        <f t="shared" si="125"/>
        <v>6</v>
      </c>
      <c r="AU599">
        <f t="shared" ca="1" si="126"/>
        <v>-99</v>
      </c>
      <c r="AV599">
        <f t="shared" ca="1" si="127"/>
        <v>-99</v>
      </c>
      <c r="AW599">
        <f ca="1">IF(AND($AT599&lt;3,OFFSET(DATA!$C$14,$AS599,0)=AW$6),$AV599,dNULL)</f>
        <v>-99</v>
      </c>
      <c r="AX599">
        <f ca="1">IF(AND($AT599&lt;3,OFFSET(DATA!$C$14,$AS599,0)=AX$6),$AV599,dNULL)</f>
        <v>-99</v>
      </c>
      <c r="AY599">
        <f ca="1">IF(AND($AT599&lt;3,OFFSET(DATA!$C$14,$AS599,0)=AY$6),$AV599,dNULL)</f>
        <v>-99</v>
      </c>
      <c r="AZ599">
        <f ca="1">IF(AND($AT599&lt;3,OFFSET(DATA!$C$14,$AS599,0)=AZ$6),$AV599,dNULL)</f>
        <v>-99</v>
      </c>
      <c r="BA599">
        <f ca="1">IF(AND($AT599&lt;3,OFFSET(DATA!$C$14,$AS599,0)=BA$6),$AV599,dNULL)</f>
        <v>-99</v>
      </c>
      <c r="BB599">
        <f ca="1">IF(AND($AT599&lt;3,OFFSET(DATA!$C$14,$AS599,0)=BB$6),$AV599,dNULL)</f>
        <v>-99</v>
      </c>
      <c r="BC599">
        <f ca="1">IF(AND($AT599&lt;3,OFFSET(DATA!$C$14,$AS599,0)=BC$6),$AV599,dNULL)</f>
        <v>-99</v>
      </c>
      <c r="BD599">
        <f ca="1">IF(AND($AT599&lt;3,OFFSET(DATA!$C$14,$AS599,0)=BD$6),$AV599,dNULL)</f>
        <v>-99</v>
      </c>
      <c r="BE599">
        <f ca="1">IF(AND($AT599&lt;3,OFFSET(DATA!$C$14,$AS599,0)=BE$6),$AV599,dNULL)</f>
        <v>-99</v>
      </c>
      <c r="BF599">
        <f ca="1">IF(AND($AT599&lt;3,OFFSET(DATA!$C$14,$AS599,0)=BF$6),$AV599,dNULL)</f>
        <v>-99</v>
      </c>
      <c r="BG599">
        <f ca="1">IF(AND($AT599&lt;3,OFFSET(DATA!$C$14,$AS599,0)=BG$6),$AV599,dNULL)</f>
        <v>-99</v>
      </c>
      <c r="BH599">
        <f ca="1">IF(AND($AT599&lt;3,OFFSET(DATA!$C$14,$AS599,0)=BH$6),$AV599,dNULL)</f>
        <v>-99</v>
      </c>
    </row>
    <row r="600" spans="45:60" x14ac:dyDescent="0.25">
      <c r="AS600">
        <f t="shared" si="124"/>
        <v>54</v>
      </c>
      <c r="AT600">
        <f t="shared" si="125"/>
        <v>6</v>
      </c>
      <c r="AU600">
        <f t="shared" ca="1" si="126"/>
        <v>-99</v>
      </c>
      <c r="AV600">
        <f t="shared" ca="1" si="127"/>
        <v>-99</v>
      </c>
      <c r="AW600">
        <f ca="1">IF(AND($AT600&lt;3,OFFSET(DATA!$C$14,$AS600,0)=AW$6),$AV600,dNULL)</f>
        <v>-99</v>
      </c>
      <c r="AX600">
        <f ca="1">IF(AND($AT600&lt;3,OFFSET(DATA!$C$14,$AS600,0)=AX$6),$AV600,dNULL)</f>
        <v>-99</v>
      </c>
      <c r="AY600">
        <f ca="1">IF(AND($AT600&lt;3,OFFSET(DATA!$C$14,$AS600,0)=AY$6),$AV600,dNULL)</f>
        <v>-99</v>
      </c>
      <c r="AZ600">
        <f ca="1">IF(AND($AT600&lt;3,OFFSET(DATA!$C$14,$AS600,0)=AZ$6),$AV600,dNULL)</f>
        <v>-99</v>
      </c>
      <c r="BA600">
        <f ca="1">IF(AND($AT600&lt;3,OFFSET(DATA!$C$14,$AS600,0)=BA$6),$AV600,dNULL)</f>
        <v>-99</v>
      </c>
      <c r="BB600">
        <f ca="1">IF(AND($AT600&lt;3,OFFSET(DATA!$C$14,$AS600,0)=BB$6),$AV600,dNULL)</f>
        <v>-99</v>
      </c>
      <c r="BC600">
        <f ca="1">IF(AND($AT600&lt;3,OFFSET(DATA!$C$14,$AS600,0)=BC$6),$AV600,dNULL)</f>
        <v>-99</v>
      </c>
      <c r="BD600">
        <f ca="1">IF(AND($AT600&lt;3,OFFSET(DATA!$C$14,$AS600,0)=BD$6),$AV600,dNULL)</f>
        <v>-99</v>
      </c>
      <c r="BE600">
        <f ca="1">IF(AND($AT600&lt;3,OFFSET(DATA!$C$14,$AS600,0)=BE$6),$AV600,dNULL)</f>
        <v>-99</v>
      </c>
      <c r="BF600">
        <f ca="1">IF(AND($AT600&lt;3,OFFSET(DATA!$C$14,$AS600,0)=BF$6),$AV600,dNULL)</f>
        <v>-99</v>
      </c>
      <c r="BG600">
        <f ca="1">IF(AND($AT600&lt;3,OFFSET(DATA!$C$14,$AS600,0)=BG$6),$AV600,dNULL)</f>
        <v>-99</v>
      </c>
      <c r="BH600">
        <f ca="1">IF(AND($AT600&lt;3,OFFSET(DATA!$C$14,$AS600,0)=BH$6),$AV600,dNULL)</f>
        <v>-99</v>
      </c>
    </row>
    <row r="601" spans="45:60" x14ac:dyDescent="0.25">
      <c r="AS601">
        <f t="shared" si="124"/>
        <v>55</v>
      </c>
      <c r="AT601">
        <f t="shared" si="125"/>
        <v>6</v>
      </c>
      <c r="AU601">
        <f t="shared" ca="1" si="126"/>
        <v>-99</v>
      </c>
      <c r="AV601">
        <f t="shared" ca="1" si="127"/>
        <v>-99</v>
      </c>
      <c r="AW601">
        <f ca="1">IF(AND($AT601&lt;3,OFFSET(DATA!$C$14,$AS601,0)=AW$6),$AV601,dNULL)</f>
        <v>-99</v>
      </c>
      <c r="AX601">
        <f ca="1">IF(AND($AT601&lt;3,OFFSET(DATA!$C$14,$AS601,0)=AX$6),$AV601,dNULL)</f>
        <v>-99</v>
      </c>
      <c r="AY601">
        <f ca="1">IF(AND($AT601&lt;3,OFFSET(DATA!$C$14,$AS601,0)=AY$6),$AV601,dNULL)</f>
        <v>-99</v>
      </c>
      <c r="AZ601">
        <f ca="1">IF(AND($AT601&lt;3,OFFSET(DATA!$C$14,$AS601,0)=AZ$6),$AV601,dNULL)</f>
        <v>-99</v>
      </c>
      <c r="BA601">
        <f ca="1">IF(AND($AT601&lt;3,OFFSET(DATA!$C$14,$AS601,0)=BA$6),$AV601,dNULL)</f>
        <v>-99</v>
      </c>
      <c r="BB601">
        <f ca="1">IF(AND($AT601&lt;3,OFFSET(DATA!$C$14,$AS601,0)=BB$6),$AV601,dNULL)</f>
        <v>-99</v>
      </c>
      <c r="BC601">
        <f ca="1">IF(AND($AT601&lt;3,OFFSET(DATA!$C$14,$AS601,0)=BC$6),$AV601,dNULL)</f>
        <v>-99</v>
      </c>
      <c r="BD601">
        <f ca="1">IF(AND($AT601&lt;3,OFFSET(DATA!$C$14,$AS601,0)=BD$6),$AV601,dNULL)</f>
        <v>-99</v>
      </c>
      <c r="BE601">
        <f ca="1">IF(AND($AT601&lt;3,OFFSET(DATA!$C$14,$AS601,0)=BE$6),$AV601,dNULL)</f>
        <v>-99</v>
      </c>
      <c r="BF601">
        <f ca="1">IF(AND($AT601&lt;3,OFFSET(DATA!$C$14,$AS601,0)=BF$6),$AV601,dNULL)</f>
        <v>-99</v>
      </c>
      <c r="BG601">
        <f ca="1">IF(AND($AT601&lt;3,OFFSET(DATA!$C$14,$AS601,0)=BG$6),$AV601,dNULL)</f>
        <v>-99</v>
      </c>
      <c r="BH601">
        <f ca="1">IF(AND($AT601&lt;3,OFFSET(DATA!$C$14,$AS601,0)=BH$6),$AV601,dNULL)</f>
        <v>-99</v>
      </c>
    </row>
    <row r="602" spans="45:60" x14ac:dyDescent="0.25">
      <c r="AS602">
        <f t="shared" si="124"/>
        <v>56</v>
      </c>
      <c r="AT602">
        <f t="shared" si="125"/>
        <v>6</v>
      </c>
      <c r="AU602">
        <f t="shared" ca="1" si="126"/>
        <v>-99</v>
      </c>
      <c r="AV602">
        <f t="shared" ca="1" si="127"/>
        <v>-99</v>
      </c>
      <c r="AW602">
        <f ca="1">IF(AND($AT602&lt;3,OFFSET(DATA!$C$14,$AS602,0)=AW$6),$AV602,dNULL)</f>
        <v>-99</v>
      </c>
      <c r="AX602">
        <f ca="1">IF(AND($AT602&lt;3,OFFSET(DATA!$C$14,$AS602,0)=AX$6),$AV602,dNULL)</f>
        <v>-99</v>
      </c>
      <c r="AY602">
        <f ca="1">IF(AND($AT602&lt;3,OFFSET(DATA!$C$14,$AS602,0)=AY$6),$AV602,dNULL)</f>
        <v>-99</v>
      </c>
      <c r="AZ602">
        <f ca="1">IF(AND($AT602&lt;3,OFFSET(DATA!$C$14,$AS602,0)=AZ$6),$AV602,dNULL)</f>
        <v>-99</v>
      </c>
      <c r="BA602">
        <f ca="1">IF(AND($AT602&lt;3,OFFSET(DATA!$C$14,$AS602,0)=BA$6),$AV602,dNULL)</f>
        <v>-99</v>
      </c>
      <c r="BB602">
        <f ca="1">IF(AND($AT602&lt;3,OFFSET(DATA!$C$14,$AS602,0)=BB$6),$AV602,dNULL)</f>
        <v>-99</v>
      </c>
      <c r="BC602">
        <f ca="1">IF(AND($AT602&lt;3,OFFSET(DATA!$C$14,$AS602,0)=BC$6),$AV602,dNULL)</f>
        <v>-99</v>
      </c>
      <c r="BD602">
        <f ca="1">IF(AND($AT602&lt;3,OFFSET(DATA!$C$14,$AS602,0)=BD$6),$AV602,dNULL)</f>
        <v>-99</v>
      </c>
      <c r="BE602">
        <f ca="1">IF(AND($AT602&lt;3,OFFSET(DATA!$C$14,$AS602,0)=BE$6),$AV602,dNULL)</f>
        <v>-99</v>
      </c>
      <c r="BF602">
        <f ca="1">IF(AND($AT602&lt;3,OFFSET(DATA!$C$14,$AS602,0)=BF$6),$AV602,dNULL)</f>
        <v>-99</v>
      </c>
      <c r="BG602">
        <f ca="1">IF(AND($AT602&lt;3,OFFSET(DATA!$C$14,$AS602,0)=BG$6),$AV602,dNULL)</f>
        <v>-99</v>
      </c>
      <c r="BH602">
        <f ca="1">IF(AND($AT602&lt;3,OFFSET(DATA!$C$14,$AS602,0)=BH$6),$AV602,dNULL)</f>
        <v>-99</v>
      </c>
    </row>
    <row r="603" spans="45:60" x14ac:dyDescent="0.25">
      <c r="AS603">
        <f t="shared" si="124"/>
        <v>57</v>
      </c>
      <c r="AT603">
        <f t="shared" si="125"/>
        <v>6</v>
      </c>
      <c r="AU603">
        <f t="shared" ca="1" si="126"/>
        <v>-99</v>
      </c>
      <c r="AV603">
        <f t="shared" ca="1" si="127"/>
        <v>-99</v>
      </c>
      <c r="AW603">
        <f ca="1">IF(AND($AT603&lt;3,OFFSET(DATA!$C$14,$AS603,0)=AW$6),$AV603,dNULL)</f>
        <v>-99</v>
      </c>
      <c r="AX603">
        <f ca="1">IF(AND($AT603&lt;3,OFFSET(DATA!$C$14,$AS603,0)=AX$6),$AV603,dNULL)</f>
        <v>-99</v>
      </c>
      <c r="AY603">
        <f ca="1">IF(AND($AT603&lt;3,OFFSET(DATA!$C$14,$AS603,0)=AY$6),$AV603,dNULL)</f>
        <v>-99</v>
      </c>
      <c r="AZ603">
        <f ca="1">IF(AND($AT603&lt;3,OFFSET(DATA!$C$14,$AS603,0)=AZ$6),$AV603,dNULL)</f>
        <v>-99</v>
      </c>
      <c r="BA603">
        <f ca="1">IF(AND($AT603&lt;3,OFFSET(DATA!$C$14,$AS603,0)=BA$6),$AV603,dNULL)</f>
        <v>-99</v>
      </c>
      <c r="BB603">
        <f ca="1">IF(AND($AT603&lt;3,OFFSET(DATA!$C$14,$AS603,0)=BB$6),$AV603,dNULL)</f>
        <v>-99</v>
      </c>
      <c r="BC603">
        <f ca="1">IF(AND($AT603&lt;3,OFFSET(DATA!$C$14,$AS603,0)=BC$6),$AV603,dNULL)</f>
        <v>-99</v>
      </c>
      <c r="BD603">
        <f ca="1">IF(AND($AT603&lt;3,OFFSET(DATA!$C$14,$AS603,0)=BD$6),$AV603,dNULL)</f>
        <v>-99</v>
      </c>
      <c r="BE603">
        <f ca="1">IF(AND($AT603&lt;3,OFFSET(DATA!$C$14,$AS603,0)=BE$6),$AV603,dNULL)</f>
        <v>-99</v>
      </c>
      <c r="BF603">
        <f ca="1">IF(AND($AT603&lt;3,OFFSET(DATA!$C$14,$AS603,0)=BF$6),$AV603,dNULL)</f>
        <v>-99</v>
      </c>
      <c r="BG603">
        <f ca="1">IF(AND($AT603&lt;3,OFFSET(DATA!$C$14,$AS603,0)=BG$6),$AV603,dNULL)</f>
        <v>-99</v>
      </c>
      <c r="BH603">
        <f ca="1">IF(AND($AT603&lt;3,OFFSET(DATA!$C$14,$AS603,0)=BH$6),$AV603,dNULL)</f>
        <v>-99</v>
      </c>
    </row>
    <row r="604" spans="45:60" x14ac:dyDescent="0.25">
      <c r="AS604">
        <f t="shared" si="124"/>
        <v>58</v>
      </c>
      <c r="AT604">
        <f t="shared" si="125"/>
        <v>6</v>
      </c>
      <c r="AU604">
        <f t="shared" ca="1" si="126"/>
        <v>-99</v>
      </c>
      <c r="AV604">
        <f t="shared" ca="1" si="127"/>
        <v>-99</v>
      </c>
      <c r="AW604">
        <f ca="1">IF(AND($AT604&lt;3,OFFSET(DATA!$C$14,$AS604,0)=AW$6),$AV604,dNULL)</f>
        <v>-99</v>
      </c>
      <c r="AX604">
        <f ca="1">IF(AND($AT604&lt;3,OFFSET(DATA!$C$14,$AS604,0)=AX$6),$AV604,dNULL)</f>
        <v>-99</v>
      </c>
      <c r="AY604">
        <f ca="1">IF(AND($AT604&lt;3,OFFSET(DATA!$C$14,$AS604,0)=AY$6),$AV604,dNULL)</f>
        <v>-99</v>
      </c>
      <c r="AZ604">
        <f ca="1">IF(AND($AT604&lt;3,OFFSET(DATA!$C$14,$AS604,0)=AZ$6),$AV604,dNULL)</f>
        <v>-99</v>
      </c>
      <c r="BA604">
        <f ca="1">IF(AND($AT604&lt;3,OFFSET(DATA!$C$14,$AS604,0)=BA$6),$AV604,dNULL)</f>
        <v>-99</v>
      </c>
      <c r="BB604">
        <f ca="1">IF(AND($AT604&lt;3,OFFSET(DATA!$C$14,$AS604,0)=BB$6),$AV604,dNULL)</f>
        <v>-99</v>
      </c>
      <c r="BC604">
        <f ca="1">IF(AND($AT604&lt;3,OFFSET(DATA!$C$14,$AS604,0)=BC$6),$AV604,dNULL)</f>
        <v>-99</v>
      </c>
      <c r="BD604">
        <f ca="1">IF(AND($AT604&lt;3,OFFSET(DATA!$C$14,$AS604,0)=BD$6),$AV604,dNULL)</f>
        <v>-99</v>
      </c>
      <c r="BE604">
        <f ca="1">IF(AND($AT604&lt;3,OFFSET(DATA!$C$14,$AS604,0)=BE$6),$AV604,dNULL)</f>
        <v>-99</v>
      </c>
      <c r="BF604">
        <f ca="1">IF(AND($AT604&lt;3,OFFSET(DATA!$C$14,$AS604,0)=BF$6),$AV604,dNULL)</f>
        <v>-99</v>
      </c>
      <c r="BG604">
        <f ca="1">IF(AND($AT604&lt;3,OFFSET(DATA!$C$14,$AS604,0)=BG$6),$AV604,dNULL)</f>
        <v>-99</v>
      </c>
      <c r="BH604">
        <f ca="1">IF(AND($AT604&lt;3,OFFSET(DATA!$C$14,$AS604,0)=BH$6),$AV604,dNULL)</f>
        <v>-99</v>
      </c>
    </row>
    <row r="605" spans="45:60" x14ac:dyDescent="0.25">
      <c r="AS605">
        <f t="shared" si="124"/>
        <v>59</v>
      </c>
      <c r="AT605">
        <f t="shared" si="125"/>
        <v>6</v>
      </c>
      <c r="AU605">
        <f t="shared" ca="1" si="126"/>
        <v>-99</v>
      </c>
      <c r="AV605">
        <f t="shared" ca="1" si="127"/>
        <v>-99</v>
      </c>
      <c r="AW605">
        <f ca="1">IF(AND($AT605&lt;3,OFFSET(DATA!$C$14,$AS605,0)=AW$6),$AV605,dNULL)</f>
        <v>-99</v>
      </c>
      <c r="AX605">
        <f ca="1">IF(AND($AT605&lt;3,OFFSET(DATA!$C$14,$AS605,0)=AX$6),$AV605,dNULL)</f>
        <v>-99</v>
      </c>
      <c r="AY605">
        <f ca="1">IF(AND($AT605&lt;3,OFFSET(DATA!$C$14,$AS605,0)=AY$6),$AV605,dNULL)</f>
        <v>-99</v>
      </c>
      <c r="AZ605">
        <f ca="1">IF(AND($AT605&lt;3,OFFSET(DATA!$C$14,$AS605,0)=AZ$6),$AV605,dNULL)</f>
        <v>-99</v>
      </c>
      <c r="BA605">
        <f ca="1">IF(AND($AT605&lt;3,OFFSET(DATA!$C$14,$AS605,0)=BA$6),$AV605,dNULL)</f>
        <v>-99</v>
      </c>
      <c r="BB605">
        <f ca="1">IF(AND($AT605&lt;3,OFFSET(DATA!$C$14,$AS605,0)=BB$6),$AV605,dNULL)</f>
        <v>-99</v>
      </c>
      <c r="BC605">
        <f ca="1">IF(AND($AT605&lt;3,OFFSET(DATA!$C$14,$AS605,0)=BC$6),$AV605,dNULL)</f>
        <v>-99</v>
      </c>
      <c r="BD605">
        <f ca="1">IF(AND($AT605&lt;3,OFFSET(DATA!$C$14,$AS605,0)=BD$6),$AV605,dNULL)</f>
        <v>-99</v>
      </c>
      <c r="BE605">
        <f ca="1">IF(AND($AT605&lt;3,OFFSET(DATA!$C$14,$AS605,0)=BE$6),$AV605,dNULL)</f>
        <v>-99</v>
      </c>
      <c r="BF605">
        <f ca="1">IF(AND($AT605&lt;3,OFFSET(DATA!$C$14,$AS605,0)=BF$6),$AV605,dNULL)</f>
        <v>-99</v>
      </c>
      <c r="BG605">
        <f ca="1">IF(AND($AT605&lt;3,OFFSET(DATA!$C$14,$AS605,0)=BG$6),$AV605,dNULL)</f>
        <v>-99</v>
      </c>
      <c r="BH605">
        <f ca="1">IF(AND($AT605&lt;3,OFFSET(DATA!$C$14,$AS605,0)=BH$6),$AV605,dNULL)</f>
        <v>-99</v>
      </c>
    </row>
    <row r="606" spans="45:60" x14ac:dyDescent="0.25">
      <c r="AS606">
        <f t="shared" si="124"/>
        <v>60</v>
      </c>
      <c r="AT606">
        <f t="shared" si="125"/>
        <v>6</v>
      </c>
      <c r="AU606">
        <f t="shared" ca="1" si="126"/>
        <v>-99</v>
      </c>
      <c r="AV606">
        <f t="shared" ca="1" si="127"/>
        <v>-99</v>
      </c>
      <c r="AW606">
        <f ca="1">IF(AND($AT606&lt;3,OFFSET(DATA!$C$14,$AS606,0)=AW$6),$AV606,dNULL)</f>
        <v>-99</v>
      </c>
      <c r="AX606">
        <f ca="1">IF(AND($AT606&lt;3,OFFSET(DATA!$C$14,$AS606,0)=AX$6),$AV606,dNULL)</f>
        <v>-99</v>
      </c>
      <c r="AY606">
        <f ca="1">IF(AND($AT606&lt;3,OFFSET(DATA!$C$14,$AS606,0)=AY$6),$AV606,dNULL)</f>
        <v>-99</v>
      </c>
      <c r="AZ606">
        <f ca="1">IF(AND($AT606&lt;3,OFFSET(DATA!$C$14,$AS606,0)=AZ$6),$AV606,dNULL)</f>
        <v>-99</v>
      </c>
      <c r="BA606">
        <f ca="1">IF(AND($AT606&lt;3,OFFSET(DATA!$C$14,$AS606,0)=BA$6),$AV606,dNULL)</f>
        <v>-99</v>
      </c>
      <c r="BB606">
        <f ca="1">IF(AND($AT606&lt;3,OFFSET(DATA!$C$14,$AS606,0)=BB$6),$AV606,dNULL)</f>
        <v>-99</v>
      </c>
      <c r="BC606">
        <f ca="1">IF(AND($AT606&lt;3,OFFSET(DATA!$C$14,$AS606,0)=BC$6),$AV606,dNULL)</f>
        <v>-99</v>
      </c>
      <c r="BD606">
        <f ca="1">IF(AND($AT606&lt;3,OFFSET(DATA!$C$14,$AS606,0)=BD$6),$AV606,dNULL)</f>
        <v>-99</v>
      </c>
      <c r="BE606">
        <f ca="1">IF(AND($AT606&lt;3,OFFSET(DATA!$C$14,$AS606,0)=BE$6),$AV606,dNULL)</f>
        <v>-99</v>
      </c>
      <c r="BF606">
        <f ca="1">IF(AND($AT606&lt;3,OFFSET(DATA!$C$14,$AS606,0)=BF$6),$AV606,dNULL)</f>
        <v>-99</v>
      </c>
      <c r="BG606">
        <f ca="1">IF(AND($AT606&lt;3,OFFSET(DATA!$C$14,$AS606,0)=BG$6),$AV606,dNULL)</f>
        <v>-99</v>
      </c>
      <c r="BH606">
        <f ca="1">IF(AND($AT606&lt;3,OFFSET(DATA!$C$14,$AS606,0)=BH$6),$AV606,dNULL)</f>
        <v>-99</v>
      </c>
    </row>
    <row r="607" spans="45:60" x14ac:dyDescent="0.25">
      <c r="AS607">
        <f t="shared" si="124"/>
        <v>61</v>
      </c>
      <c r="AT607">
        <f t="shared" si="125"/>
        <v>6</v>
      </c>
      <c r="AU607">
        <f t="shared" ca="1" si="126"/>
        <v>-99</v>
      </c>
      <c r="AV607">
        <f t="shared" ca="1" si="127"/>
        <v>-99</v>
      </c>
      <c r="AW607">
        <f ca="1">IF(AND($AT607&lt;3,OFFSET(DATA!$C$14,$AS607,0)=AW$6),$AV607,dNULL)</f>
        <v>-99</v>
      </c>
      <c r="AX607">
        <f ca="1">IF(AND($AT607&lt;3,OFFSET(DATA!$C$14,$AS607,0)=AX$6),$AV607,dNULL)</f>
        <v>-99</v>
      </c>
      <c r="AY607">
        <f ca="1">IF(AND($AT607&lt;3,OFFSET(DATA!$C$14,$AS607,0)=AY$6),$AV607,dNULL)</f>
        <v>-99</v>
      </c>
      <c r="AZ607">
        <f ca="1">IF(AND($AT607&lt;3,OFFSET(DATA!$C$14,$AS607,0)=AZ$6),$AV607,dNULL)</f>
        <v>-99</v>
      </c>
      <c r="BA607">
        <f ca="1">IF(AND($AT607&lt;3,OFFSET(DATA!$C$14,$AS607,0)=BA$6),$AV607,dNULL)</f>
        <v>-99</v>
      </c>
      <c r="BB607">
        <f ca="1">IF(AND($AT607&lt;3,OFFSET(DATA!$C$14,$AS607,0)=BB$6),$AV607,dNULL)</f>
        <v>-99</v>
      </c>
      <c r="BC607">
        <f ca="1">IF(AND($AT607&lt;3,OFFSET(DATA!$C$14,$AS607,0)=BC$6),$AV607,dNULL)</f>
        <v>-99</v>
      </c>
      <c r="BD607">
        <f ca="1">IF(AND($AT607&lt;3,OFFSET(DATA!$C$14,$AS607,0)=BD$6),$AV607,dNULL)</f>
        <v>-99</v>
      </c>
      <c r="BE607">
        <f ca="1">IF(AND($AT607&lt;3,OFFSET(DATA!$C$14,$AS607,0)=BE$6),$AV607,dNULL)</f>
        <v>-99</v>
      </c>
      <c r="BF607">
        <f ca="1">IF(AND($AT607&lt;3,OFFSET(DATA!$C$14,$AS607,0)=BF$6),$AV607,dNULL)</f>
        <v>-99</v>
      </c>
      <c r="BG607">
        <f ca="1">IF(AND($AT607&lt;3,OFFSET(DATA!$C$14,$AS607,0)=BG$6),$AV607,dNULL)</f>
        <v>-99</v>
      </c>
      <c r="BH607">
        <f ca="1">IF(AND($AT607&lt;3,OFFSET(DATA!$C$14,$AS607,0)=BH$6),$AV607,dNULL)</f>
        <v>-99</v>
      </c>
    </row>
    <row r="608" spans="45:60" x14ac:dyDescent="0.25">
      <c r="AS608">
        <f t="shared" si="124"/>
        <v>62</v>
      </c>
      <c r="AT608">
        <f t="shared" si="125"/>
        <v>6</v>
      </c>
      <c r="AU608">
        <f t="shared" ca="1" si="126"/>
        <v>-99</v>
      </c>
      <c r="AV608">
        <f t="shared" ca="1" si="127"/>
        <v>-99</v>
      </c>
      <c r="AW608">
        <f ca="1">IF(AND($AT608&lt;3,OFFSET(DATA!$C$14,$AS608,0)=AW$6),$AV608,dNULL)</f>
        <v>-99</v>
      </c>
      <c r="AX608">
        <f ca="1">IF(AND($AT608&lt;3,OFFSET(DATA!$C$14,$AS608,0)=AX$6),$AV608,dNULL)</f>
        <v>-99</v>
      </c>
      <c r="AY608">
        <f ca="1">IF(AND($AT608&lt;3,OFFSET(DATA!$C$14,$AS608,0)=AY$6),$AV608,dNULL)</f>
        <v>-99</v>
      </c>
      <c r="AZ608">
        <f ca="1">IF(AND($AT608&lt;3,OFFSET(DATA!$C$14,$AS608,0)=AZ$6),$AV608,dNULL)</f>
        <v>-99</v>
      </c>
      <c r="BA608">
        <f ca="1">IF(AND($AT608&lt;3,OFFSET(DATA!$C$14,$AS608,0)=BA$6),$AV608,dNULL)</f>
        <v>-99</v>
      </c>
      <c r="BB608">
        <f ca="1">IF(AND($AT608&lt;3,OFFSET(DATA!$C$14,$AS608,0)=BB$6),$AV608,dNULL)</f>
        <v>-99</v>
      </c>
      <c r="BC608">
        <f ca="1">IF(AND($AT608&lt;3,OFFSET(DATA!$C$14,$AS608,0)=BC$6),$AV608,dNULL)</f>
        <v>-99</v>
      </c>
      <c r="BD608">
        <f ca="1">IF(AND($AT608&lt;3,OFFSET(DATA!$C$14,$AS608,0)=BD$6),$AV608,dNULL)</f>
        <v>-99</v>
      </c>
      <c r="BE608">
        <f ca="1">IF(AND($AT608&lt;3,OFFSET(DATA!$C$14,$AS608,0)=BE$6),$AV608,dNULL)</f>
        <v>-99</v>
      </c>
      <c r="BF608">
        <f ca="1">IF(AND($AT608&lt;3,OFFSET(DATA!$C$14,$AS608,0)=BF$6),$AV608,dNULL)</f>
        <v>-99</v>
      </c>
      <c r="BG608">
        <f ca="1">IF(AND($AT608&lt;3,OFFSET(DATA!$C$14,$AS608,0)=BG$6),$AV608,dNULL)</f>
        <v>-99</v>
      </c>
      <c r="BH608">
        <f ca="1">IF(AND($AT608&lt;3,OFFSET(DATA!$C$14,$AS608,0)=BH$6),$AV608,dNULL)</f>
        <v>-99</v>
      </c>
    </row>
    <row r="609" spans="45:60" x14ac:dyDescent="0.25">
      <c r="AS609">
        <f t="shared" si="124"/>
        <v>63</v>
      </c>
      <c r="AT609">
        <f t="shared" si="125"/>
        <v>6</v>
      </c>
      <c r="AU609">
        <f t="shared" ca="1" si="126"/>
        <v>-99</v>
      </c>
      <c r="AV609">
        <f t="shared" ca="1" si="127"/>
        <v>-99</v>
      </c>
      <c r="AW609">
        <f ca="1">IF(AND($AT609&lt;3,OFFSET(DATA!$C$14,$AS609,0)=AW$6),$AV609,dNULL)</f>
        <v>-99</v>
      </c>
      <c r="AX609">
        <f ca="1">IF(AND($AT609&lt;3,OFFSET(DATA!$C$14,$AS609,0)=AX$6),$AV609,dNULL)</f>
        <v>-99</v>
      </c>
      <c r="AY609">
        <f ca="1">IF(AND($AT609&lt;3,OFFSET(DATA!$C$14,$AS609,0)=AY$6),$AV609,dNULL)</f>
        <v>-99</v>
      </c>
      <c r="AZ609">
        <f ca="1">IF(AND($AT609&lt;3,OFFSET(DATA!$C$14,$AS609,0)=AZ$6),$AV609,dNULL)</f>
        <v>-99</v>
      </c>
      <c r="BA609">
        <f ca="1">IF(AND($AT609&lt;3,OFFSET(DATA!$C$14,$AS609,0)=BA$6),$AV609,dNULL)</f>
        <v>-99</v>
      </c>
      <c r="BB609">
        <f ca="1">IF(AND($AT609&lt;3,OFFSET(DATA!$C$14,$AS609,0)=BB$6),$AV609,dNULL)</f>
        <v>-99</v>
      </c>
      <c r="BC609">
        <f ca="1">IF(AND($AT609&lt;3,OFFSET(DATA!$C$14,$AS609,0)=BC$6),$AV609,dNULL)</f>
        <v>-99</v>
      </c>
      <c r="BD609">
        <f ca="1">IF(AND($AT609&lt;3,OFFSET(DATA!$C$14,$AS609,0)=BD$6),$AV609,dNULL)</f>
        <v>-99</v>
      </c>
      <c r="BE609">
        <f ca="1">IF(AND($AT609&lt;3,OFFSET(DATA!$C$14,$AS609,0)=BE$6),$AV609,dNULL)</f>
        <v>-99</v>
      </c>
      <c r="BF609">
        <f ca="1">IF(AND($AT609&lt;3,OFFSET(DATA!$C$14,$AS609,0)=BF$6),$AV609,dNULL)</f>
        <v>-99</v>
      </c>
      <c r="BG609">
        <f ca="1">IF(AND($AT609&lt;3,OFFSET(DATA!$C$14,$AS609,0)=BG$6),$AV609,dNULL)</f>
        <v>-99</v>
      </c>
      <c r="BH609">
        <f ca="1">IF(AND($AT609&lt;3,OFFSET(DATA!$C$14,$AS609,0)=BH$6),$AV609,dNULL)</f>
        <v>-99</v>
      </c>
    </row>
    <row r="610" spans="45:60" x14ac:dyDescent="0.25">
      <c r="AS610">
        <f t="shared" si="124"/>
        <v>64</v>
      </c>
      <c r="AT610">
        <f t="shared" si="125"/>
        <v>6</v>
      </c>
      <c r="AU610">
        <f t="shared" ca="1" si="126"/>
        <v>-99</v>
      </c>
      <c r="AV610">
        <f t="shared" ca="1" si="127"/>
        <v>-99</v>
      </c>
      <c r="AW610">
        <f ca="1">IF(AND($AT610&lt;3,OFFSET(DATA!$C$14,$AS610,0)=AW$6),$AV610,dNULL)</f>
        <v>-99</v>
      </c>
      <c r="AX610">
        <f ca="1">IF(AND($AT610&lt;3,OFFSET(DATA!$C$14,$AS610,0)=AX$6),$AV610,dNULL)</f>
        <v>-99</v>
      </c>
      <c r="AY610">
        <f ca="1">IF(AND($AT610&lt;3,OFFSET(DATA!$C$14,$AS610,0)=AY$6),$AV610,dNULL)</f>
        <v>-99</v>
      </c>
      <c r="AZ610">
        <f ca="1">IF(AND($AT610&lt;3,OFFSET(DATA!$C$14,$AS610,0)=AZ$6),$AV610,dNULL)</f>
        <v>-99</v>
      </c>
      <c r="BA610">
        <f ca="1">IF(AND($AT610&lt;3,OFFSET(DATA!$C$14,$AS610,0)=BA$6),$AV610,dNULL)</f>
        <v>-99</v>
      </c>
      <c r="BB610">
        <f ca="1">IF(AND($AT610&lt;3,OFFSET(DATA!$C$14,$AS610,0)=BB$6),$AV610,dNULL)</f>
        <v>-99</v>
      </c>
      <c r="BC610">
        <f ca="1">IF(AND($AT610&lt;3,OFFSET(DATA!$C$14,$AS610,0)=BC$6),$AV610,dNULL)</f>
        <v>-99</v>
      </c>
      <c r="BD610">
        <f ca="1">IF(AND($AT610&lt;3,OFFSET(DATA!$C$14,$AS610,0)=BD$6),$AV610,dNULL)</f>
        <v>-99</v>
      </c>
      <c r="BE610">
        <f ca="1">IF(AND($AT610&lt;3,OFFSET(DATA!$C$14,$AS610,0)=BE$6),$AV610,dNULL)</f>
        <v>-99</v>
      </c>
      <c r="BF610">
        <f ca="1">IF(AND($AT610&lt;3,OFFSET(DATA!$C$14,$AS610,0)=BF$6),$AV610,dNULL)</f>
        <v>-99</v>
      </c>
      <c r="BG610">
        <f ca="1">IF(AND($AT610&lt;3,OFFSET(DATA!$C$14,$AS610,0)=BG$6),$AV610,dNULL)</f>
        <v>-99</v>
      </c>
      <c r="BH610">
        <f ca="1">IF(AND($AT610&lt;3,OFFSET(DATA!$C$14,$AS610,0)=BH$6),$AV610,dNULL)</f>
        <v>-99</v>
      </c>
    </row>
    <row r="611" spans="45:60" x14ac:dyDescent="0.25">
      <c r="AS611">
        <f t="shared" si="124"/>
        <v>65</v>
      </c>
      <c r="AT611">
        <f t="shared" si="125"/>
        <v>6</v>
      </c>
      <c r="AU611">
        <f t="shared" ca="1" si="126"/>
        <v>-99</v>
      </c>
      <c r="AV611">
        <f t="shared" ca="1" si="127"/>
        <v>-99</v>
      </c>
      <c r="AW611">
        <f ca="1">IF(AND($AT611&lt;3,OFFSET(DATA!$C$14,$AS611,0)=AW$6),$AV611,dNULL)</f>
        <v>-99</v>
      </c>
      <c r="AX611">
        <f ca="1">IF(AND($AT611&lt;3,OFFSET(DATA!$C$14,$AS611,0)=AX$6),$AV611,dNULL)</f>
        <v>-99</v>
      </c>
      <c r="AY611">
        <f ca="1">IF(AND($AT611&lt;3,OFFSET(DATA!$C$14,$AS611,0)=AY$6),$AV611,dNULL)</f>
        <v>-99</v>
      </c>
      <c r="AZ611">
        <f ca="1">IF(AND($AT611&lt;3,OFFSET(DATA!$C$14,$AS611,0)=AZ$6),$AV611,dNULL)</f>
        <v>-99</v>
      </c>
      <c r="BA611">
        <f ca="1">IF(AND($AT611&lt;3,OFFSET(DATA!$C$14,$AS611,0)=BA$6),$AV611,dNULL)</f>
        <v>-99</v>
      </c>
      <c r="BB611">
        <f ca="1">IF(AND($AT611&lt;3,OFFSET(DATA!$C$14,$AS611,0)=BB$6),$AV611,dNULL)</f>
        <v>-99</v>
      </c>
      <c r="BC611">
        <f ca="1">IF(AND($AT611&lt;3,OFFSET(DATA!$C$14,$AS611,0)=BC$6),$AV611,dNULL)</f>
        <v>-99</v>
      </c>
      <c r="BD611">
        <f ca="1">IF(AND($AT611&lt;3,OFFSET(DATA!$C$14,$AS611,0)=BD$6),$AV611,dNULL)</f>
        <v>-99</v>
      </c>
      <c r="BE611">
        <f ca="1">IF(AND($AT611&lt;3,OFFSET(DATA!$C$14,$AS611,0)=BE$6),$AV611,dNULL)</f>
        <v>-99</v>
      </c>
      <c r="BF611">
        <f ca="1">IF(AND($AT611&lt;3,OFFSET(DATA!$C$14,$AS611,0)=BF$6),$AV611,dNULL)</f>
        <v>-99</v>
      </c>
      <c r="BG611">
        <f ca="1">IF(AND($AT611&lt;3,OFFSET(DATA!$C$14,$AS611,0)=BG$6),$AV611,dNULL)</f>
        <v>-99</v>
      </c>
      <c r="BH611">
        <f ca="1">IF(AND($AT611&lt;3,OFFSET(DATA!$C$14,$AS611,0)=BH$6),$AV611,dNULL)</f>
        <v>-99</v>
      </c>
    </row>
    <row r="612" spans="45:60" x14ac:dyDescent="0.25">
      <c r="AS612">
        <f t="shared" si="124"/>
        <v>66</v>
      </c>
      <c r="AT612">
        <f t="shared" si="125"/>
        <v>6</v>
      </c>
      <c r="AU612">
        <f t="shared" ca="1" si="126"/>
        <v>-99</v>
      </c>
      <c r="AV612">
        <f t="shared" ca="1" si="127"/>
        <v>-99</v>
      </c>
      <c r="AW612">
        <f ca="1">IF(AND($AT612&lt;3,OFFSET(DATA!$C$14,$AS612,0)=AW$6),$AV612,dNULL)</f>
        <v>-99</v>
      </c>
      <c r="AX612">
        <f ca="1">IF(AND($AT612&lt;3,OFFSET(DATA!$C$14,$AS612,0)=AX$6),$AV612,dNULL)</f>
        <v>-99</v>
      </c>
      <c r="AY612">
        <f ca="1">IF(AND($AT612&lt;3,OFFSET(DATA!$C$14,$AS612,0)=AY$6),$AV612,dNULL)</f>
        <v>-99</v>
      </c>
      <c r="AZ612">
        <f ca="1">IF(AND($AT612&lt;3,OFFSET(DATA!$C$14,$AS612,0)=AZ$6),$AV612,dNULL)</f>
        <v>-99</v>
      </c>
      <c r="BA612">
        <f ca="1">IF(AND($AT612&lt;3,OFFSET(DATA!$C$14,$AS612,0)=BA$6),$AV612,dNULL)</f>
        <v>-99</v>
      </c>
      <c r="BB612">
        <f ca="1">IF(AND($AT612&lt;3,OFFSET(DATA!$C$14,$AS612,0)=BB$6),$AV612,dNULL)</f>
        <v>-99</v>
      </c>
      <c r="BC612">
        <f ca="1">IF(AND($AT612&lt;3,OFFSET(DATA!$C$14,$AS612,0)=BC$6),$AV612,dNULL)</f>
        <v>-99</v>
      </c>
      <c r="BD612">
        <f ca="1">IF(AND($AT612&lt;3,OFFSET(DATA!$C$14,$AS612,0)=BD$6),$AV612,dNULL)</f>
        <v>-99</v>
      </c>
      <c r="BE612">
        <f ca="1">IF(AND($AT612&lt;3,OFFSET(DATA!$C$14,$AS612,0)=BE$6),$AV612,dNULL)</f>
        <v>-99</v>
      </c>
      <c r="BF612">
        <f ca="1">IF(AND($AT612&lt;3,OFFSET(DATA!$C$14,$AS612,0)=BF$6),$AV612,dNULL)</f>
        <v>-99</v>
      </c>
      <c r="BG612">
        <f ca="1">IF(AND($AT612&lt;3,OFFSET(DATA!$C$14,$AS612,0)=BG$6),$AV612,dNULL)</f>
        <v>-99</v>
      </c>
      <c r="BH612">
        <f ca="1">IF(AND($AT612&lt;3,OFFSET(DATA!$C$14,$AS612,0)=BH$6),$AV612,dNULL)</f>
        <v>-99</v>
      </c>
    </row>
    <row r="613" spans="45:60" x14ac:dyDescent="0.25">
      <c r="AS613">
        <f t="shared" si="124"/>
        <v>67</v>
      </c>
      <c r="AT613">
        <f t="shared" si="125"/>
        <v>6</v>
      </c>
      <c r="AU613">
        <f t="shared" ca="1" si="126"/>
        <v>-99</v>
      </c>
      <c r="AV613">
        <f t="shared" ca="1" si="127"/>
        <v>-99</v>
      </c>
      <c r="AW613">
        <f ca="1">IF(AND($AT613&lt;3,OFFSET(DATA!$C$14,$AS613,0)=AW$6),$AV613,dNULL)</f>
        <v>-99</v>
      </c>
      <c r="AX613">
        <f ca="1">IF(AND($AT613&lt;3,OFFSET(DATA!$C$14,$AS613,0)=AX$6),$AV613,dNULL)</f>
        <v>-99</v>
      </c>
      <c r="AY613">
        <f ca="1">IF(AND($AT613&lt;3,OFFSET(DATA!$C$14,$AS613,0)=AY$6),$AV613,dNULL)</f>
        <v>-99</v>
      </c>
      <c r="AZ613">
        <f ca="1">IF(AND($AT613&lt;3,OFFSET(DATA!$C$14,$AS613,0)=AZ$6),$AV613,dNULL)</f>
        <v>-99</v>
      </c>
      <c r="BA613">
        <f ca="1">IF(AND($AT613&lt;3,OFFSET(DATA!$C$14,$AS613,0)=BA$6),$AV613,dNULL)</f>
        <v>-99</v>
      </c>
      <c r="BB613">
        <f ca="1">IF(AND($AT613&lt;3,OFFSET(DATA!$C$14,$AS613,0)=BB$6),$AV613,dNULL)</f>
        <v>-99</v>
      </c>
      <c r="BC613">
        <f ca="1">IF(AND($AT613&lt;3,OFFSET(DATA!$C$14,$AS613,0)=BC$6),$AV613,dNULL)</f>
        <v>-99</v>
      </c>
      <c r="BD613">
        <f ca="1">IF(AND($AT613&lt;3,OFFSET(DATA!$C$14,$AS613,0)=BD$6),$AV613,dNULL)</f>
        <v>-99</v>
      </c>
      <c r="BE613">
        <f ca="1">IF(AND($AT613&lt;3,OFFSET(DATA!$C$14,$AS613,0)=BE$6),$AV613,dNULL)</f>
        <v>-99</v>
      </c>
      <c r="BF613">
        <f ca="1">IF(AND($AT613&lt;3,OFFSET(DATA!$C$14,$AS613,0)=BF$6),$AV613,dNULL)</f>
        <v>-99</v>
      </c>
      <c r="BG613">
        <f ca="1">IF(AND($AT613&lt;3,OFFSET(DATA!$C$14,$AS613,0)=BG$6),$AV613,dNULL)</f>
        <v>-99</v>
      </c>
      <c r="BH613">
        <f ca="1">IF(AND($AT613&lt;3,OFFSET(DATA!$C$14,$AS613,0)=BH$6),$AV613,dNULL)</f>
        <v>-99</v>
      </c>
    </row>
    <row r="614" spans="45:60" x14ac:dyDescent="0.25">
      <c r="AS614">
        <f t="shared" si="124"/>
        <v>68</v>
      </c>
      <c r="AT614">
        <f t="shared" si="125"/>
        <v>6</v>
      </c>
      <c r="AU614">
        <f t="shared" ca="1" si="126"/>
        <v>-99</v>
      </c>
      <c r="AV614">
        <f t="shared" ca="1" si="127"/>
        <v>-99</v>
      </c>
      <c r="AW614">
        <f ca="1">IF(AND($AT614&lt;3,OFFSET(DATA!$C$14,$AS614,0)=AW$6),$AV614,dNULL)</f>
        <v>-99</v>
      </c>
      <c r="AX614">
        <f ca="1">IF(AND($AT614&lt;3,OFFSET(DATA!$C$14,$AS614,0)=AX$6),$AV614,dNULL)</f>
        <v>-99</v>
      </c>
      <c r="AY614">
        <f ca="1">IF(AND($AT614&lt;3,OFFSET(DATA!$C$14,$AS614,0)=AY$6),$AV614,dNULL)</f>
        <v>-99</v>
      </c>
      <c r="AZ614">
        <f ca="1">IF(AND($AT614&lt;3,OFFSET(DATA!$C$14,$AS614,0)=AZ$6),$AV614,dNULL)</f>
        <v>-99</v>
      </c>
      <c r="BA614">
        <f ca="1">IF(AND($AT614&lt;3,OFFSET(DATA!$C$14,$AS614,0)=BA$6),$AV614,dNULL)</f>
        <v>-99</v>
      </c>
      <c r="BB614">
        <f ca="1">IF(AND($AT614&lt;3,OFFSET(DATA!$C$14,$AS614,0)=BB$6),$AV614,dNULL)</f>
        <v>-99</v>
      </c>
      <c r="BC614">
        <f ca="1">IF(AND($AT614&lt;3,OFFSET(DATA!$C$14,$AS614,0)=BC$6),$AV614,dNULL)</f>
        <v>-99</v>
      </c>
      <c r="BD614">
        <f ca="1">IF(AND($AT614&lt;3,OFFSET(DATA!$C$14,$AS614,0)=BD$6),$AV614,dNULL)</f>
        <v>-99</v>
      </c>
      <c r="BE614">
        <f ca="1">IF(AND($AT614&lt;3,OFFSET(DATA!$C$14,$AS614,0)=BE$6),$AV614,dNULL)</f>
        <v>-99</v>
      </c>
      <c r="BF614">
        <f ca="1">IF(AND($AT614&lt;3,OFFSET(DATA!$C$14,$AS614,0)=BF$6),$AV614,dNULL)</f>
        <v>-99</v>
      </c>
      <c r="BG614">
        <f ca="1">IF(AND($AT614&lt;3,OFFSET(DATA!$C$14,$AS614,0)=BG$6),$AV614,dNULL)</f>
        <v>-99</v>
      </c>
      <c r="BH614">
        <f ca="1">IF(AND($AT614&lt;3,OFFSET(DATA!$C$14,$AS614,0)=BH$6),$AV614,dNULL)</f>
        <v>-99</v>
      </c>
    </row>
    <row r="615" spans="45:60" x14ac:dyDescent="0.25">
      <c r="AS615">
        <f t="shared" si="124"/>
        <v>69</v>
      </c>
      <c r="AT615">
        <f t="shared" si="125"/>
        <v>6</v>
      </c>
      <c r="AU615">
        <f t="shared" ca="1" si="126"/>
        <v>-99</v>
      </c>
      <c r="AV615">
        <f t="shared" ca="1" si="127"/>
        <v>-99</v>
      </c>
      <c r="AW615">
        <f ca="1">IF(AND($AT615&lt;3,OFFSET(DATA!$C$14,$AS615,0)=AW$6),$AV615,dNULL)</f>
        <v>-99</v>
      </c>
      <c r="AX615">
        <f ca="1">IF(AND($AT615&lt;3,OFFSET(DATA!$C$14,$AS615,0)=AX$6),$AV615,dNULL)</f>
        <v>-99</v>
      </c>
      <c r="AY615">
        <f ca="1">IF(AND($AT615&lt;3,OFFSET(DATA!$C$14,$AS615,0)=AY$6),$AV615,dNULL)</f>
        <v>-99</v>
      </c>
      <c r="AZ615">
        <f ca="1">IF(AND($AT615&lt;3,OFFSET(DATA!$C$14,$AS615,0)=AZ$6),$AV615,dNULL)</f>
        <v>-99</v>
      </c>
      <c r="BA615">
        <f ca="1">IF(AND($AT615&lt;3,OFFSET(DATA!$C$14,$AS615,0)=BA$6),$AV615,dNULL)</f>
        <v>-99</v>
      </c>
      <c r="BB615">
        <f ca="1">IF(AND($AT615&lt;3,OFFSET(DATA!$C$14,$AS615,0)=BB$6),$AV615,dNULL)</f>
        <v>-99</v>
      </c>
      <c r="BC615">
        <f ca="1">IF(AND($AT615&lt;3,OFFSET(DATA!$C$14,$AS615,0)=BC$6),$AV615,dNULL)</f>
        <v>-99</v>
      </c>
      <c r="BD615">
        <f ca="1">IF(AND($AT615&lt;3,OFFSET(DATA!$C$14,$AS615,0)=BD$6),$AV615,dNULL)</f>
        <v>-99</v>
      </c>
      <c r="BE615">
        <f ca="1">IF(AND($AT615&lt;3,OFFSET(DATA!$C$14,$AS615,0)=BE$6),$AV615,dNULL)</f>
        <v>-99</v>
      </c>
      <c r="BF615">
        <f ca="1">IF(AND($AT615&lt;3,OFFSET(DATA!$C$14,$AS615,0)=BF$6),$AV615,dNULL)</f>
        <v>-99</v>
      </c>
      <c r="BG615">
        <f ca="1">IF(AND($AT615&lt;3,OFFSET(DATA!$C$14,$AS615,0)=BG$6),$AV615,dNULL)</f>
        <v>-99</v>
      </c>
      <c r="BH615">
        <f ca="1">IF(AND($AT615&lt;3,OFFSET(DATA!$C$14,$AS615,0)=BH$6),$AV615,dNULL)</f>
        <v>-99</v>
      </c>
    </row>
    <row r="616" spans="45:60" x14ac:dyDescent="0.25">
      <c r="AS616">
        <f t="shared" si="124"/>
        <v>70</v>
      </c>
      <c r="AT616">
        <f t="shared" si="125"/>
        <v>6</v>
      </c>
      <c r="AU616">
        <f t="shared" ca="1" si="126"/>
        <v>-99</v>
      </c>
      <c r="AV616">
        <f t="shared" ca="1" si="127"/>
        <v>-99</v>
      </c>
      <c r="AW616">
        <f ca="1">IF(AND($AT616&lt;3,OFFSET(DATA!$C$14,$AS616,0)=AW$6),$AV616,dNULL)</f>
        <v>-99</v>
      </c>
      <c r="AX616">
        <f ca="1">IF(AND($AT616&lt;3,OFFSET(DATA!$C$14,$AS616,0)=AX$6),$AV616,dNULL)</f>
        <v>-99</v>
      </c>
      <c r="AY616">
        <f ca="1">IF(AND($AT616&lt;3,OFFSET(DATA!$C$14,$AS616,0)=AY$6),$AV616,dNULL)</f>
        <v>-99</v>
      </c>
      <c r="AZ616">
        <f ca="1">IF(AND($AT616&lt;3,OFFSET(DATA!$C$14,$AS616,0)=AZ$6),$AV616,dNULL)</f>
        <v>-99</v>
      </c>
      <c r="BA616">
        <f ca="1">IF(AND($AT616&lt;3,OFFSET(DATA!$C$14,$AS616,0)=BA$6),$AV616,dNULL)</f>
        <v>-99</v>
      </c>
      <c r="BB616">
        <f ca="1">IF(AND($AT616&lt;3,OFFSET(DATA!$C$14,$AS616,0)=BB$6),$AV616,dNULL)</f>
        <v>-99</v>
      </c>
      <c r="BC616">
        <f ca="1">IF(AND($AT616&lt;3,OFFSET(DATA!$C$14,$AS616,0)=BC$6),$AV616,dNULL)</f>
        <v>-99</v>
      </c>
      <c r="BD616">
        <f ca="1">IF(AND($AT616&lt;3,OFFSET(DATA!$C$14,$AS616,0)=BD$6),$AV616,dNULL)</f>
        <v>-99</v>
      </c>
      <c r="BE616">
        <f ca="1">IF(AND($AT616&lt;3,OFFSET(DATA!$C$14,$AS616,0)=BE$6),$AV616,dNULL)</f>
        <v>-99</v>
      </c>
      <c r="BF616">
        <f ca="1">IF(AND($AT616&lt;3,OFFSET(DATA!$C$14,$AS616,0)=BF$6),$AV616,dNULL)</f>
        <v>-99</v>
      </c>
      <c r="BG616">
        <f ca="1">IF(AND($AT616&lt;3,OFFSET(DATA!$C$14,$AS616,0)=BG$6),$AV616,dNULL)</f>
        <v>-99</v>
      </c>
      <c r="BH616">
        <f ca="1">IF(AND($AT616&lt;3,OFFSET(DATA!$C$14,$AS616,0)=BH$6),$AV616,dNULL)</f>
        <v>-99</v>
      </c>
    </row>
    <row r="617" spans="45:60" x14ac:dyDescent="0.25">
      <c r="AS617">
        <f t="shared" si="124"/>
        <v>71</v>
      </c>
      <c r="AT617">
        <f t="shared" si="125"/>
        <v>6</v>
      </c>
      <c r="AU617">
        <f t="shared" ca="1" si="126"/>
        <v>-99</v>
      </c>
      <c r="AV617">
        <f t="shared" ca="1" si="127"/>
        <v>-99</v>
      </c>
      <c r="AW617">
        <f ca="1">IF(AND($AT617&lt;3,OFFSET(DATA!$C$14,$AS617,0)=AW$6),$AV617,dNULL)</f>
        <v>-99</v>
      </c>
      <c r="AX617">
        <f ca="1">IF(AND($AT617&lt;3,OFFSET(DATA!$C$14,$AS617,0)=AX$6),$AV617,dNULL)</f>
        <v>-99</v>
      </c>
      <c r="AY617">
        <f ca="1">IF(AND($AT617&lt;3,OFFSET(DATA!$C$14,$AS617,0)=AY$6),$AV617,dNULL)</f>
        <v>-99</v>
      </c>
      <c r="AZ617">
        <f ca="1">IF(AND($AT617&lt;3,OFFSET(DATA!$C$14,$AS617,0)=AZ$6),$AV617,dNULL)</f>
        <v>-99</v>
      </c>
      <c r="BA617">
        <f ca="1">IF(AND($AT617&lt;3,OFFSET(DATA!$C$14,$AS617,0)=BA$6),$AV617,dNULL)</f>
        <v>-99</v>
      </c>
      <c r="BB617">
        <f ca="1">IF(AND($AT617&lt;3,OFFSET(DATA!$C$14,$AS617,0)=BB$6),$AV617,dNULL)</f>
        <v>-99</v>
      </c>
      <c r="BC617">
        <f ca="1">IF(AND($AT617&lt;3,OFFSET(DATA!$C$14,$AS617,0)=BC$6),$AV617,dNULL)</f>
        <v>-99</v>
      </c>
      <c r="BD617">
        <f ca="1">IF(AND($AT617&lt;3,OFFSET(DATA!$C$14,$AS617,0)=BD$6),$AV617,dNULL)</f>
        <v>-99</v>
      </c>
      <c r="BE617">
        <f ca="1">IF(AND($AT617&lt;3,OFFSET(DATA!$C$14,$AS617,0)=BE$6),$AV617,dNULL)</f>
        <v>-99</v>
      </c>
      <c r="BF617">
        <f ca="1">IF(AND($AT617&lt;3,OFFSET(DATA!$C$14,$AS617,0)=BF$6),$AV617,dNULL)</f>
        <v>-99</v>
      </c>
      <c r="BG617">
        <f ca="1">IF(AND($AT617&lt;3,OFFSET(DATA!$C$14,$AS617,0)=BG$6),$AV617,dNULL)</f>
        <v>-99</v>
      </c>
      <c r="BH617">
        <f ca="1">IF(AND($AT617&lt;3,OFFSET(DATA!$C$14,$AS617,0)=BH$6),$AV617,dNULL)</f>
        <v>-99</v>
      </c>
    </row>
    <row r="618" spans="45:60" x14ac:dyDescent="0.25">
      <c r="AS618">
        <f t="shared" si="124"/>
        <v>72</v>
      </c>
      <c r="AT618">
        <f t="shared" si="125"/>
        <v>6</v>
      </c>
      <c r="AU618">
        <f t="shared" ca="1" si="126"/>
        <v>-99</v>
      </c>
      <c r="AV618">
        <f t="shared" ca="1" si="127"/>
        <v>-99</v>
      </c>
      <c r="AW618">
        <f ca="1">IF(AND($AT618&lt;3,OFFSET(DATA!$C$14,$AS618,0)=AW$6),$AV618,dNULL)</f>
        <v>-99</v>
      </c>
      <c r="AX618">
        <f ca="1">IF(AND($AT618&lt;3,OFFSET(DATA!$C$14,$AS618,0)=AX$6),$AV618,dNULL)</f>
        <v>-99</v>
      </c>
      <c r="AY618">
        <f ca="1">IF(AND($AT618&lt;3,OFFSET(DATA!$C$14,$AS618,0)=AY$6),$AV618,dNULL)</f>
        <v>-99</v>
      </c>
      <c r="AZ618">
        <f ca="1">IF(AND($AT618&lt;3,OFFSET(DATA!$C$14,$AS618,0)=AZ$6),$AV618,dNULL)</f>
        <v>-99</v>
      </c>
      <c r="BA618">
        <f ca="1">IF(AND($AT618&lt;3,OFFSET(DATA!$C$14,$AS618,0)=BA$6),$AV618,dNULL)</f>
        <v>-99</v>
      </c>
      <c r="BB618">
        <f ca="1">IF(AND($AT618&lt;3,OFFSET(DATA!$C$14,$AS618,0)=BB$6),$AV618,dNULL)</f>
        <v>-99</v>
      </c>
      <c r="BC618">
        <f ca="1">IF(AND($AT618&lt;3,OFFSET(DATA!$C$14,$AS618,0)=BC$6),$AV618,dNULL)</f>
        <v>-99</v>
      </c>
      <c r="BD618">
        <f ca="1">IF(AND($AT618&lt;3,OFFSET(DATA!$C$14,$AS618,0)=BD$6),$AV618,dNULL)</f>
        <v>-99</v>
      </c>
      <c r="BE618">
        <f ca="1">IF(AND($AT618&lt;3,OFFSET(DATA!$C$14,$AS618,0)=BE$6),$AV618,dNULL)</f>
        <v>-99</v>
      </c>
      <c r="BF618">
        <f ca="1">IF(AND($AT618&lt;3,OFFSET(DATA!$C$14,$AS618,0)=BF$6),$AV618,dNULL)</f>
        <v>-99</v>
      </c>
      <c r="BG618">
        <f ca="1">IF(AND($AT618&lt;3,OFFSET(DATA!$C$14,$AS618,0)=BG$6),$AV618,dNULL)</f>
        <v>-99</v>
      </c>
      <c r="BH618">
        <f ca="1">IF(AND($AT618&lt;3,OFFSET(DATA!$C$14,$AS618,0)=BH$6),$AV618,dNULL)</f>
        <v>-99</v>
      </c>
    </row>
    <row r="619" spans="45:60" x14ac:dyDescent="0.25">
      <c r="AS619">
        <f t="shared" si="124"/>
        <v>73</v>
      </c>
      <c r="AT619">
        <f t="shared" si="125"/>
        <v>6</v>
      </c>
      <c r="AU619">
        <f t="shared" ca="1" si="126"/>
        <v>-99</v>
      </c>
      <c r="AV619">
        <f t="shared" ca="1" si="127"/>
        <v>-99</v>
      </c>
      <c r="AW619">
        <f ca="1">IF(AND($AT619&lt;3,OFFSET(DATA!$C$14,$AS619,0)=AW$6),$AV619,dNULL)</f>
        <v>-99</v>
      </c>
      <c r="AX619">
        <f ca="1">IF(AND($AT619&lt;3,OFFSET(DATA!$C$14,$AS619,0)=AX$6),$AV619,dNULL)</f>
        <v>-99</v>
      </c>
      <c r="AY619">
        <f ca="1">IF(AND($AT619&lt;3,OFFSET(DATA!$C$14,$AS619,0)=AY$6),$AV619,dNULL)</f>
        <v>-99</v>
      </c>
      <c r="AZ619">
        <f ca="1">IF(AND($AT619&lt;3,OFFSET(DATA!$C$14,$AS619,0)=AZ$6),$AV619,dNULL)</f>
        <v>-99</v>
      </c>
      <c r="BA619">
        <f ca="1">IF(AND($AT619&lt;3,OFFSET(DATA!$C$14,$AS619,0)=BA$6),$AV619,dNULL)</f>
        <v>-99</v>
      </c>
      <c r="BB619">
        <f ca="1">IF(AND($AT619&lt;3,OFFSET(DATA!$C$14,$AS619,0)=BB$6),$AV619,dNULL)</f>
        <v>-99</v>
      </c>
      <c r="BC619">
        <f ca="1">IF(AND($AT619&lt;3,OFFSET(DATA!$C$14,$AS619,0)=BC$6),$AV619,dNULL)</f>
        <v>-99</v>
      </c>
      <c r="BD619">
        <f ca="1">IF(AND($AT619&lt;3,OFFSET(DATA!$C$14,$AS619,0)=BD$6),$AV619,dNULL)</f>
        <v>-99</v>
      </c>
      <c r="BE619">
        <f ca="1">IF(AND($AT619&lt;3,OFFSET(DATA!$C$14,$AS619,0)=BE$6),$AV619,dNULL)</f>
        <v>-99</v>
      </c>
      <c r="BF619">
        <f ca="1">IF(AND($AT619&lt;3,OFFSET(DATA!$C$14,$AS619,0)=BF$6),$AV619,dNULL)</f>
        <v>-99</v>
      </c>
      <c r="BG619">
        <f ca="1">IF(AND($AT619&lt;3,OFFSET(DATA!$C$14,$AS619,0)=BG$6),$AV619,dNULL)</f>
        <v>-99</v>
      </c>
      <c r="BH619">
        <f ca="1">IF(AND($AT619&lt;3,OFFSET(DATA!$C$14,$AS619,0)=BH$6),$AV619,dNULL)</f>
        <v>-99</v>
      </c>
    </row>
    <row r="620" spans="45:60" x14ac:dyDescent="0.25">
      <c r="AS620">
        <f t="shared" si="124"/>
        <v>74</v>
      </c>
      <c r="AT620">
        <f t="shared" si="125"/>
        <v>6</v>
      </c>
      <c r="AU620">
        <f t="shared" ca="1" si="126"/>
        <v>-99</v>
      </c>
      <c r="AV620">
        <f t="shared" ca="1" si="127"/>
        <v>-99</v>
      </c>
      <c r="AW620">
        <f ca="1">IF(AND($AT620&lt;3,OFFSET(DATA!$C$14,$AS620,0)=AW$6),$AV620,dNULL)</f>
        <v>-99</v>
      </c>
      <c r="AX620">
        <f ca="1">IF(AND($AT620&lt;3,OFFSET(DATA!$C$14,$AS620,0)=AX$6),$AV620,dNULL)</f>
        <v>-99</v>
      </c>
      <c r="AY620">
        <f ca="1">IF(AND($AT620&lt;3,OFFSET(DATA!$C$14,$AS620,0)=AY$6),$AV620,dNULL)</f>
        <v>-99</v>
      </c>
      <c r="AZ620">
        <f ca="1">IF(AND($AT620&lt;3,OFFSET(DATA!$C$14,$AS620,0)=AZ$6),$AV620,dNULL)</f>
        <v>-99</v>
      </c>
      <c r="BA620">
        <f ca="1">IF(AND($AT620&lt;3,OFFSET(DATA!$C$14,$AS620,0)=BA$6),$AV620,dNULL)</f>
        <v>-99</v>
      </c>
      <c r="BB620">
        <f ca="1">IF(AND($AT620&lt;3,OFFSET(DATA!$C$14,$AS620,0)=BB$6),$AV620,dNULL)</f>
        <v>-99</v>
      </c>
      <c r="BC620">
        <f ca="1">IF(AND($AT620&lt;3,OFFSET(DATA!$C$14,$AS620,0)=BC$6),$AV620,dNULL)</f>
        <v>-99</v>
      </c>
      <c r="BD620">
        <f ca="1">IF(AND($AT620&lt;3,OFFSET(DATA!$C$14,$AS620,0)=BD$6),$AV620,dNULL)</f>
        <v>-99</v>
      </c>
      <c r="BE620">
        <f ca="1">IF(AND($AT620&lt;3,OFFSET(DATA!$C$14,$AS620,0)=BE$6),$AV620,dNULL)</f>
        <v>-99</v>
      </c>
      <c r="BF620">
        <f ca="1">IF(AND($AT620&lt;3,OFFSET(DATA!$C$14,$AS620,0)=BF$6),$AV620,dNULL)</f>
        <v>-99</v>
      </c>
      <c r="BG620">
        <f ca="1">IF(AND($AT620&lt;3,OFFSET(DATA!$C$14,$AS620,0)=BG$6),$AV620,dNULL)</f>
        <v>-99</v>
      </c>
      <c r="BH620">
        <f ca="1">IF(AND($AT620&lt;3,OFFSET(DATA!$C$14,$AS620,0)=BH$6),$AV620,dNULL)</f>
        <v>-99</v>
      </c>
    </row>
    <row r="621" spans="45:60" x14ac:dyDescent="0.25">
      <c r="AS621">
        <f t="shared" si="124"/>
        <v>75</v>
      </c>
      <c r="AT621">
        <f t="shared" si="125"/>
        <v>6</v>
      </c>
      <c r="AU621">
        <f t="shared" ca="1" si="126"/>
        <v>-99</v>
      </c>
      <c r="AV621">
        <f t="shared" ca="1" si="127"/>
        <v>-99</v>
      </c>
      <c r="AW621">
        <f ca="1">IF(AND($AT621&lt;3,OFFSET(DATA!$C$14,$AS621,0)=AW$6),$AV621,dNULL)</f>
        <v>-99</v>
      </c>
      <c r="AX621">
        <f ca="1">IF(AND($AT621&lt;3,OFFSET(DATA!$C$14,$AS621,0)=AX$6),$AV621,dNULL)</f>
        <v>-99</v>
      </c>
      <c r="AY621">
        <f ca="1">IF(AND($AT621&lt;3,OFFSET(DATA!$C$14,$AS621,0)=AY$6),$AV621,dNULL)</f>
        <v>-99</v>
      </c>
      <c r="AZ621">
        <f ca="1">IF(AND($AT621&lt;3,OFFSET(DATA!$C$14,$AS621,0)=AZ$6),$AV621,dNULL)</f>
        <v>-99</v>
      </c>
      <c r="BA621">
        <f ca="1">IF(AND($AT621&lt;3,OFFSET(DATA!$C$14,$AS621,0)=BA$6),$AV621,dNULL)</f>
        <v>-99</v>
      </c>
      <c r="BB621">
        <f ca="1">IF(AND($AT621&lt;3,OFFSET(DATA!$C$14,$AS621,0)=BB$6),$AV621,dNULL)</f>
        <v>-99</v>
      </c>
      <c r="BC621">
        <f ca="1">IF(AND($AT621&lt;3,OFFSET(DATA!$C$14,$AS621,0)=BC$6),$AV621,dNULL)</f>
        <v>-99</v>
      </c>
      <c r="BD621">
        <f ca="1">IF(AND($AT621&lt;3,OFFSET(DATA!$C$14,$AS621,0)=BD$6),$AV621,dNULL)</f>
        <v>-99</v>
      </c>
      <c r="BE621">
        <f ca="1">IF(AND($AT621&lt;3,OFFSET(DATA!$C$14,$AS621,0)=BE$6),$AV621,dNULL)</f>
        <v>-99</v>
      </c>
      <c r="BF621">
        <f ca="1">IF(AND($AT621&lt;3,OFFSET(DATA!$C$14,$AS621,0)=BF$6),$AV621,dNULL)</f>
        <v>-99</v>
      </c>
      <c r="BG621">
        <f ca="1">IF(AND($AT621&lt;3,OFFSET(DATA!$C$14,$AS621,0)=BG$6),$AV621,dNULL)</f>
        <v>-99</v>
      </c>
      <c r="BH621">
        <f ca="1">IF(AND($AT621&lt;3,OFFSET(DATA!$C$14,$AS621,0)=BH$6),$AV621,dNULL)</f>
        <v>-99</v>
      </c>
    </row>
    <row r="622" spans="45:60" x14ac:dyDescent="0.25">
      <c r="AS622">
        <f t="shared" si="124"/>
        <v>76</v>
      </c>
      <c r="AT622">
        <f t="shared" si="125"/>
        <v>6</v>
      </c>
      <c r="AU622">
        <f t="shared" ca="1" si="126"/>
        <v>-99</v>
      </c>
      <c r="AV622">
        <f t="shared" ca="1" si="127"/>
        <v>-99</v>
      </c>
      <c r="AW622">
        <f ca="1">IF(AND($AT622&lt;3,OFFSET(DATA!$C$14,$AS622,0)=AW$6),$AV622,dNULL)</f>
        <v>-99</v>
      </c>
      <c r="AX622">
        <f ca="1">IF(AND($AT622&lt;3,OFFSET(DATA!$C$14,$AS622,0)=AX$6),$AV622,dNULL)</f>
        <v>-99</v>
      </c>
      <c r="AY622">
        <f ca="1">IF(AND($AT622&lt;3,OFFSET(DATA!$C$14,$AS622,0)=AY$6),$AV622,dNULL)</f>
        <v>-99</v>
      </c>
      <c r="AZ622">
        <f ca="1">IF(AND($AT622&lt;3,OFFSET(DATA!$C$14,$AS622,0)=AZ$6),$AV622,dNULL)</f>
        <v>-99</v>
      </c>
      <c r="BA622">
        <f ca="1">IF(AND($AT622&lt;3,OFFSET(DATA!$C$14,$AS622,0)=BA$6),$AV622,dNULL)</f>
        <v>-99</v>
      </c>
      <c r="BB622">
        <f ca="1">IF(AND($AT622&lt;3,OFFSET(DATA!$C$14,$AS622,0)=BB$6),$AV622,dNULL)</f>
        <v>-99</v>
      </c>
      <c r="BC622">
        <f ca="1">IF(AND($AT622&lt;3,OFFSET(DATA!$C$14,$AS622,0)=BC$6),$AV622,dNULL)</f>
        <v>-99</v>
      </c>
      <c r="BD622">
        <f ca="1">IF(AND($AT622&lt;3,OFFSET(DATA!$C$14,$AS622,0)=BD$6),$AV622,dNULL)</f>
        <v>-99</v>
      </c>
      <c r="BE622">
        <f ca="1">IF(AND($AT622&lt;3,OFFSET(DATA!$C$14,$AS622,0)=BE$6),$AV622,dNULL)</f>
        <v>-99</v>
      </c>
      <c r="BF622">
        <f ca="1">IF(AND($AT622&lt;3,OFFSET(DATA!$C$14,$AS622,0)=BF$6),$AV622,dNULL)</f>
        <v>-99</v>
      </c>
      <c r="BG622">
        <f ca="1">IF(AND($AT622&lt;3,OFFSET(DATA!$C$14,$AS622,0)=BG$6),$AV622,dNULL)</f>
        <v>-99</v>
      </c>
      <c r="BH622">
        <f ca="1">IF(AND($AT622&lt;3,OFFSET(DATA!$C$14,$AS622,0)=BH$6),$AV622,dNULL)</f>
        <v>-99</v>
      </c>
    </row>
    <row r="623" spans="45:60" x14ac:dyDescent="0.25">
      <c r="AS623">
        <f t="shared" si="124"/>
        <v>77</v>
      </c>
      <c r="AT623">
        <f t="shared" si="125"/>
        <v>6</v>
      </c>
      <c r="AU623">
        <f t="shared" ca="1" si="126"/>
        <v>-99</v>
      </c>
      <c r="AV623">
        <f t="shared" ca="1" si="127"/>
        <v>-99</v>
      </c>
      <c r="AW623">
        <f ca="1">IF(AND($AT623&lt;3,OFFSET(DATA!$C$14,$AS623,0)=AW$6),$AV623,dNULL)</f>
        <v>-99</v>
      </c>
      <c r="AX623">
        <f ca="1">IF(AND($AT623&lt;3,OFFSET(DATA!$C$14,$AS623,0)=AX$6),$AV623,dNULL)</f>
        <v>-99</v>
      </c>
      <c r="AY623">
        <f ca="1">IF(AND($AT623&lt;3,OFFSET(DATA!$C$14,$AS623,0)=AY$6),$AV623,dNULL)</f>
        <v>-99</v>
      </c>
      <c r="AZ623">
        <f ca="1">IF(AND($AT623&lt;3,OFFSET(DATA!$C$14,$AS623,0)=AZ$6),$AV623,dNULL)</f>
        <v>-99</v>
      </c>
      <c r="BA623">
        <f ca="1">IF(AND($AT623&lt;3,OFFSET(DATA!$C$14,$AS623,0)=BA$6),$AV623,dNULL)</f>
        <v>-99</v>
      </c>
      <c r="BB623">
        <f ca="1">IF(AND($AT623&lt;3,OFFSET(DATA!$C$14,$AS623,0)=BB$6),$AV623,dNULL)</f>
        <v>-99</v>
      </c>
      <c r="BC623">
        <f ca="1">IF(AND($AT623&lt;3,OFFSET(DATA!$C$14,$AS623,0)=BC$6),$AV623,dNULL)</f>
        <v>-99</v>
      </c>
      <c r="BD623">
        <f ca="1">IF(AND($AT623&lt;3,OFFSET(DATA!$C$14,$AS623,0)=BD$6),$AV623,dNULL)</f>
        <v>-99</v>
      </c>
      <c r="BE623">
        <f ca="1">IF(AND($AT623&lt;3,OFFSET(DATA!$C$14,$AS623,0)=BE$6),$AV623,dNULL)</f>
        <v>-99</v>
      </c>
      <c r="BF623">
        <f ca="1">IF(AND($AT623&lt;3,OFFSET(DATA!$C$14,$AS623,0)=BF$6),$AV623,dNULL)</f>
        <v>-99</v>
      </c>
      <c r="BG623">
        <f ca="1">IF(AND($AT623&lt;3,OFFSET(DATA!$C$14,$AS623,0)=BG$6),$AV623,dNULL)</f>
        <v>-99</v>
      </c>
      <c r="BH623">
        <f ca="1">IF(AND($AT623&lt;3,OFFSET(DATA!$C$14,$AS623,0)=BH$6),$AV623,dNULL)</f>
        <v>-99</v>
      </c>
    </row>
    <row r="624" spans="45:60" x14ac:dyDescent="0.25">
      <c r="AS624">
        <f t="shared" si="124"/>
        <v>78</v>
      </c>
      <c r="AT624">
        <f t="shared" si="125"/>
        <v>6</v>
      </c>
      <c r="AU624">
        <f t="shared" ca="1" si="126"/>
        <v>-99</v>
      </c>
      <c r="AV624">
        <f t="shared" ca="1" si="127"/>
        <v>-99</v>
      </c>
      <c r="AW624">
        <f ca="1">IF(AND($AT624&lt;3,OFFSET(DATA!$C$14,$AS624,0)=AW$6),$AV624,dNULL)</f>
        <v>-99</v>
      </c>
      <c r="AX624">
        <f ca="1">IF(AND($AT624&lt;3,OFFSET(DATA!$C$14,$AS624,0)=AX$6),$AV624,dNULL)</f>
        <v>-99</v>
      </c>
      <c r="AY624">
        <f ca="1">IF(AND($AT624&lt;3,OFFSET(DATA!$C$14,$AS624,0)=AY$6),$AV624,dNULL)</f>
        <v>-99</v>
      </c>
      <c r="AZ624">
        <f ca="1">IF(AND($AT624&lt;3,OFFSET(DATA!$C$14,$AS624,0)=AZ$6),$AV624,dNULL)</f>
        <v>-99</v>
      </c>
      <c r="BA624">
        <f ca="1">IF(AND($AT624&lt;3,OFFSET(DATA!$C$14,$AS624,0)=BA$6),$AV624,dNULL)</f>
        <v>-99</v>
      </c>
      <c r="BB624">
        <f ca="1">IF(AND($AT624&lt;3,OFFSET(DATA!$C$14,$AS624,0)=BB$6),$AV624,dNULL)</f>
        <v>-99</v>
      </c>
      <c r="BC624">
        <f ca="1">IF(AND($AT624&lt;3,OFFSET(DATA!$C$14,$AS624,0)=BC$6),$AV624,dNULL)</f>
        <v>-99</v>
      </c>
      <c r="BD624">
        <f ca="1">IF(AND($AT624&lt;3,OFFSET(DATA!$C$14,$AS624,0)=BD$6),$AV624,dNULL)</f>
        <v>-99</v>
      </c>
      <c r="BE624">
        <f ca="1">IF(AND($AT624&lt;3,OFFSET(DATA!$C$14,$AS624,0)=BE$6),$AV624,dNULL)</f>
        <v>-99</v>
      </c>
      <c r="BF624">
        <f ca="1">IF(AND($AT624&lt;3,OFFSET(DATA!$C$14,$AS624,0)=BF$6),$AV624,dNULL)</f>
        <v>-99</v>
      </c>
      <c r="BG624">
        <f ca="1">IF(AND($AT624&lt;3,OFFSET(DATA!$C$14,$AS624,0)=BG$6),$AV624,dNULL)</f>
        <v>-99</v>
      </c>
      <c r="BH624">
        <f ca="1">IF(AND($AT624&lt;3,OFFSET(DATA!$C$14,$AS624,0)=BH$6),$AV624,dNULL)</f>
        <v>-99</v>
      </c>
    </row>
    <row r="625" spans="45:60" x14ac:dyDescent="0.25">
      <c r="AS625">
        <f t="shared" si="124"/>
        <v>79</v>
      </c>
      <c r="AT625">
        <f t="shared" si="125"/>
        <v>6</v>
      </c>
      <c r="AU625">
        <f t="shared" ca="1" si="126"/>
        <v>-99</v>
      </c>
      <c r="AV625">
        <f t="shared" ca="1" si="127"/>
        <v>-99</v>
      </c>
      <c r="AW625">
        <f ca="1">IF(AND($AT625&lt;3,OFFSET(DATA!$C$14,$AS625,0)=AW$6),$AV625,dNULL)</f>
        <v>-99</v>
      </c>
      <c r="AX625">
        <f ca="1">IF(AND($AT625&lt;3,OFFSET(DATA!$C$14,$AS625,0)=AX$6),$AV625,dNULL)</f>
        <v>-99</v>
      </c>
      <c r="AY625">
        <f ca="1">IF(AND($AT625&lt;3,OFFSET(DATA!$C$14,$AS625,0)=AY$6),$AV625,dNULL)</f>
        <v>-99</v>
      </c>
      <c r="AZ625">
        <f ca="1">IF(AND($AT625&lt;3,OFFSET(DATA!$C$14,$AS625,0)=AZ$6),$AV625,dNULL)</f>
        <v>-99</v>
      </c>
      <c r="BA625">
        <f ca="1">IF(AND($AT625&lt;3,OFFSET(DATA!$C$14,$AS625,0)=BA$6),$AV625,dNULL)</f>
        <v>-99</v>
      </c>
      <c r="BB625">
        <f ca="1">IF(AND($AT625&lt;3,OFFSET(DATA!$C$14,$AS625,0)=BB$6),$AV625,dNULL)</f>
        <v>-99</v>
      </c>
      <c r="BC625">
        <f ca="1">IF(AND($AT625&lt;3,OFFSET(DATA!$C$14,$AS625,0)=BC$6),$AV625,dNULL)</f>
        <v>-99</v>
      </c>
      <c r="BD625">
        <f ca="1">IF(AND($AT625&lt;3,OFFSET(DATA!$C$14,$AS625,0)=BD$6),$AV625,dNULL)</f>
        <v>-99</v>
      </c>
      <c r="BE625">
        <f ca="1">IF(AND($AT625&lt;3,OFFSET(DATA!$C$14,$AS625,0)=BE$6),$AV625,dNULL)</f>
        <v>-99</v>
      </c>
      <c r="BF625">
        <f ca="1">IF(AND($AT625&lt;3,OFFSET(DATA!$C$14,$AS625,0)=BF$6),$AV625,dNULL)</f>
        <v>-99</v>
      </c>
      <c r="BG625">
        <f ca="1">IF(AND($AT625&lt;3,OFFSET(DATA!$C$14,$AS625,0)=BG$6),$AV625,dNULL)</f>
        <v>-99</v>
      </c>
      <c r="BH625">
        <f ca="1">IF(AND($AT625&lt;3,OFFSET(DATA!$C$14,$AS625,0)=BH$6),$AV625,dNULL)</f>
        <v>-99</v>
      </c>
    </row>
    <row r="626" spans="45:60" x14ac:dyDescent="0.25">
      <c r="AS626">
        <f t="shared" si="124"/>
        <v>80</v>
      </c>
      <c r="AT626">
        <f t="shared" si="125"/>
        <v>6</v>
      </c>
      <c r="AU626">
        <f t="shared" ca="1" si="126"/>
        <v>-99</v>
      </c>
      <c r="AV626">
        <f t="shared" ca="1" si="127"/>
        <v>-99</v>
      </c>
      <c r="AW626">
        <f ca="1">IF(AND($AT626&lt;3,OFFSET(DATA!$C$14,$AS626,0)=AW$6),$AV626,dNULL)</f>
        <v>-99</v>
      </c>
      <c r="AX626">
        <f ca="1">IF(AND($AT626&lt;3,OFFSET(DATA!$C$14,$AS626,0)=AX$6),$AV626,dNULL)</f>
        <v>-99</v>
      </c>
      <c r="AY626">
        <f ca="1">IF(AND($AT626&lt;3,OFFSET(DATA!$C$14,$AS626,0)=AY$6),$AV626,dNULL)</f>
        <v>-99</v>
      </c>
      <c r="AZ626">
        <f ca="1">IF(AND($AT626&lt;3,OFFSET(DATA!$C$14,$AS626,0)=AZ$6),$AV626,dNULL)</f>
        <v>-99</v>
      </c>
      <c r="BA626">
        <f ca="1">IF(AND($AT626&lt;3,OFFSET(DATA!$C$14,$AS626,0)=BA$6),$AV626,dNULL)</f>
        <v>-99</v>
      </c>
      <c r="BB626">
        <f ca="1">IF(AND($AT626&lt;3,OFFSET(DATA!$C$14,$AS626,0)=BB$6),$AV626,dNULL)</f>
        <v>-99</v>
      </c>
      <c r="BC626">
        <f ca="1">IF(AND($AT626&lt;3,OFFSET(DATA!$C$14,$AS626,0)=BC$6),$AV626,dNULL)</f>
        <v>-99</v>
      </c>
      <c r="BD626">
        <f ca="1">IF(AND($AT626&lt;3,OFFSET(DATA!$C$14,$AS626,0)=BD$6),$AV626,dNULL)</f>
        <v>-99</v>
      </c>
      <c r="BE626">
        <f ca="1">IF(AND($AT626&lt;3,OFFSET(DATA!$C$14,$AS626,0)=BE$6),$AV626,dNULL)</f>
        <v>-99</v>
      </c>
      <c r="BF626">
        <f ca="1">IF(AND($AT626&lt;3,OFFSET(DATA!$C$14,$AS626,0)=BF$6),$AV626,dNULL)</f>
        <v>-99</v>
      </c>
      <c r="BG626">
        <f ca="1">IF(AND($AT626&lt;3,OFFSET(DATA!$C$14,$AS626,0)=BG$6),$AV626,dNULL)</f>
        <v>-99</v>
      </c>
      <c r="BH626">
        <f ca="1">IF(AND($AT626&lt;3,OFFSET(DATA!$C$14,$AS626,0)=BH$6),$AV626,dNULL)</f>
        <v>-99</v>
      </c>
    </row>
    <row r="627" spans="45:60" x14ac:dyDescent="0.25">
      <c r="AS627">
        <f t="shared" si="124"/>
        <v>81</v>
      </c>
      <c r="AT627">
        <f t="shared" si="125"/>
        <v>6</v>
      </c>
      <c r="AU627">
        <f t="shared" ca="1" si="126"/>
        <v>-99</v>
      </c>
      <c r="AV627">
        <f t="shared" ca="1" si="127"/>
        <v>-99</v>
      </c>
      <c r="AW627">
        <f ca="1">IF(AND($AT627&lt;3,OFFSET(DATA!$C$14,$AS627,0)=AW$6),$AV627,dNULL)</f>
        <v>-99</v>
      </c>
      <c r="AX627">
        <f ca="1">IF(AND($AT627&lt;3,OFFSET(DATA!$C$14,$AS627,0)=AX$6),$AV627,dNULL)</f>
        <v>-99</v>
      </c>
      <c r="AY627">
        <f ca="1">IF(AND($AT627&lt;3,OFFSET(DATA!$C$14,$AS627,0)=AY$6),$AV627,dNULL)</f>
        <v>-99</v>
      </c>
      <c r="AZ627">
        <f ca="1">IF(AND($AT627&lt;3,OFFSET(DATA!$C$14,$AS627,0)=AZ$6),$AV627,dNULL)</f>
        <v>-99</v>
      </c>
      <c r="BA627">
        <f ca="1">IF(AND($AT627&lt;3,OFFSET(DATA!$C$14,$AS627,0)=BA$6),$AV627,dNULL)</f>
        <v>-99</v>
      </c>
      <c r="BB627">
        <f ca="1">IF(AND($AT627&lt;3,OFFSET(DATA!$C$14,$AS627,0)=BB$6),$AV627,dNULL)</f>
        <v>-99</v>
      </c>
      <c r="BC627">
        <f ca="1">IF(AND($AT627&lt;3,OFFSET(DATA!$C$14,$AS627,0)=BC$6),$AV627,dNULL)</f>
        <v>-99</v>
      </c>
      <c r="BD627">
        <f ca="1">IF(AND($AT627&lt;3,OFFSET(DATA!$C$14,$AS627,0)=BD$6),$AV627,dNULL)</f>
        <v>-99</v>
      </c>
      <c r="BE627">
        <f ca="1">IF(AND($AT627&lt;3,OFFSET(DATA!$C$14,$AS627,0)=BE$6),$AV627,dNULL)</f>
        <v>-99</v>
      </c>
      <c r="BF627">
        <f ca="1">IF(AND($AT627&lt;3,OFFSET(DATA!$C$14,$AS627,0)=BF$6),$AV627,dNULL)</f>
        <v>-99</v>
      </c>
      <c r="BG627">
        <f ca="1">IF(AND($AT627&lt;3,OFFSET(DATA!$C$14,$AS627,0)=BG$6),$AV627,dNULL)</f>
        <v>-99</v>
      </c>
      <c r="BH627">
        <f ca="1">IF(AND($AT627&lt;3,OFFSET(DATA!$C$14,$AS627,0)=BH$6),$AV627,dNULL)</f>
        <v>-99</v>
      </c>
    </row>
    <row r="628" spans="45:60" x14ac:dyDescent="0.25">
      <c r="AS628">
        <f t="shared" si="124"/>
        <v>82</v>
      </c>
      <c r="AT628">
        <f t="shared" si="125"/>
        <v>6</v>
      </c>
      <c r="AU628">
        <f t="shared" ca="1" si="126"/>
        <v>-99</v>
      </c>
      <c r="AV628">
        <f t="shared" ca="1" si="127"/>
        <v>-99</v>
      </c>
      <c r="AW628">
        <f ca="1">IF(AND($AT628&lt;3,OFFSET(DATA!$C$14,$AS628,0)=AW$6),$AV628,dNULL)</f>
        <v>-99</v>
      </c>
      <c r="AX628">
        <f ca="1">IF(AND($AT628&lt;3,OFFSET(DATA!$C$14,$AS628,0)=AX$6),$AV628,dNULL)</f>
        <v>-99</v>
      </c>
      <c r="AY628">
        <f ca="1">IF(AND($AT628&lt;3,OFFSET(DATA!$C$14,$AS628,0)=AY$6),$AV628,dNULL)</f>
        <v>-99</v>
      </c>
      <c r="AZ628">
        <f ca="1">IF(AND($AT628&lt;3,OFFSET(DATA!$C$14,$AS628,0)=AZ$6),$AV628,dNULL)</f>
        <v>-99</v>
      </c>
      <c r="BA628">
        <f ca="1">IF(AND($AT628&lt;3,OFFSET(DATA!$C$14,$AS628,0)=BA$6),$AV628,dNULL)</f>
        <v>-99</v>
      </c>
      <c r="BB628">
        <f ca="1">IF(AND($AT628&lt;3,OFFSET(DATA!$C$14,$AS628,0)=BB$6),$AV628,dNULL)</f>
        <v>-99</v>
      </c>
      <c r="BC628">
        <f ca="1">IF(AND($AT628&lt;3,OFFSET(DATA!$C$14,$AS628,0)=BC$6),$AV628,dNULL)</f>
        <v>-99</v>
      </c>
      <c r="BD628">
        <f ca="1">IF(AND($AT628&lt;3,OFFSET(DATA!$C$14,$AS628,0)=BD$6),$AV628,dNULL)</f>
        <v>-99</v>
      </c>
      <c r="BE628">
        <f ca="1">IF(AND($AT628&lt;3,OFFSET(DATA!$C$14,$AS628,0)=BE$6),$AV628,dNULL)</f>
        <v>-99</v>
      </c>
      <c r="BF628">
        <f ca="1">IF(AND($AT628&lt;3,OFFSET(DATA!$C$14,$AS628,0)=BF$6),$AV628,dNULL)</f>
        <v>-99</v>
      </c>
      <c r="BG628">
        <f ca="1">IF(AND($AT628&lt;3,OFFSET(DATA!$C$14,$AS628,0)=BG$6),$AV628,dNULL)</f>
        <v>-99</v>
      </c>
      <c r="BH628">
        <f ca="1">IF(AND($AT628&lt;3,OFFSET(DATA!$C$14,$AS628,0)=BH$6),$AV628,dNULL)</f>
        <v>-99</v>
      </c>
    </row>
    <row r="629" spans="45:60" x14ac:dyDescent="0.25">
      <c r="AS629">
        <f t="shared" si="124"/>
        <v>83</v>
      </c>
      <c r="AT629">
        <f t="shared" si="125"/>
        <v>6</v>
      </c>
      <c r="AU629">
        <f t="shared" ca="1" si="126"/>
        <v>-99</v>
      </c>
      <c r="AV629">
        <f t="shared" ca="1" si="127"/>
        <v>-99</v>
      </c>
      <c r="AW629">
        <f ca="1">IF(AND($AT629&lt;3,OFFSET(DATA!$C$14,$AS629,0)=AW$6),$AV629,dNULL)</f>
        <v>-99</v>
      </c>
      <c r="AX629">
        <f ca="1">IF(AND($AT629&lt;3,OFFSET(DATA!$C$14,$AS629,0)=AX$6),$AV629,dNULL)</f>
        <v>-99</v>
      </c>
      <c r="AY629">
        <f ca="1">IF(AND($AT629&lt;3,OFFSET(DATA!$C$14,$AS629,0)=AY$6),$AV629,dNULL)</f>
        <v>-99</v>
      </c>
      <c r="AZ629">
        <f ca="1">IF(AND($AT629&lt;3,OFFSET(DATA!$C$14,$AS629,0)=AZ$6),$AV629,dNULL)</f>
        <v>-99</v>
      </c>
      <c r="BA629">
        <f ca="1">IF(AND($AT629&lt;3,OFFSET(DATA!$C$14,$AS629,0)=BA$6),$AV629,dNULL)</f>
        <v>-99</v>
      </c>
      <c r="BB629">
        <f ca="1">IF(AND($AT629&lt;3,OFFSET(DATA!$C$14,$AS629,0)=BB$6),$AV629,dNULL)</f>
        <v>-99</v>
      </c>
      <c r="BC629">
        <f ca="1">IF(AND($AT629&lt;3,OFFSET(DATA!$C$14,$AS629,0)=BC$6),$AV629,dNULL)</f>
        <v>-99</v>
      </c>
      <c r="BD629">
        <f ca="1">IF(AND($AT629&lt;3,OFFSET(DATA!$C$14,$AS629,0)=BD$6),$AV629,dNULL)</f>
        <v>-99</v>
      </c>
      <c r="BE629">
        <f ca="1">IF(AND($AT629&lt;3,OFFSET(DATA!$C$14,$AS629,0)=BE$6),$AV629,dNULL)</f>
        <v>-99</v>
      </c>
      <c r="BF629">
        <f ca="1">IF(AND($AT629&lt;3,OFFSET(DATA!$C$14,$AS629,0)=BF$6),$AV629,dNULL)</f>
        <v>-99</v>
      </c>
      <c r="BG629">
        <f ca="1">IF(AND($AT629&lt;3,OFFSET(DATA!$C$14,$AS629,0)=BG$6),$AV629,dNULL)</f>
        <v>-99</v>
      </c>
      <c r="BH629">
        <f ca="1">IF(AND($AT629&lt;3,OFFSET(DATA!$C$14,$AS629,0)=BH$6),$AV629,dNULL)</f>
        <v>-99</v>
      </c>
    </row>
    <row r="630" spans="45:60" x14ac:dyDescent="0.25">
      <c r="AS630">
        <f t="shared" si="124"/>
        <v>84</v>
      </c>
      <c r="AT630">
        <f t="shared" si="125"/>
        <v>6</v>
      </c>
      <c r="AU630">
        <f t="shared" ca="1" si="126"/>
        <v>-99</v>
      </c>
      <c r="AV630">
        <f t="shared" ca="1" si="127"/>
        <v>-99</v>
      </c>
      <c r="AW630">
        <f ca="1">IF(AND($AT630&lt;3,OFFSET(DATA!$C$14,$AS630,0)=AW$6),$AV630,dNULL)</f>
        <v>-99</v>
      </c>
      <c r="AX630">
        <f ca="1">IF(AND($AT630&lt;3,OFFSET(DATA!$C$14,$AS630,0)=AX$6),$AV630,dNULL)</f>
        <v>-99</v>
      </c>
      <c r="AY630">
        <f ca="1">IF(AND($AT630&lt;3,OFFSET(DATA!$C$14,$AS630,0)=AY$6),$AV630,dNULL)</f>
        <v>-99</v>
      </c>
      <c r="AZ630">
        <f ca="1">IF(AND($AT630&lt;3,OFFSET(DATA!$C$14,$AS630,0)=AZ$6),$AV630,dNULL)</f>
        <v>-99</v>
      </c>
      <c r="BA630">
        <f ca="1">IF(AND($AT630&lt;3,OFFSET(DATA!$C$14,$AS630,0)=BA$6),$AV630,dNULL)</f>
        <v>-99</v>
      </c>
      <c r="BB630">
        <f ca="1">IF(AND($AT630&lt;3,OFFSET(DATA!$C$14,$AS630,0)=BB$6),$AV630,dNULL)</f>
        <v>-99</v>
      </c>
      <c r="BC630">
        <f ca="1">IF(AND($AT630&lt;3,OFFSET(DATA!$C$14,$AS630,0)=BC$6),$AV630,dNULL)</f>
        <v>-99</v>
      </c>
      <c r="BD630">
        <f ca="1">IF(AND($AT630&lt;3,OFFSET(DATA!$C$14,$AS630,0)=BD$6),$AV630,dNULL)</f>
        <v>-99</v>
      </c>
      <c r="BE630">
        <f ca="1">IF(AND($AT630&lt;3,OFFSET(DATA!$C$14,$AS630,0)=BE$6),$AV630,dNULL)</f>
        <v>-99</v>
      </c>
      <c r="BF630">
        <f ca="1">IF(AND($AT630&lt;3,OFFSET(DATA!$C$14,$AS630,0)=BF$6),$AV630,dNULL)</f>
        <v>-99</v>
      </c>
      <c r="BG630">
        <f ca="1">IF(AND($AT630&lt;3,OFFSET(DATA!$C$14,$AS630,0)=BG$6),$AV630,dNULL)</f>
        <v>-99</v>
      </c>
      <c r="BH630">
        <f ca="1">IF(AND($AT630&lt;3,OFFSET(DATA!$C$14,$AS630,0)=BH$6),$AV630,dNULL)</f>
        <v>-99</v>
      </c>
    </row>
    <row r="631" spans="45:60" x14ac:dyDescent="0.25">
      <c r="AS631">
        <f t="shared" si="124"/>
        <v>85</v>
      </c>
      <c r="AT631">
        <f t="shared" si="125"/>
        <v>6</v>
      </c>
      <c r="AU631">
        <f t="shared" ca="1" si="126"/>
        <v>-99</v>
      </c>
      <c r="AV631">
        <f t="shared" ca="1" si="127"/>
        <v>-99</v>
      </c>
      <c r="AW631">
        <f ca="1">IF(AND($AT631&lt;3,OFFSET(DATA!$C$14,$AS631,0)=AW$6),$AV631,dNULL)</f>
        <v>-99</v>
      </c>
      <c r="AX631">
        <f ca="1">IF(AND($AT631&lt;3,OFFSET(DATA!$C$14,$AS631,0)=AX$6),$AV631,dNULL)</f>
        <v>-99</v>
      </c>
      <c r="AY631">
        <f ca="1">IF(AND($AT631&lt;3,OFFSET(DATA!$C$14,$AS631,0)=AY$6),$AV631,dNULL)</f>
        <v>-99</v>
      </c>
      <c r="AZ631">
        <f ca="1">IF(AND($AT631&lt;3,OFFSET(DATA!$C$14,$AS631,0)=AZ$6),$AV631,dNULL)</f>
        <v>-99</v>
      </c>
      <c r="BA631">
        <f ca="1">IF(AND($AT631&lt;3,OFFSET(DATA!$C$14,$AS631,0)=BA$6),$AV631,dNULL)</f>
        <v>-99</v>
      </c>
      <c r="BB631">
        <f ca="1">IF(AND($AT631&lt;3,OFFSET(DATA!$C$14,$AS631,0)=BB$6),$AV631,dNULL)</f>
        <v>-99</v>
      </c>
      <c r="BC631">
        <f ca="1">IF(AND($AT631&lt;3,OFFSET(DATA!$C$14,$AS631,0)=BC$6),$AV631,dNULL)</f>
        <v>-99</v>
      </c>
      <c r="BD631">
        <f ca="1">IF(AND($AT631&lt;3,OFFSET(DATA!$C$14,$AS631,0)=BD$6),$AV631,dNULL)</f>
        <v>-99</v>
      </c>
      <c r="BE631">
        <f ca="1">IF(AND($AT631&lt;3,OFFSET(DATA!$C$14,$AS631,0)=BE$6),$AV631,dNULL)</f>
        <v>-99</v>
      </c>
      <c r="BF631">
        <f ca="1">IF(AND($AT631&lt;3,OFFSET(DATA!$C$14,$AS631,0)=BF$6),$AV631,dNULL)</f>
        <v>-99</v>
      </c>
      <c r="BG631">
        <f ca="1">IF(AND($AT631&lt;3,OFFSET(DATA!$C$14,$AS631,0)=BG$6),$AV631,dNULL)</f>
        <v>-99</v>
      </c>
      <c r="BH631">
        <f ca="1">IF(AND($AT631&lt;3,OFFSET(DATA!$C$14,$AS631,0)=BH$6),$AV631,dNULL)</f>
        <v>-99</v>
      </c>
    </row>
    <row r="632" spans="45:60" x14ac:dyDescent="0.25">
      <c r="AS632">
        <f t="shared" si="124"/>
        <v>86</v>
      </c>
      <c r="AT632">
        <f t="shared" si="125"/>
        <v>6</v>
      </c>
      <c r="AU632">
        <f t="shared" ca="1" si="126"/>
        <v>-99</v>
      </c>
      <c r="AV632">
        <f t="shared" ca="1" si="127"/>
        <v>-99</v>
      </c>
      <c r="AW632">
        <f ca="1">IF(AND($AT632&lt;3,OFFSET(DATA!$C$14,$AS632,0)=AW$6),$AV632,dNULL)</f>
        <v>-99</v>
      </c>
      <c r="AX632">
        <f ca="1">IF(AND($AT632&lt;3,OFFSET(DATA!$C$14,$AS632,0)=AX$6),$AV632,dNULL)</f>
        <v>-99</v>
      </c>
      <c r="AY632">
        <f ca="1">IF(AND($AT632&lt;3,OFFSET(DATA!$C$14,$AS632,0)=AY$6),$AV632,dNULL)</f>
        <v>-99</v>
      </c>
      <c r="AZ632">
        <f ca="1">IF(AND($AT632&lt;3,OFFSET(DATA!$C$14,$AS632,0)=AZ$6),$AV632,dNULL)</f>
        <v>-99</v>
      </c>
      <c r="BA632">
        <f ca="1">IF(AND($AT632&lt;3,OFFSET(DATA!$C$14,$AS632,0)=BA$6),$AV632,dNULL)</f>
        <v>-99</v>
      </c>
      <c r="BB632">
        <f ca="1">IF(AND($AT632&lt;3,OFFSET(DATA!$C$14,$AS632,0)=BB$6),$AV632,dNULL)</f>
        <v>-99</v>
      </c>
      <c r="BC632">
        <f ca="1">IF(AND($AT632&lt;3,OFFSET(DATA!$C$14,$AS632,0)=BC$6),$AV632,dNULL)</f>
        <v>-99</v>
      </c>
      <c r="BD632">
        <f ca="1">IF(AND($AT632&lt;3,OFFSET(DATA!$C$14,$AS632,0)=BD$6),$AV632,dNULL)</f>
        <v>-99</v>
      </c>
      <c r="BE632">
        <f ca="1">IF(AND($AT632&lt;3,OFFSET(DATA!$C$14,$AS632,0)=BE$6),$AV632,dNULL)</f>
        <v>-99</v>
      </c>
      <c r="BF632">
        <f ca="1">IF(AND($AT632&lt;3,OFFSET(DATA!$C$14,$AS632,0)=BF$6),$AV632,dNULL)</f>
        <v>-99</v>
      </c>
      <c r="BG632">
        <f ca="1">IF(AND($AT632&lt;3,OFFSET(DATA!$C$14,$AS632,0)=BG$6),$AV632,dNULL)</f>
        <v>-99</v>
      </c>
      <c r="BH632">
        <f ca="1">IF(AND($AT632&lt;3,OFFSET(DATA!$C$14,$AS632,0)=BH$6),$AV632,dNULL)</f>
        <v>-99</v>
      </c>
    </row>
    <row r="633" spans="45:60" x14ac:dyDescent="0.25">
      <c r="AS633">
        <f t="shared" si="124"/>
        <v>87</v>
      </c>
      <c r="AT633">
        <f t="shared" si="125"/>
        <v>6</v>
      </c>
      <c r="AU633">
        <f t="shared" ca="1" si="126"/>
        <v>-99</v>
      </c>
      <c r="AV633">
        <f t="shared" ca="1" si="127"/>
        <v>-99</v>
      </c>
      <c r="AW633">
        <f ca="1">IF(AND($AT633&lt;3,OFFSET(DATA!$C$14,$AS633,0)=AW$6),$AV633,dNULL)</f>
        <v>-99</v>
      </c>
      <c r="AX633">
        <f ca="1">IF(AND($AT633&lt;3,OFFSET(DATA!$C$14,$AS633,0)=AX$6),$AV633,dNULL)</f>
        <v>-99</v>
      </c>
      <c r="AY633">
        <f ca="1">IF(AND($AT633&lt;3,OFFSET(DATA!$C$14,$AS633,0)=AY$6),$AV633,dNULL)</f>
        <v>-99</v>
      </c>
      <c r="AZ633">
        <f ca="1">IF(AND($AT633&lt;3,OFFSET(DATA!$C$14,$AS633,0)=AZ$6),$AV633,dNULL)</f>
        <v>-99</v>
      </c>
      <c r="BA633">
        <f ca="1">IF(AND($AT633&lt;3,OFFSET(DATA!$C$14,$AS633,0)=BA$6),$AV633,dNULL)</f>
        <v>-99</v>
      </c>
      <c r="BB633">
        <f ca="1">IF(AND($AT633&lt;3,OFFSET(DATA!$C$14,$AS633,0)=BB$6),$AV633,dNULL)</f>
        <v>-99</v>
      </c>
      <c r="BC633">
        <f ca="1">IF(AND($AT633&lt;3,OFFSET(DATA!$C$14,$AS633,0)=BC$6),$AV633,dNULL)</f>
        <v>-99</v>
      </c>
      <c r="BD633">
        <f ca="1">IF(AND($AT633&lt;3,OFFSET(DATA!$C$14,$AS633,0)=BD$6),$AV633,dNULL)</f>
        <v>-99</v>
      </c>
      <c r="BE633">
        <f ca="1">IF(AND($AT633&lt;3,OFFSET(DATA!$C$14,$AS633,0)=BE$6),$AV633,dNULL)</f>
        <v>-99</v>
      </c>
      <c r="BF633">
        <f ca="1">IF(AND($AT633&lt;3,OFFSET(DATA!$C$14,$AS633,0)=BF$6),$AV633,dNULL)</f>
        <v>-99</v>
      </c>
      <c r="BG633">
        <f ca="1">IF(AND($AT633&lt;3,OFFSET(DATA!$C$14,$AS633,0)=BG$6),$AV633,dNULL)</f>
        <v>-99</v>
      </c>
      <c r="BH633">
        <f ca="1">IF(AND($AT633&lt;3,OFFSET(DATA!$C$14,$AS633,0)=BH$6),$AV633,dNULL)</f>
        <v>-99</v>
      </c>
    </row>
    <row r="634" spans="45:60" x14ac:dyDescent="0.25">
      <c r="AS634">
        <f t="shared" si="124"/>
        <v>88</v>
      </c>
      <c r="AT634">
        <f t="shared" si="125"/>
        <v>6</v>
      </c>
      <c r="AU634">
        <f t="shared" ca="1" si="126"/>
        <v>-99</v>
      </c>
      <c r="AV634">
        <f t="shared" ca="1" si="127"/>
        <v>-99</v>
      </c>
      <c r="AW634">
        <f ca="1">IF(AND($AT634&lt;3,OFFSET(DATA!$C$14,$AS634,0)=AW$6),$AV634,dNULL)</f>
        <v>-99</v>
      </c>
      <c r="AX634">
        <f ca="1">IF(AND($AT634&lt;3,OFFSET(DATA!$C$14,$AS634,0)=AX$6),$AV634,dNULL)</f>
        <v>-99</v>
      </c>
      <c r="AY634">
        <f ca="1">IF(AND($AT634&lt;3,OFFSET(DATA!$C$14,$AS634,0)=AY$6),$AV634,dNULL)</f>
        <v>-99</v>
      </c>
      <c r="AZ634">
        <f ca="1">IF(AND($AT634&lt;3,OFFSET(DATA!$C$14,$AS634,0)=AZ$6),$AV634,dNULL)</f>
        <v>-99</v>
      </c>
      <c r="BA634">
        <f ca="1">IF(AND($AT634&lt;3,OFFSET(DATA!$C$14,$AS634,0)=BA$6),$AV634,dNULL)</f>
        <v>-99</v>
      </c>
      <c r="BB634">
        <f ca="1">IF(AND($AT634&lt;3,OFFSET(DATA!$C$14,$AS634,0)=BB$6),$AV634,dNULL)</f>
        <v>-99</v>
      </c>
      <c r="BC634">
        <f ca="1">IF(AND($AT634&lt;3,OFFSET(DATA!$C$14,$AS634,0)=BC$6),$AV634,dNULL)</f>
        <v>-99</v>
      </c>
      <c r="BD634">
        <f ca="1">IF(AND($AT634&lt;3,OFFSET(DATA!$C$14,$AS634,0)=BD$6),$AV634,dNULL)</f>
        <v>-99</v>
      </c>
      <c r="BE634">
        <f ca="1">IF(AND($AT634&lt;3,OFFSET(DATA!$C$14,$AS634,0)=BE$6),$AV634,dNULL)</f>
        <v>-99</v>
      </c>
      <c r="BF634">
        <f ca="1">IF(AND($AT634&lt;3,OFFSET(DATA!$C$14,$AS634,0)=BF$6),$AV634,dNULL)</f>
        <v>-99</v>
      </c>
      <c r="BG634">
        <f ca="1">IF(AND($AT634&lt;3,OFFSET(DATA!$C$14,$AS634,0)=BG$6),$AV634,dNULL)</f>
        <v>-99</v>
      </c>
      <c r="BH634">
        <f ca="1">IF(AND($AT634&lt;3,OFFSET(DATA!$C$14,$AS634,0)=BH$6),$AV634,dNULL)</f>
        <v>-99</v>
      </c>
    </row>
    <row r="635" spans="45:60" x14ac:dyDescent="0.25">
      <c r="AS635">
        <f t="shared" si="124"/>
        <v>89</v>
      </c>
      <c r="AT635">
        <f t="shared" si="125"/>
        <v>6</v>
      </c>
      <c r="AU635">
        <f t="shared" ca="1" si="126"/>
        <v>-99</v>
      </c>
      <c r="AV635">
        <f t="shared" ca="1" si="127"/>
        <v>-99</v>
      </c>
      <c r="AW635">
        <f ca="1">IF(AND($AT635&lt;3,OFFSET(DATA!$C$14,$AS635,0)=AW$6),$AV635,dNULL)</f>
        <v>-99</v>
      </c>
      <c r="AX635">
        <f ca="1">IF(AND($AT635&lt;3,OFFSET(DATA!$C$14,$AS635,0)=AX$6),$AV635,dNULL)</f>
        <v>-99</v>
      </c>
      <c r="AY635">
        <f ca="1">IF(AND($AT635&lt;3,OFFSET(DATA!$C$14,$AS635,0)=AY$6),$AV635,dNULL)</f>
        <v>-99</v>
      </c>
      <c r="AZ635">
        <f ca="1">IF(AND($AT635&lt;3,OFFSET(DATA!$C$14,$AS635,0)=AZ$6),$AV635,dNULL)</f>
        <v>-99</v>
      </c>
      <c r="BA635">
        <f ca="1">IF(AND($AT635&lt;3,OFFSET(DATA!$C$14,$AS635,0)=BA$6),$AV635,dNULL)</f>
        <v>-99</v>
      </c>
      <c r="BB635">
        <f ca="1">IF(AND($AT635&lt;3,OFFSET(DATA!$C$14,$AS635,0)=BB$6),$AV635,dNULL)</f>
        <v>-99</v>
      </c>
      <c r="BC635">
        <f ca="1">IF(AND($AT635&lt;3,OFFSET(DATA!$C$14,$AS635,0)=BC$6),$AV635,dNULL)</f>
        <v>-99</v>
      </c>
      <c r="BD635">
        <f ca="1">IF(AND($AT635&lt;3,OFFSET(DATA!$C$14,$AS635,0)=BD$6),$AV635,dNULL)</f>
        <v>-99</v>
      </c>
      <c r="BE635">
        <f ca="1">IF(AND($AT635&lt;3,OFFSET(DATA!$C$14,$AS635,0)=BE$6),$AV635,dNULL)</f>
        <v>-99</v>
      </c>
      <c r="BF635">
        <f ca="1">IF(AND($AT635&lt;3,OFFSET(DATA!$C$14,$AS635,0)=BF$6),$AV635,dNULL)</f>
        <v>-99</v>
      </c>
      <c r="BG635">
        <f ca="1">IF(AND($AT635&lt;3,OFFSET(DATA!$C$14,$AS635,0)=BG$6),$AV635,dNULL)</f>
        <v>-99</v>
      </c>
      <c r="BH635">
        <f ca="1">IF(AND($AT635&lt;3,OFFSET(DATA!$C$14,$AS635,0)=BH$6),$AV635,dNULL)</f>
        <v>-99</v>
      </c>
    </row>
    <row r="636" spans="45:60" x14ac:dyDescent="0.25">
      <c r="AS636">
        <f t="shared" si="124"/>
        <v>90</v>
      </c>
      <c r="AT636">
        <f t="shared" si="125"/>
        <v>6</v>
      </c>
      <c r="AU636">
        <f t="shared" ca="1" si="126"/>
        <v>-99</v>
      </c>
      <c r="AV636">
        <f t="shared" ca="1" si="127"/>
        <v>-99</v>
      </c>
      <c r="AW636">
        <f ca="1">IF(AND($AT636&lt;3,OFFSET(DATA!$C$14,$AS636,0)=AW$6),$AV636,dNULL)</f>
        <v>-99</v>
      </c>
      <c r="AX636">
        <f ca="1">IF(AND($AT636&lt;3,OFFSET(DATA!$C$14,$AS636,0)=AX$6),$AV636,dNULL)</f>
        <v>-99</v>
      </c>
      <c r="AY636">
        <f ca="1">IF(AND($AT636&lt;3,OFFSET(DATA!$C$14,$AS636,0)=AY$6),$AV636,dNULL)</f>
        <v>-99</v>
      </c>
      <c r="AZ636">
        <f ca="1">IF(AND($AT636&lt;3,OFFSET(DATA!$C$14,$AS636,0)=AZ$6),$AV636,dNULL)</f>
        <v>-99</v>
      </c>
      <c r="BA636">
        <f ca="1">IF(AND($AT636&lt;3,OFFSET(DATA!$C$14,$AS636,0)=BA$6),$AV636,dNULL)</f>
        <v>-99</v>
      </c>
      <c r="BB636">
        <f ca="1">IF(AND($AT636&lt;3,OFFSET(DATA!$C$14,$AS636,0)=BB$6),$AV636,dNULL)</f>
        <v>-99</v>
      </c>
      <c r="BC636">
        <f ca="1">IF(AND($AT636&lt;3,OFFSET(DATA!$C$14,$AS636,0)=BC$6),$AV636,dNULL)</f>
        <v>-99</v>
      </c>
      <c r="BD636">
        <f ca="1">IF(AND($AT636&lt;3,OFFSET(DATA!$C$14,$AS636,0)=BD$6),$AV636,dNULL)</f>
        <v>-99</v>
      </c>
      <c r="BE636">
        <f ca="1">IF(AND($AT636&lt;3,OFFSET(DATA!$C$14,$AS636,0)=BE$6),$AV636,dNULL)</f>
        <v>-99</v>
      </c>
      <c r="BF636">
        <f ca="1">IF(AND($AT636&lt;3,OFFSET(DATA!$C$14,$AS636,0)=BF$6),$AV636,dNULL)</f>
        <v>-99</v>
      </c>
      <c r="BG636">
        <f ca="1">IF(AND($AT636&lt;3,OFFSET(DATA!$C$14,$AS636,0)=BG$6),$AV636,dNULL)</f>
        <v>-99</v>
      </c>
      <c r="BH636">
        <f ca="1">IF(AND($AT636&lt;3,OFFSET(DATA!$C$14,$AS636,0)=BH$6),$AV636,dNULL)</f>
        <v>-99</v>
      </c>
    </row>
    <row r="637" spans="45:60" x14ac:dyDescent="0.25">
      <c r="AS637">
        <f t="shared" si="124"/>
        <v>1</v>
      </c>
      <c r="AT637">
        <f t="shared" si="125"/>
        <v>7</v>
      </c>
      <c r="AU637">
        <f t="shared" ca="1" si="126"/>
        <v>-99</v>
      </c>
      <c r="AV637">
        <f t="shared" ca="1" si="127"/>
        <v>-99</v>
      </c>
      <c r="AW637">
        <f ca="1">IF(AND($AT637&lt;3,OFFSET(DATA!$C$14,$AS637,0)=AW$6),$AV637,dNULL)</f>
        <v>-99</v>
      </c>
      <c r="AX637">
        <f ca="1">IF(AND($AT637&lt;3,OFFSET(DATA!$C$14,$AS637,0)=AX$6),$AV637,dNULL)</f>
        <v>-99</v>
      </c>
      <c r="AY637">
        <f ca="1">IF(AND($AT637&lt;3,OFFSET(DATA!$C$14,$AS637,0)=AY$6),$AV637,dNULL)</f>
        <v>-99</v>
      </c>
      <c r="AZ637">
        <f ca="1">IF(AND($AT637&lt;3,OFFSET(DATA!$C$14,$AS637,0)=AZ$6),$AV637,dNULL)</f>
        <v>-99</v>
      </c>
      <c r="BA637">
        <f ca="1">IF(AND($AT637&lt;3,OFFSET(DATA!$C$14,$AS637,0)=BA$6),$AV637,dNULL)</f>
        <v>-99</v>
      </c>
      <c r="BB637">
        <f ca="1">IF(AND($AT637&lt;3,OFFSET(DATA!$C$14,$AS637,0)=BB$6),$AV637,dNULL)</f>
        <v>-99</v>
      </c>
      <c r="BC637">
        <f ca="1">IF(AND($AT637&lt;3,OFFSET(DATA!$C$14,$AS637,0)=BC$6),$AV637,dNULL)</f>
        <v>-99</v>
      </c>
      <c r="BD637">
        <f ca="1">IF(AND($AT637&lt;3,OFFSET(DATA!$C$14,$AS637,0)=BD$6),$AV637,dNULL)</f>
        <v>-99</v>
      </c>
      <c r="BE637">
        <f ca="1">IF(AND($AT637&lt;3,OFFSET(DATA!$C$14,$AS637,0)=BE$6),$AV637,dNULL)</f>
        <v>-99</v>
      </c>
      <c r="BF637">
        <f ca="1">IF(AND($AT637&lt;3,OFFSET(DATA!$C$14,$AS637,0)=BF$6),$AV637,dNULL)</f>
        <v>-99</v>
      </c>
      <c r="BG637">
        <f ca="1">IF(AND($AT637&lt;3,OFFSET(DATA!$C$14,$AS637,0)=BG$6),$AV637,dNULL)</f>
        <v>-99</v>
      </c>
      <c r="BH637">
        <f ca="1">IF(AND($AT637&lt;3,OFFSET(DATA!$C$14,$AS637,0)=BH$6),$AV637,dNULL)</f>
        <v>-99</v>
      </c>
    </row>
    <row r="638" spans="45:60" x14ac:dyDescent="0.25">
      <c r="AS638">
        <f t="shared" si="124"/>
        <v>2</v>
      </c>
      <c r="AT638">
        <f t="shared" si="125"/>
        <v>7</v>
      </c>
      <c r="AU638">
        <f t="shared" ca="1" si="126"/>
        <v>-99</v>
      </c>
      <c r="AV638">
        <f t="shared" ca="1" si="127"/>
        <v>-99</v>
      </c>
      <c r="AW638">
        <f ca="1">IF(AND($AT638&lt;3,OFFSET(DATA!$C$14,$AS638,0)=AW$6),$AV638,dNULL)</f>
        <v>-99</v>
      </c>
      <c r="AX638">
        <f ca="1">IF(AND($AT638&lt;3,OFFSET(DATA!$C$14,$AS638,0)=AX$6),$AV638,dNULL)</f>
        <v>-99</v>
      </c>
      <c r="AY638">
        <f ca="1">IF(AND($AT638&lt;3,OFFSET(DATA!$C$14,$AS638,0)=AY$6),$AV638,dNULL)</f>
        <v>-99</v>
      </c>
      <c r="AZ638">
        <f ca="1">IF(AND($AT638&lt;3,OFFSET(DATA!$C$14,$AS638,0)=AZ$6),$AV638,dNULL)</f>
        <v>-99</v>
      </c>
      <c r="BA638">
        <f ca="1">IF(AND($AT638&lt;3,OFFSET(DATA!$C$14,$AS638,0)=BA$6),$AV638,dNULL)</f>
        <v>-99</v>
      </c>
      <c r="BB638">
        <f ca="1">IF(AND($AT638&lt;3,OFFSET(DATA!$C$14,$AS638,0)=BB$6),$AV638,dNULL)</f>
        <v>-99</v>
      </c>
      <c r="BC638">
        <f ca="1">IF(AND($AT638&lt;3,OFFSET(DATA!$C$14,$AS638,0)=BC$6),$AV638,dNULL)</f>
        <v>-99</v>
      </c>
      <c r="BD638">
        <f ca="1">IF(AND($AT638&lt;3,OFFSET(DATA!$C$14,$AS638,0)=BD$6),$AV638,dNULL)</f>
        <v>-99</v>
      </c>
      <c r="BE638">
        <f ca="1">IF(AND($AT638&lt;3,OFFSET(DATA!$C$14,$AS638,0)=BE$6),$AV638,dNULL)</f>
        <v>-99</v>
      </c>
      <c r="BF638">
        <f ca="1">IF(AND($AT638&lt;3,OFFSET(DATA!$C$14,$AS638,0)=BF$6),$AV638,dNULL)</f>
        <v>-99</v>
      </c>
      <c r="BG638">
        <f ca="1">IF(AND($AT638&lt;3,OFFSET(DATA!$C$14,$AS638,0)=BG$6),$AV638,dNULL)</f>
        <v>-99</v>
      </c>
      <c r="BH638">
        <f ca="1">IF(AND($AT638&lt;3,OFFSET(DATA!$C$14,$AS638,0)=BH$6),$AV638,dNULL)</f>
        <v>-99</v>
      </c>
    </row>
    <row r="639" spans="45:60" x14ac:dyDescent="0.25">
      <c r="AS639">
        <f t="shared" si="124"/>
        <v>3</v>
      </c>
      <c r="AT639">
        <f t="shared" si="125"/>
        <v>7</v>
      </c>
      <c r="AU639">
        <f t="shared" ca="1" si="126"/>
        <v>-99</v>
      </c>
      <c r="AV639">
        <f t="shared" ca="1" si="127"/>
        <v>-99</v>
      </c>
      <c r="AW639">
        <f ca="1">IF(AND($AT639&lt;3,OFFSET(DATA!$C$14,$AS639,0)=AW$6),$AV639,dNULL)</f>
        <v>-99</v>
      </c>
      <c r="AX639">
        <f ca="1">IF(AND($AT639&lt;3,OFFSET(DATA!$C$14,$AS639,0)=AX$6),$AV639,dNULL)</f>
        <v>-99</v>
      </c>
      <c r="AY639">
        <f ca="1">IF(AND($AT639&lt;3,OFFSET(DATA!$C$14,$AS639,0)=AY$6),$AV639,dNULL)</f>
        <v>-99</v>
      </c>
      <c r="AZ639">
        <f ca="1">IF(AND($AT639&lt;3,OFFSET(DATA!$C$14,$AS639,0)=AZ$6),$AV639,dNULL)</f>
        <v>-99</v>
      </c>
      <c r="BA639">
        <f ca="1">IF(AND($AT639&lt;3,OFFSET(DATA!$C$14,$AS639,0)=BA$6),$AV639,dNULL)</f>
        <v>-99</v>
      </c>
      <c r="BB639">
        <f ca="1">IF(AND($AT639&lt;3,OFFSET(DATA!$C$14,$AS639,0)=BB$6),$AV639,dNULL)</f>
        <v>-99</v>
      </c>
      <c r="BC639">
        <f ca="1">IF(AND($AT639&lt;3,OFFSET(DATA!$C$14,$AS639,0)=BC$6),$AV639,dNULL)</f>
        <v>-99</v>
      </c>
      <c r="BD639">
        <f ca="1">IF(AND($AT639&lt;3,OFFSET(DATA!$C$14,$AS639,0)=BD$6),$AV639,dNULL)</f>
        <v>-99</v>
      </c>
      <c r="BE639">
        <f ca="1">IF(AND($AT639&lt;3,OFFSET(DATA!$C$14,$AS639,0)=BE$6),$AV639,dNULL)</f>
        <v>-99</v>
      </c>
      <c r="BF639">
        <f ca="1">IF(AND($AT639&lt;3,OFFSET(DATA!$C$14,$AS639,0)=BF$6),$AV639,dNULL)</f>
        <v>-99</v>
      </c>
      <c r="BG639">
        <f ca="1">IF(AND($AT639&lt;3,OFFSET(DATA!$C$14,$AS639,0)=BG$6),$AV639,dNULL)</f>
        <v>-99</v>
      </c>
      <c r="BH639">
        <f ca="1">IF(AND($AT639&lt;3,OFFSET(DATA!$C$14,$AS639,0)=BH$6),$AV639,dNULL)</f>
        <v>-99</v>
      </c>
    </row>
    <row r="640" spans="45:60" x14ac:dyDescent="0.25">
      <c r="AS640">
        <f t="shared" si="124"/>
        <v>4</v>
      </c>
      <c r="AT640">
        <f t="shared" si="125"/>
        <v>7</v>
      </c>
      <c r="AU640">
        <f t="shared" ca="1" si="126"/>
        <v>-99</v>
      </c>
      <c r="AV640">
        <f t="shared" ca="1" si="127"/>
        <v>-99</v>
      </c>
      <c r="AW640">
        <f ca="1">IF(AND($AT640&lt;3,OFFSET(DATA!$C$14,$AS640,0)=AW$6),$AV640,dNULL)</f>
        <v>-99</v>
      </c>
      <c r="AX640">
        <f ca="1">IF(AND($AT640&lt;3,OFFSET(DATA!$C$14,$AS640,0)=AX$6),$AV640,dNULL)</f>
        <v>-99</v>
      </c>
      <c r="AY640">
        <f ca="1">IF(AND($AT640&lt;3,OFFSET(DATA!$C$14,$AS640,0)=AY$6),$AV640,dNULL)</f>
        <v>-99</v>
      </c>
      <c r="AZ640">
        <f ca="1">IF(AND($AT640&lt;3,OFFSET(DATA!$C$14,$AS640,0)=AZ$6),$AV640,dNULL)</f>
        <v>-99</v>
      </c>
      <c r="BA640">
        <f ca="1">IF(AND($AT640&lt;3,OFFSET(DATA!$C$14,$AS640,0)=BA$6),$AV640,dNULL)</f>
        <v>-99</v>
      </c>
      <c r="BB640">
        <f ca="1">IF(AND($AT640&lt;3,OFFSET(DATA!$C$14,$AS640,0)=BB$6),$AV640,dNULL)</f>
        <v>-99</v>
      </c>
      <c r="BC640">
        <f ca="1">IF(AND($AT640&lt;3,OFFSET(DATA!$C$14,$AS640,0)=BC$6),$AV640,dNULL)</f>
        <v>-99</v>
      </c>
      <c r="BD640">
        <f ca="1">IF(AND($AT640&lt;3,OFFSET(DATA!$C$14,$AS640,0)=BD$6),$AV640,dNULL)</f>
        <v>-99</v>
      </c>
      <c r="BE640">
        <f ca="1">IF(AND($AT640&lt;3,OFFSET(DATA!$C$14,$AS640,0)=BE$6),$AV640,dNULL)</f>
        <v>-99</v>
      </c>
      <c r="BF640">
        <f ca="1">IF(AND($AT640&lt;3,OFFSET(DATA!$C$14,$AS640,0)=BF$6),$AV640,dNULL)</f>
        <v>-99</v>
      </c>
      <c r="BG640">
        <f ca="1">IF(AND($AT640&lt;3,OFFSET(DATA!$C$14,$AS640,0)=BG$6),$AV640,dNULL)</f>
        <v>-99</v>
      </c>
      <c r="BH640">
        <f ca="1">IF(AND($AT640&lt;3,OFFSET(DATA!$C$14,$AS640,0)=BH$6),$AV640,dNULL)</f>
        <v>-99</v>
      </c>
    </row>
    <row r="641" spans="45:60" x14ac:dyDescent="0.25">
      <c r="AS641">
        <f t="shared" si="124"/>
        <v>5</v>
      </c>
      <c r="AT641">
        <f t="shared" si="125"/>
        <v>7</v>
      </c>
      <c r="AU641">
        <f t="shared" ca="1" si="126"/>
        <v>-99</v>
      </c>
      <c r="AV641">
        <f t="shared" ca="1" si="127"/>
        <v>-99</v>
      </c>
      <c r="AW641">
        <f ca="1">IF(AND($AT641&lt;3,OFFSET(DATA!$C$14,$AS641,0)=AW$6),$AV641,dNULL)</f>
        <v>-99</v>
      </c>
      <c r="AX641">
        <f ca="1">IF(AND($AT641&lt;3,OFFSET(DATA!$C$14,$AS641,0)=AX$6),$AV641,dNULL)</f>
        <v>-99</v>
      </c>
      <c r="AY641">
        <f ca="1">IF(AND($AT641&lt;3,OFFSET(DATA!$C$14,$AS641,0)=AY$6),$AV641,dNULL)</f>
        <v>-99</v>
      </c>
      <c r="AZ641">
        <f ca="1">IF(AND($AT641&lt;3,OFFSET(DATA!$C$14,$AS641,0)=AZ$6),$AV641,dNULL)</f>
        <v>-99</v>
      </c>
      <c r="BA641">
        <f ca="1">IF(AND($AT641&lt;3,OFFSET(DATA!$C$14,$AS641,0)=BA$6),$AV641,dNULL)</f>
        <v>-99</v>
      </c>
      <c r="BB641">
        <f ca="1">IF(AND($AT641&lt;3,OFFSET(DATA!$C$14,$AS641,0)=BB$6),$AV641,dNULL)</f>
        <v>-99</v>
      </c>
      <c r="BC641">
        <f ca="1">IF(AND($AT641&lt;3,OFFSET(DATA!$C$14,$AS641,0)=BC$6),$AV641,dNULL)</f>
        <v>-99</v>
      </c>
      <c r="BD641">
        <f ca="1">IF(AND($AT641&lt;3,OFFSET(DATA!$C$14,$AS641,0)=BD$6),$AV641,dNULL)</f>
        <v>-99</v>
      </c>
      <c r="BE641">
        <f ca="1">IF(AND($AT641&lt;3,OFFSET(DATA!$C$14,$AS641,0)=BE$6),$AV641,dNULL)</f>
        <v>-99</v>
      </c>
      <c r="BF641">
        <f ca="1">IF(AND($AT641&lt;3,OFFSET(DATA!$C$14,$AS641,0)=BF$6),$AV641,dNULL)</f>
        <v>-99</v>
      </c>
      <c r="BG641">
        <f ca="1">IF(AND($AT641&lt;3,OFFSET(DATA!$C$14,$AS641,0)=BG$6),$AV641,dNULL)</f>
        <v>-99</v>
      </c>
      <c r="BH641">
        <f ca="1">IF(AND($AT641&lt;3,OFFSET(DATA!$C$14,$AS641,0)=BH$6),$AV641,dNULL)</f>
        <v>-99</v>
      </c>
    </row>
    <row r="642" spans="45:60" x14ac:dyDescent="0.25">
      <c r="AS642">
        <f t="shared" si="124"/>
        <v>6</v>
      </c>
      <c r="AT642">
        <f t="shared" si="125"/>
        <v>7</v>
      </c>
      <c r="AU642">
        <f t="shared" ca="1" si="126"/>
        <v>-99</v>
      </c>
      <c r="AV642">
        <f t="shared" ca="1" si="127"/>
        <v>-99</v>
      </c>
      <c r="AW642">
        <f ca="1">IF(AND($AT642&lt;3,OFFSET(DATA!$C$14,$AS642,0)=AW$6),$AV642,dNULL)</f>
        <v>-99</v>
      </c>
      <c r="AX642">
        <f ca="1">IF(AND($AT642&lt;3,OFFSET(DATA!$C$14,$AS642,0)=AX$6),$AV642,dNULL)</f>
        <v>-99</v>
      </c>
      <c r="AY642">
        <f ca="1">IF(AND($AT642&lt;3,OFFSET(DATA!$C$14,$AS642,0)=AY$6),$AV642,dNULL)</f>
        <v>-99</v>
      </c>
      <c r="AZ642">
        <f ca="1">IF(AND($AT642&lt;3,OFFSET(DATA!$C$14,$AS642,0)=AZ$6),$AV642,dNULL)</f>
        <v>-99</v>
      </c>
      <c r="BA642">
        <f ca="1">IF(AND($AT642&lt;3,OFFSET(DATA!$C$14,$AS642,0)=BA$6),$AV642,dNULL)</f>
        <v>-99</v>
      </c>
      <c r="BB642">
        <f ca="1">IF(AND($AT642&lt;3,OFFSET(DATA!$C$14,$AS642,0)=BB$6),$AV642,dNULL)</f>
        <v>-99</v>
      </c>
      <c r="BC642">
        <f ca="1">IF(AND($AT642&lt;3,OFFSET(DATA!$C$14,$AS642,0)=BC$6),$AV642,dNULL)</f>
        <v>-99</v>
      </c>
      <c r="BD642">
        <f ca="1">IF(AND($AT642&lt;3,OFFSET(DATA!$C$14,$AS642,0)=BD$6),$AV642,dNULL)</f>
        <v>-99</v>
      </c>
      <c r="BE642">
        <f ca="1">IF(AND($AT642&lt;3,OFFSET(DATA!$C$14,$AS642,0)=BE$6),$AV642,dNULL)</f>
        <v>-99</v>
      </c>
      <c r="BF642">
        <f ca="1">IF(AND($AT642&lt;3,OFFSET(DATA!$C$14,$AS642,0)=BF$6),$AV642,dNULL)</f>
        <v>-99</v>
      </c>
      <c r="BG642">
        <f ca="1">IF(AND($AT642&lt;3,OFFSET(DATA!$C$14,$AS642,0)=BG$6),$AV642,dNULL)</f>
        <v>-99</v>
      </c>
      <c r="BH642">
        <f ca="1">IF(AND($AT642&lt;3,OFFSET(DATA!$C$14,$AS642,0)=BH$6),$AV642,dNULL)</f>
        <v>-99</v>
      </c>
    </row>
    <row r="643" spans="45:60" x14ac:dyDescent="0.25">
      <c r="AS643">
        <f t="shared" si="124"/>
        <v>7</v>
      </c>
      <c r="AT643">
        <f t="shared" si="125"/>
        <v>7</v>
      </c>
      <c r="AU643">
        <f t="shared" ca="1" si="126"/>
        <v>-99</v>
      </c>
      <c r="AV643">
        <f t="shared" ca="1" si="127"/>
        <v>-99</v>
      </c>
      <c r="AW643">
        <f ca="1">IF(AND($AT643&lt;3,OFFSET(DATA!$C$14,$AS643,0)=AW$6),$AV643,dNULL)</f>
        <v>-99</v>
      </c>
      <c r="AX643">
        <f ca="1">IF(AND($AT643&lt;3,OFFSET(DATA!$C$14,$AS643,0)=AX$6),$AV643,dNULL)</f>
        <v>-99</v>
      </c>
      <c r="AY643">
        <f ca="1">IF(AND($AT643&lt;3,OFFSET(DATA!$C$14,$AS643,0)=AY$6),$AV643,dNULL)</f>
        <v>-99</v>
      </c>
      <c r="AZ643">
        <f ca="1">IF(AND($AT643&lt;3,OFFSET(DATA!$C$14,$AS643,0)=AZ$6),$AV643,dNULL)</f>
        <v>-99</v>
      </c>
      <c r="BA643">
        <f ca="1">IF(AND($AT643&lt;3,OFFSET(DATA!$C$14,$AS643,0)=BA$6),$AV643,dNULL)</f>
        <v>-99</v>
      </c>
      <c r="BB643">
        <f ca="1">IF(AND($AT643&lt;3,OFFSET(DATA!$C$14,$AS643,0)=BB$6),$AV643,dNULL)</f>
        <v>-99</v>
      </c>
      <c r="BC643">
        <f ca="1">IF(AND($AT643&lt;3,OFFSET(DATA!$C$14,$AS643,0)=BC$6),$AV643,dNULL)</f>
        <v>-99</v>
      </c>
      <c r="BD643">
        <f ca="1">IF(AND($AT643&lt;3,OFFSET(DATA!$C$14,$AS643,0)=BD$6),$AV643,dNULL)</f>
        <v>-99</v>
      </c>
      <c r="BE643">
        <f ca="1">IF(AND($AT643&lt;3,OFFSET(DATA!$C$14,$AS643,0)=BE$6),$AV643,dNULL)</f>
        <v>-99</v>
      </c>
      <c r="BF643">
        <f ca="1">IF(AND($AT643&lt;3,OFFSET(DATA!$C$14,$AS643,0)=BF$6),$AV643,dNULL)</f>
        <v>-99</v>
      </c>
      <c r="BG643">
        <f ca="1">IF(AND($AT643&lt;3,OFFSET(DATA!$C$14,$AS643,0)=BG$6),$AV643,dNULL)</f>
        <v>-99</v>
      </c>
      <c r="BH643">
        <f ca="1">IF(AND($AT643&lt;3,OFFSET(DATA!$C$14,$AS643,0)=BH$6),$AV643,dNULL)</f>
        <v>-99</v>
      </c>
    </row>
    <row r="644" spans="45:60" x14ac:dyDescent="0.25">
      <c r="AS644">
        <f t="shared" si="124"/>
        <v>8</v>
      </c>
      <c r="AT644">
        <f t="shared" si="125"/>
        <v>7</v>
      </c>
      <c r="AU644">
        <f t="shared" ca="1" si="126"/>
        <v>-99</v>
      </c>
      <c r="AV644">
        <f t="shared" ca="1" si="127"/>
        <v>-99</v>
      </c>
      <c r="AW644">
        <f ca="1">IF(AND($AT644&lt;3,OFFSET(DATA!$C$14,$AS644,0)=AW$6),$AV644,dNULL)</f>
        <v>-99</v>
      </c>
      <c r="AX644">
        <f ca="1">IF(AND($AT644&lt;3,OFFSET(DATA!$C$14,$AS644,0)=AX$6),$AV644,dNULL)</f>
        <v>-99</v>
      </c>
      <c r="AY644">
        <f ca="1">IF(AND($AT644&lt;3,OFFSET(DATA!$C$14,$AS644,0)=AY$6),$AV644,dNULL)</f>
        <v>-99</v>
      </c>
      <c r="AZ644">
        <f ca="1">IF(AND($AT644&lt;3,OFFSET(DATA!$C$14,$AS644,0)=AZ$6),$AV644,dNULL)</f>
        <v>-99</v>
      </c>
      <c r="BA644">
        <f ca="1">IF(AND($AT644&lt;3,OFFSET(DATA!$C$14,$AS644,0)=BA$6),$AV644,dNULL)</f>
        <v>-99</v>
      </c>
      <c r="BB644">
        <f ca="1">IF(AND($AT644&lt;3,OFFSET(DATA!$C$14,$AS644,0)=BB$6),$AV644,dNULL)</f>
        <v>-99</v>
      </c>
      <c r="BC644">
        <f ca="1">IF(AND($AT644&lt;3,OFFSET(DATA!$C$14,$AS644,0)=BC$6),$AV644,dNULL)</f>
        <v>-99</v>
      </c>
      <c r="BD644">
        <f ca="1">IF(AND($AT644&lt;3,OFFSET(DATA!$C$14,$AS644,0)=BD$6),$AV644,dNULL)</f>
        <v>-99</v>
      </c>
      <c r="BE644">
        <f ca="1">IF(AND($AT644&lt;3,OFFSET(DATA!$C$14,$AS644,0)=BE$6),$AV644,dNULL)</f>
        <v>-99</v>
      </c>
      <c r="BF644">
        <f ca="1">IF(AND($AT644&lt;3,OFFSET(DATA!$C$14,$AS644,0)=BF$6),$AV644,dNULL)</f>
        <v>-99</v>
      </c>
      <c r="BG644">
        <f ca="1">IF(AND($AT644&lt;3,OFFSET(DATA!$C$14,$AS644,0)=BG$6),$AV644,dNULL)</f>
        <v>-99</v>
      </c>
      <c r="BH644">
        <f ca="1">IF(AND($AT644&lt;3,OFFSET(DATA!$C$14,$AS644,0)=BH$6),$AV644,dNULL)</f>
        <v>-99</v>
      </c>
    </row>
    <row r="645" spans="45:60" x14ac:dyDescent="0.25">
      <c r="AS645">
        <f t="shared" si="124"/>
        <v>9</v>
      </c>
      <c r="AT645">
        <f t="shared" si="125"/>
        <v>7</v>
      </c>
      <c r="AU645">
        <f t="shared" ca="1" si="126"/>
        <v>-99</v>
      </c>
      <c r="AV645">
        <f t="shared" ca="1" si="127"/>
        <v>-99</v>
      </c>
      <c r="AW645">
        <f ca="1">IF(AND($AT645&lt;3,OFFSET(DATA!$C$14,$AS645,0)=AW$6),$AV645,dNULL)</f>
        <v>-99</v>
      </c>
      <c r="AX645">
        <f ca="1">IF(AND($AT645&lt;3,OFFSET(DATA!$C$14,$AS645,0)=AX$6),$AV645,dNULL)</f>
        <v>-99</v>
      </c>
      <c r="AY645">
        <f ca="1">IF(AND($AT645&lt;3,OFFSET(DATA!$C$14,$AS645,0)=AY$6),$AV645,dNULL)</f>
        <v>-99</v>
      </c>
      <c r="AZ645">
        <f ca="1">IF(AND($AT645&lt;3,OFFSET(DATA!$C$14,$AS645,0)=AZ$6),$AV645,dNULL)</f>
        <v>-99</v>
      </c>
      <c r="BA645">
        <f ca="1">IF(AND($AT645&lt;3,OFFSET(DATA!$C$14,$AS645,0)=BA$6),$AV645,dNULL)</f>
        <v>-99</v>
      </c>
      <c r="BB645">
        <f ca="1">IF(AND($AT645&lt;3,OFFSET(DATA!$C$14,$AS645,0)=BB$6),$AV645,dNULL)</f>
        <v>-99</v>
      </c>
      <c r="BC645">
        <f ca="1">IF(AND($AT645&lt;3,OFFSET(DATA!$C$14,$AS645,0)=BC$6),$AV645,dNULL)</f>
        <v>-99</v>
      </c>
      <c r="BD645">
        <f ca="1">IF(AND($AT645&lt;3,OFFSET(DATA!$C$14,$AS645,0)=BD$6),$AV645,dNULL)</f>
        <v>-99</v>
      </c>
      <c r="BE645">
        <f ca="1">IF(AND($AT645&lt;3,OFFSET(DATA!$C$14,$AS645,0)=BE$6),$AV645,dNULL)</f>
        <v>-99</v>
      </c>
      <c r="BF645">
        <f ca="1">IF(AND($AT645&lt;3,OFFSET(DATA!$C$14,$AS645,0)=BF$6),$AV645,dNULL)</f>
        <v>-99</v>
      </c>
      <c r="BG645">
        <f ca="1">IF(AND($AT645&lt;3,OFFSET(DATA!$C$14,$AS645,0)=BG$6),$AV645,dNULL)</f>
        <v>-99</v>
      </c>
      <c r="BH645">
        <f ca="1">IF(AND($AT645&lt;3,OFFSET(DATA!$C$14,$AS645,0)=BH$6),$AV645,dNULL)</f>
        <v>-99</v>
      </c>
    </row>
    <row r="646" spans="45:60" x14ac:dyDescent="0.25">
      <c r="AS646">
        <f t="shared" si="124"/>
        <v>10</v>
      </c>
      <c r="AT646">
        <f t="shared" si="125"/>
        <v>7</v>
      </c>
      <c r="AU646">
        <f t="shared" ca="1" si="126"/>
        <v>-99</v>
      </c>
      <c r="AV646">
        <f t="shared" ca="1" si="127"/>
        <v>-99</v>
      </c>
      <c r="AW646">
        <f ca="1">IF(AND($AT646&lt;3,OFFSET(DATA!$C$14,$AS646,0)=AW$6),$AV646,dNULL)</f>
        <v>-99</v>
      </c>
      <c r="AX646">
        <f ca="1">IF(AND($AT646&lt;3,OFFSET(DATA!$C$14,$AS646,0)=AX$6),$AV646,dNULL)</f>
        <v>-99</v>
      </c>
      <c r="AY646">
        <f ca="1">IF(AND($AT646&lt;3,OFFSET(DATA!$C$14,$AS646,0)=AY$6),$AV646,dNULL)</f>
        <v>-99</v>
      </c>
      <c r="AZ646">
        <f ca="1">IF(AND($AT646&lt;3,OFFSET(DATA!$C$14,$AS646,0)=AZ$6),$AV646,dNULL)</f>
        <v>-99</v>
      </c>
      <c r="BA646">
        <f ca="1">IF(AND($AT646&lt;3,OFFSET(DATA!$C$14,$AS646,0)=BA$6),$AV646,dNULL)</f>
        <v>-99</v>
      </c>
      <c r="BB646">
        <f ca="1">IF(AND($AT646&lt;3,OFFSET(DATA!$C$14,$AS646,0)=BB$6),$AV646,dNULL)</f>
        <v>-99</v>
      </c>
      <c r="BC646">
        <f ca="1">IF(AND($AT646&lt;3,OFFSET(DATA!$C$14,$AS646,0)=BC$6),$AV646,dNULL)</f>
        <v>-99</v>
      </c>
      <c r="BD646">
        <f ca="1">IF(AND($AT646&lt;3,OFFSET(DATA!$C$14,$AS646,0)=BD$6),$AV646,dNULL)</f>
        <v>-99</v>
      </c>
      <c r="BE646">
        <f ca="1">IF(AND($AT646&lt;3,OFFSET(DATA!$C$14,$AS646,0)=BE$6),$AV646,dNULL)</f>
        <v>-99</v>
      </c>
      <c r="BF646">
        <f ca="1">IF(AND($AT646&lt;3,OFFSET(DATA!$C$14,$AS646,0)=BF$6),$AV646,dNULL)</f>
        <v>-99</v>
      </c>
      <c r="BG646">
        <f ca="1">IF(AND($AT646&lt;3,OFFSET(DATA!$C$14,$AS646,0)=BG$6),$AV646,dNULL)</f>
        <v>-99</v>
      </c>
      <c r="BH646">
        <f ca="1">IF(AND($AT646&lt;3,OFFSET(DATA!$C$14,$AS646,0)=BH$6),$AV646,dNULL)</f>
        <v>-99</v>
      </c>
    </row>
    <row r="647" spans="45:60" x14ac:dyDescent="0.25">
      <c r="AS647">
        <f t="shared" ref="AS647:AS710" si="128">MOD(ROW(AT647)-ROW($AT$7),lCNTsites)+1</f>
        <v>11</v>
      </c>
      <c r="AT647">
        <f t="shared" ref="AT647:AT710" si="129">INT((ROW(AT647)-ROW($AT$7))/lCNTsites)</f>
        <v>7</v>
      </c>
      <c r="AU647">
        <f t="shared" ref="AU647:AU710" ca="1" si="130">IF($AT647=0,(1-OFFSET($AL$6,$AS647,$AT647*2))-OFFSET($AL$6,$AS647,$AT647*2+1)*$K$8,IF($AT647=1,dAnionOFF+1+OFFSET($AL$6,$AS647,$AT647*2)+OFFSET($AL$6,$AS647,$AT647*2+1)/2,IF($AT647=2,$K$17-(1-OFFSET($AL$6,$AS647,$AT647*2))*0.5+(1-OFFSET($AL$6,$AS647,$AT647*2+1))*0.5,dNULL)))</f>
        <v>-99</v>
      </c>
      <c r="AV647">
        <f t="shared" ref="AV647:AV710" ca="1" si="131">IF($AT647=0,OFFSET($AL$6,$AS647,$AT647*2+1)*$L$8,IF($AT647=1,OFFSET($AL$6,$AS647,$AT647*2+1)*3^0.5/2,IF($AT647=2,$L$17+(2-OFFSET($AL$6,$AS647,$AT647*2)-OFFSET($AL$6,$AS647,$AT647*2+1))*$L$8,dNULL)))</f>
        <v>-99</v>
      </c>
      <c r="AW647">
        <f ca="1">IF(AND($AT647&lt;3,OFFSET(DATA!$C$14,$AS647,0)=AW$6),$AV647,dNULL)</f>
        <v>-99</v>
      </c>
      <c r="AX647">
        <f ca="1">IF(AND($AT647&lt;3,OFFSET(DATA!$C$14,$AS647,0)=AX$6),$AV647,dNULL)</f>
        <v>-99</v>
      </c>
      <c r="AY647">
        <f ca="1">IF(AND($AT647&lt;3,OFFSET(DATA!$C$14,$AS647,0)=AY$6),$AV647,dNULL)</f>
        <v>-99</v>
      </c>
      <c r="AZ647">
        <f ca="1">IF(AND($AT647&lt;3,OFFSET(DATA!$C$14,$AS647,0)=AZ$6),$AV647,dNULL)</f>
        <v>-99</v>
      </c>
      <c r="BA647">
        <f ca="1">IF(AND($AT647&lt;3,OFFSET(DATA!$C$14,$AS647,0)=BA$6),$AV647,dNULL)</f>
        <v>-99</v>
      </c>
      <c r="BB647">
        <f ca="1">IF(AND($AT647&lt;3,OFFSET(DATA!$C$14,$AS647,0)=BB$6),$AV647,dNULL)</f>
        <v>-99</v>
      </c>
      <c r="BC647">
        <f ca="1">IF(AND($AT647&lt;3,OFFSET(DATA!$C$14,$AS647,0)=BC$6),$AV647,dNULL)</f>
        <v>-99</v>
      </c>
      <c r="BD647">
        <f ca="1">IF(AND($AT647&lt;3,OFFSET(DATA!$C$14,$AS647,0)=BD$6),$AV647,dNULL)</f>
        <v>-99</v>
      </c>
      <c r="BE647">
        <f ca="1">IF(AND($AT647&lt;3,OFFSET(DATA!$C$14,$AS647,0)=BE$6),$AV647,dNULL)</f>
        <v>-99</v>
      </c>
      <c r="BF647">
        <f ca="1">IF(AND($AT647&lt;3,OFFSET(DATA!$C$14,$AS647,0)=BF$6),$AV647,dNULL)</f>
        <v>-99</v>
      </c>
      <c r="BG647">
        <f ca="1">IF(AND($AT647&lt;3,OFFSET(DATA!$C$14,$AS647,0)=BG$6),$AV647,dNULL)</f>
        <v>-99</v>
      </c>
      <c r="BH647">
        <f ca="1">IF(AND($AT647&lt;3,OFFSET(DATA!$C$14,$AS647,0)=BH$6),$AV647,dNULL)</f>
        <v>-99</v>
      </c>
    </row>
    <row r="648" spans="45:60" x14ac:dyDescent="0.25">
      <c r="AS648">
        <f t="shared" si="128"/>
        <v>12</v>
      </c>
      <c r="AT648">
        <f t="shared" si="129"/>
        <v>7</v>
      </c>
      <c r="AU648">
        <f t="shared" ca="1" si="130"/>
        <v>-99</v>
      </c>
      <c r="AV648">
        <f t="shared" ca="1" si="131"/>
        <v>-99</v>
      </c>
      <c r="AW648">
        <f ca="1">IF(AND($AT648&lt;3,OFFSET(DATA!$C$14,$AS648,0)=AW$6),$AV648,dNULL)</f>
        <v>-99</v>
      </c>
      <c r="AX648">
        <f ca="1">IF(AND($AT648&lt;3,OFFSET(DATA!$C$14,$AS648,0)=AX$6),$AV648,dNULL)</f>
        <v>-99</v>
      </c>
      <c r="AY648">
        <f ca="1">IF(AND($AT648&lt;3,OFFSET(DATA!$C$14,$AS648,0)=AY$6),$AV648,dNULL)</f>
        <v>-99</v>
      </c>
      <c r="AZ648">
        <f ca="1">IF(AND($AT648&lt;3,OFFSET(DATA!$C$14,$AS648,0)=AZ$6),$AV648,dNULL)</f>
        <v>-99</v>
      </c>
      <c r="BA648">
        <f ca="1">IF(AND($AT648&lt;3,OFFSET(DATA!$C$14,$AS648,0)=BA$6),$AV648,dNULL)</f>
        <v>-99</v>
      </c>
      <c r="BB648">
        <f ca="1">IF(AND($AT648&lt;3,OFFSET(DATA!$C$14,$AS648,0)=BB$6),$AV648,dNULL)</f>
        <v>-99</v>
      </c>
      <c r="BC648">
        <f ca="1">IF(AND($AT648&lt;3,OFFSET(DATA!$C$14,$AS648,0)=BC$6),$AV648,dNULL)</f>
        <v>-99</v>
      </c>
      <c r="BD648">
        <f ca="1">IF(AND($AT648&lt;3,OFFSET(DATA!$C$14,$AS648,0)=BD$6),$AV648,dNULL)</f>
        <v>-99</v>
      </c>
      <c r="BE648">
        <f ca="1">IF(AND($AT648&lt;3,OFFSET(DATA!$C$14,$AS648,0)=BE$6),$AV648,dNULL)</f>
        <v>-99</v>
      </c>
      <c r="BF648">
        <f ca="1">IF(AND($AT648&lt;3,OFFSET(DATA!$C$14,$AS648,0)=BF$6),$AV648,dNULL)</f>
        <v>-99</v>
      </c>
      <c r="BG648">
        <f ca="1">IF(AND($AT648&lt;3,OFFSET(DATA!$C$14,$AS648,0)=BG$6),$AV648,dNULL)</f>
        <v>-99</v>
      </c>
      <c r="BH648">
        <f ca="1">IF(AND($AT648&lt;3,OFFSET(DATA!$C$14,$AS648,0)=BH$6),$AV648,dNULL)</f>
        <v>-99</v>
      </c>
    </row>
    <row r="649" spans="45:60" x14ac:dyDescent="0.25">
      <c r="AS649">
        <f t="shared" si="128"/>
        <v>13</v>
      </c>
      <c r="AT649">
        <f t="shared" si="129"/>
        <v>7</v>
      </c>
      <c r="AU649">
        <f t="shared" ca="1" si="130"/>
        <v>-99</v>
      </c>
      <c r="AV649">
        <f t="shared" ca="1" si="131"/>
        <v>-99</v>
      </c>
      <c r="AW649">
        <f ca="1">IF(AND($AT649&lt;3,OFFSET(DATA!$C$14,$AS649,0)=AW$6),$AV649,dNULL)</f>
        <v>-99</v>
      </c>
      <c r="AX649">
        <f ca="1">IF(AND($AT649&lt;3,OFFSET(DATA!$C$14,$AS649,0)=AX$6),$AV649,dNULL)</f>
        <v>-99</v>
      </c>
      <c r="AY649">
        <f ca="1">IF(AND($AT649&lt;3,OFFSET(DATA!$C$14,$AS649,0)=AY$6),$AV649,dNULL)</f>
        <v>-99</v>
      </c>
      <c r="AZ649">
        <f ca="1">IF(AND($AT649&lt;3,OFFSET(DATA!$C$14,$AS649,0)=AZ$6),$AV649,dNULL)</f>
        <v>-99</v>
      </c>
      <c r="BA649">
        <f ca="1">IF(AND($AT649&lt;3,OFFSET(DATA!$C$14,$AS649,0)=BA$6),$AV649,dNULL)</f>
        <v>-99</v>
      </c>
      <c r="BB649">
        <f ca="1">IF(AND($AT649&lt;3,OFFSET(DATA!$C$14,$AS649,0)=BB$6),$AV649,dNULL)</f>
        <v>-99</v>
      </c>
      <c r="BC649">
        <f ca="1">IF(AND($AT649&lt;3,OFFSET(DATA!$C$14,$AS649,0)=BC$6),$AV649,dNULL)</f>
        <v>-99</v>
      </c>
      <c r="BD649">
        <f ca="1">IF(AND($AT649&lt;3,OFFSET(DATA!$C$14,$AS649,0)=BD$6),$AV649,dNULL)</f>
        <v>-99</v>
      </c>
      <c r="BE649">
        <f ca="1">IF(AND($AT649&lt;3,OFFSET(DATA!$C$14,$AS649,0)=BE$6),$AV649,dNULL)</f>
        <v>-99</v>
      </c>
      <c r="BF649">
        <f ca="1">IF(AND($AT649&lt;3,OFFSET(DATA!$C$14,$AS649,0)=BF$6),$AV649,dNULL)</f>
        <v>-99</v>
      </c>
      <c r="BG649">
        <f ca="1">IF(AND($AT649&lt;3,OFFSET(DATA!$C$14,$AS649,0)=BG$6),$AV649,dNULL)</f>
        <v>-99</v>
      </c>
      <c r="BH649">
        <f ca="1">IF(AND($AT649&lt;3,OFFSET(DATA!$C$14,$AS649,0)=BH$6),$AV649,dNULL)</f>
        <v>-99</v>
      </c>
    </row>
    <row r="650" spans="45:60" x14ac:dyDescent="0.25">
      <c r="AS650">
        <f t="shared" si="128"/>
        <v>14</v>
      </c>
      <c r="AT650">
        <f t="shared" si="129"/>
        <v>7</v>
      </c>
      <c r="AU650">
        <f t="shared" ca="1" si="130"/>
        <v>-99</v>
      </c>
      <c r="AV650">
        <f t="shared" ca="1" si="131"/>
        <v>-99</v>
      </c>
      <c r="AW650">
        <f ca="1">IF(AND($AT650&lt;3,OFFSET(DATA!$C$14,$AS650,0)=AW$6),$AV650,dNULL)</f>
        <v>-99</v>
      </c>
      <c r="AX650">
        <f ca="1">IF(AND($AT650&lt;3,OFFSET(DATA!$C$14,$AS650,0)=AX$6),$AV650,dNULL)</f>
        <v>-99</v>
      </c>
      <c r="AY650">
        <f ca="1">IF(AND($AT650&lt;3,OFFSET(DATA!$C$14,$AS650,0)=AY$6),$AV650,dNULL)</f>
        <v>-99</v>
      </c>
      <c r="AZ650">
        <f ca="1">IF(AND($AT650&lt;3,OFFSET(DATA!$C$14,$AS650,0)=AZ$6),$AV650,dNULL)</f>
        <v>-99</v>
      </c>
      <c r="BA650">
        <f ca="1">IF(AND($AT650&lt;3,OFFSET(DATA!$C$14,$AS650,0)=BA$6),$AV650,dNULL)</f>
        <v>-99</v>
      </c>
      <c r="BB650">
        <f ca="1">IF(AND($AT650&lt;3,OFFSET(DATA!$C$14,$AS650,0)=BB$6),$AV650,dNULL)</f>
        <v>-99</v>
      </c>
      <c r="BC650">
        <f ca="1">IF(AND($AT650&lt;3,OFFSET(DATA!$C$14,$AS650,0)=BC$6),$AV650,dNULL)</f>
        <v>-99</v>
      </c>
      <c r="BD650">
        <f ca="1">IF(AND($AT650&lt;3,OFFSET(DATA!$C$14,$AS650,0)=BD$6),$AV650,dNULL)</f>
        <v>-99</v>
      </c>
      <c r="BE650">
        <f ca="1">IF(AND($AT650&lt;3,OFFSET(DATA!$C$14,$AS650,0)=BE$6),$AV650,dNULL)</f>
        <v>-99</v>
      </c>
      <c r="BF650">
        <f ca="1">IF(AND($AT650&lt;3,OFFSET(DATA!$C$14,$AS650,0)=BF$6),$AV650,dNULL)</f>
        <v>-99</v>
      </c>
      <c r="BG650">
        <f ca="1">IF(AND($AT650&lt;3,OFFSET(DATA!$C$14,$AS650,0)=BG$6),$AV650,dNULL)</f>
        <v>-99</v>
      </c>
      <c r="BH650">
        <f ca="1">IF(AND($AT650&lt;3,OFFSET(DATA!$C$14,$AS650,0)=BH$6),$AV650,dNULL)</f>
        <v>-99</v>
      </c>
    </row>
    <row r="651" spans="45:60" x14ac:dyDescent="0.25">
      <c r="AS651">
        <f t="shared" si="128"/>
        <v>15</v>
      </c>
      <c r="AT651">
        <f t="shared" si="129"/>
        <v>7</v>
      </c>
      <c r="AU651">
        <f t="shared" ca="1" si="130"/>
        <v>-99</v>
      </c>
      <c r="AV651">
        <f t="shared" ca="1" si="131"/>
        <v>-99</v>
      </c>
      <c r="AW651">
        <f ca="1">IF(AND($AT651&lt;3,OFFSET(DATA!$C$14,$AS651,0)=AW$6),$AV651,dNULL)</f>
        <v>-99</v>
      </c>
      <c r="AX651">
        <f ca="1">IF(AND($AT651&lt;3,OFFSET(DATA!$C$14,$AS651,0)=AX$6),$AV651,dNULL)</f>
        <v>-99</v>
      </c>
      <c r="AY651">
        <f ca="1">IF(AND($AT651&lt;3,OFFSET(DATA!$C$14,$AS651,0)=AY$6),$AV651,dNULL)</f>
        <v>-99</v>
      </c>
      <c r="AZ651">
        <f ca="1">IF(AND($AT651&lt;3,OFFSET(DATA!$C$14,$AS651,0)=AZ$6),$AV651,dNULL)</f>
        <v>-99</v>
      </c>
      <c r="BA651">
        <f ca="1">IF(AND($AT651&lt;3,OFFSET(DATA!$C$14,$AS651,0)=BA$6),$AV651,dNULL)</f>
        <v>-99</v>
      </c>
      <c r="BB651">
        <f ca="1">IF(AND($AT651&lt;3,OFFSET(DATA!$C$14,$AS651,0)=BB$6),$AV651,dNULL)</f>
        <v>-99</v>
      </c>
      <c r="BC651">
        <f ca="1">IF(AND($AT651&lt;3,OFFSET(DATA!$C$14,$AS651,0)=BC$6),$AV651,dNULL)</f>
        <v>-99</v>
      </c>
      <c r="BD651">
        <f ca="1">IF(AND($AT651&lt;3,OFFSET(DATA!$C$14,$AS651,0)=BD$6),$AV651,dNULL)</f>
        <v>-99</v>
      </c>
      <c r="BE651">
        <f ca="1">IF(AND($AT651&lt;3,OFFSET(DATA!$C$14,$AS651,0)=BE$6),$AV651,dNULL)</f>
        <v>-99</v>
      </c>
      <c r="BF651">
        <f ca="1">IF(AND($AT651&lt;3,OFFSET(DATA!$C$14,$AS651,0)=BF$6),$AV651,dNULL)</f>
        <v>-99</v>
      </c>
      <c r="BG651">
        <f ca="1">IF(AND($AT651&lt;3,OFFSET(DATA!$C$14,$AS651,0)=BG$6),$AV651,dNULL)</f>
        <v>-99</v>
      </c>
      <c r="BH651">
        <f ca="1">IF(AND($AT651&lt;3,OFFSET(DATA!$C$14,$AS651,0)=BH$6),$AV651,dNULL)</f>
        <v>-99</v>
      </c>
    </row>
    <row r="652" spans="45:60" x14ac:dyDescent="0.25">
      <c r="AS652">
        <f t="shared" si="128"/>
        <v>16</v>
      </c>
      <c r="AT652">
        <f t="shared" si="129"/>
        <v>7</v>
      </c>
      <c r="AU652">
        <f t="shared" ca="1" si="130"/>
        <v>-99</v>
      </c>
      <c r="AV652">
        <f t="shared" ca="1" si="131"/>
        <v>-99</v>
      </c>
      <c r="AW652">
        <f ca="1">IF(AND($AT652&lt;3,OFFSET(DATA!$C$14,$AS652,0)=AW$6),$AV652,dNULL)</f>
        <v>-99</v>
      </c>
      <c r="AX652">
        <f ca="1">IF(AND($AT652&lt;3,OFFSET(DATA!$C$14,$AS652,0)=AX$6),$AV652,dNULL)</f>
        <v>-99</v>
      </c>
      <c r="AY652">
        <f ca="1">IF(AND($AT652&lt;3,OFFSET(DATA!$C$14,$AS652,0)=AY$6),$AV652,dNULL)</f>
        <v>-99</v>
      </c>
      <c r="AZ652">
        <f ca="1">IF(AND($AT652&lt;3,OFFSET(DATA!$C$14,$AS652,0)=AZ$6),$AV652,dNULL)</f>
        <v>-99</v>
      </c>
      <c r="BA652">
        <f ca="1">IF(AND($AT652&lt;3,OFFSET(DATA!$C$14,$AS652,0)=BA$6),$AV652,dNULL)</f>
        <v>-99</v>
      </c>
      <c r="BB652">
        <f ca="1">IF(AND($AT652&lt;3,OFFSET(DATA!$C$14,$AS652,0)=BB$6),$AV652,dNULL)</f>
        <v>-99</v>
      </c>
      <c r="BC652">
        <f ca="1">IF(AND($AT652&lt;3,OFFSET(DATA!$C$14,$AS652,0)=BC$6),$AV652,dNULL)</f>
        <v>-99</v>
      </c>
      <c r="BD652">
        <f ca="1">IF(AND($AT652&lt;3,OFFSET(DATA!$C$14,$AS652,0)=BD$6),$AV652,dNULL)</f>
        <v>-99</v>
      </c>
      <c r="BE652">
        <f ca="1">IF(AND($AT652&lt;3,OFFSET(DATA!$C$14,$AS652,0)=BE$6),$AV652,dNULL)</f>
        <v>-99</v>
      </c>
      <c r="BF652">
        <f ca="1">IF(AND($AT652&lt;3,OFFSET(DATA!$C$14,$AS652,0)=BF$6),$AV652,dNULL)</f>
        <v>-99</v>
      </c>
      <c r="BG652">
        <f ca="1">IF(AND($AT652&lt;3,OFFSET(DATA!$C$14,$AS652,0)=BG$6),$AV652,dNULL)</f>
        <v>-99</v>
      </c>
      <c r="BH652">
        <f ca="1">IF(AND($AT652&lt;3,OFFSET(DATA!$C$14,$AS652,0)=BH$6),$AV652,dNULL)</f>
        <v>-99</v>
      </c>
    </row>
    <row r="653" spans="45:60" x14ac:dyDescent="0.25">
      <c r="AS653">
        <f t="shared" si="128"/>
        <v>17</v>
      </c>
      <c r="AT653">
        <f t="shared" si="129"/>
        <v>7</v>
      </c>
      <c r="AU653">
        <f t="shared" ca="1" si="130"/>
        <v>-99</v>
      </c>
      <c r="AV653">
        <f t="shared" ca="1" si="131"/>
        <v>-99</v>
      </c>
      <c r="AW653">
        <f ca="1">IF(AND($AT653&lt;3,OFFSET(DATA!$C$14,$AS653,0)=AW$6),$AV653,dNULL)</f>
        <v>-99</v>
      </c>
      <c r="AX653">
        <f ca="1">IF(AND($AT653&lt;3,OFFSET(DATA!$C$14,$AS653,0)=AX$6),$AV653,dNULL)</f>
        <v>-99</v>
      </c>
      <c r="AY653">
        <f ca="1">IF(AND($AT653&lt;3,OFFSET(DATA!$C$14,$AS653,0)=AY$6),$AV653,dNULL)</f>
        <v>-99</v>
      </c>
      <c r="AZ653">
        <f ca="1">IF(AND($AT653&lt;3,OFFSET(DATA!$C$14,$AS653,0)=AZ$6),$AV653,dNULL)</f>
        <v>-99</v>
      </c>
      <c r="BA653">
        <f ca="1">IF(AND($AT653&lt;3,OFFSET(DATA!$C$14,$AS653,0)=BA$6),$AV653,dNULL)</f>
        <v>-99</v>
      </c>
      <c r="BB653">
        <f ca="1">IF(AND($AT653&lt;3,OFFSET(DATA!$C$14,$AS653,0)=BB$6),$AV653,dNULL)</f>
        <v>-99</v>
      </c>
      <c r="BC653">
        <f ca="1">IF(AND($AT653&lt;3,OFFSET(DATA!$C$14,$AS653,0)=BC$6),$AV653,dNULL)</f>
        <v>-99</v>
      </c>
      <c r="BD653">
        <f ca="1">IF(AND($AT653&lt;3,OFFSET(DATA!$C$14,$AS653,0)=BD$6),$AV653,dNULL)</f>
        <v>-99</v>
      </c>
      <c r="BE653">
        <f ca="1">IF(AND($AT653&lt;3,OFFSET(DATA!$C$14,$AS653,0)=BE$6),$AV653,dNULL)</f>
        <v>-99</v>
      </c>
      <c r="BF653">
        <f ca="1">IF(AND($AT653&lt;3,OFFSET(DATA!$C$14,$AS653,0)=BF$6),$AV653,dNULL)</f>
        <v>-99</v>
      </c>
      <c r="BG653">
        <f ca="1">IF(AND($AT653&lt;3,OFFSET(DATA!$C$14,$AS653,0)=BG$6),$AV653,dNULL)</f>
        <v>-99</v>
      </c>
      <c r="BH653">
        <f ca="1">IF(AND($AT653&lt;3,OFFSET(DATA!$C$14,$AS653,0)=BH$6),$AV653,dNULL)</f>
        <v>-99</v>
      </c>
    </row>
    <row r="654" spans="45:60" x14ac:dyDescent="0.25">
      <c r="AS654">
        <f t="shared" si="128"/>
        <v>18</v>
      </c>
      <c r="AT654">
        <f t="shared" si="129"/>
        <v>7</v>
      </c>
      <c r="AU654">
        <f t="shared" ca="1" si="130"/>
        <v>-99</v>
      </c>
      <c r="AV654">
        <f t="shared" ca="1" si="131"/>
        <v>-99</v>
      </c>
      <c r="AW654">
        <f ca="1">IF(AND($AT654&lt;3,OFFSET(DATA!$C$14,$AS654,0)=AW$6),$AV654,dNULL)</f>
        <v>-99</v>
      </c>
      <c r="AX654">
        <f ca="1">IF(AND($AT654&lt;3,OFFSET(DATA!$C$14,$AS654,0)=AX$6),$AV654,dNULL)</f>
        <v>-99</v>
      </c>
      <c r="AY654">
        <f ca="1">IF(AND($AT654&lt;3,OFFSET(DATA!$C$14,$AS654,0)=AY$6),$AV654,dNULL)</f>
        <v>-99</v>
      </c>
      <c r="AZ654">
        <f ca="1">IF(AND($AT654&lt;3,OFFSET(DATA!$C$14,$AS654,0)=AZ$6),$AV654,dNULL)</f>
        <v>-99</v>
      </c>
      <c r="BA654">
        <f ca="1">IF(AND($AT654&lt;3,OFFSET(DATA!$C$14,$AS654,0)=BA$6),$AV654,dNULL)</f>
        <v>-99</v>
      </c>
      <c r="BB654">
        <f ca="1">IF(AND($AT654&lt;3,OFFSET(DATA!$C$14,$AS654,0)=BB$6),$AV654,dNULL)</f>
        <v>-99</v>
      </c>
      <c r="BC654">
        <f ca="1">IF(AND($AT654&lt;3,OFFSET(DATA!$C$14,$AS654,0)=BC$6),$AV654,dNULL)</f>
        <v>-99</v>
      </c>
      <c r="BD654">
        <f ca="1">IF(AND($AT654&lt;3,OFFSET(DATA!$C$14,$AS654,0)=BD$6),$AV654,dNULL)</f>
        <v>-99</v>
      </c>
      <c r="BE654">
        <f ca="1">IF(AND($AT654&lt;3,OFFSET(DATA!$C$14,$AS654,0)=BE$6),$AV654,dNULL)</f>
        <v>-99</v>
      </c>
      <c r="BF654">
        <f ca="1">IF(AND($AT654&lt;3,OFFSET(DATA!$C$14,$AS654,0)=BF$6),$AV654,dNULL)</f>
        <v>-99</v>
      </c>
      <c r="BG654">
        <f ca="1">IF(AND($AT654&lt;3,OFFSET(DATA!$C$14,$AS654,0)=BG$6),$AV654,dNULL)</f>
        <v>-99</v>
      </c>
      <c r="BH654">
        <f ca="1">IF(AND($AT654&lt;3,OFFSET(DATA!$C$14,$AS654,0)=BH$6),$AV654,dNULL)</f>
        <v>-99</v>
      </c>
    </row>
    <row r="655" spans="45:60" x14ac:dyDescent="0.25">
      <c r="AS655">
        <f t="shared" si="128"/>
        <v>19</v>
      </c>
      <c r="AT655">
        <f t="shared" si="129"/>
        <v>7</v>
      </c>
      <c r="AU655">
        <f t="shared" ca="1" si="130"/>
        <v>-99</v>
      </c>
      <c r="AV655">
        <f t="shared" ca="1" si="131"/>
        <v>-99</v>
      </c>
      <c r="AW655">
        <f ca="1">IF(AND($AT655&lt;3,OFFSET(DATA!$C$14,$AS655,0)=AW$6),$AV655,dNULL)</f>
        <v>-99</v>
      </c>
      <c r="AX655">
        <f ca="1">IF(AND($AT655&lt;3,OFFSET(DATA!$C$14,$AS655,0)=AX$6),$AV655,dNULL)</f>
        <v>-99</v>
      </c>
      <c r="AY655">
        <f ca="1">IF(AND($AT655&lt;3,OFFSET(DATA!$C$14,$AS655,0)=AY$6),$AV655,dNULL)</f>
        <v>-99</v>
      </c>
      <c r="AZ655">
        <f ca="1">IF(AND($AT655&lt;3,OFFSET(DATA!$C$14,$AS655,0)=AZ$6),$AV655,dNULL)</f>
        <v>-99</v>
      </c>
      <c r="BA655">
        <f ca="1">IF(AND($AT655&lt;3,OFFSET(DATA!$C$14,$AS655,0)=BA$6),$AV655,dNULL)</f>
        <v>-99</v>
      </c>
      <c r="BB655">
        <f ca="1">IF(AND($AT655&lt;3,OFFSET(DATA!$C$14,$AS655,0)=BB$6),$AV655,dNULL)</f>
        <v>-99</v>
      </c>
      <c r="BC655">
        <f ca="1">IF(AND($AT655&lt;3,OFFSET(DATA!$C$14,$AS655,0)=BC$6),$AV655,dNULL)</f>
        <v>-99</v>
      </c>
      <c r="BD655">
        <f ca="1">IF(AND($AT655&lt;3,OFFSET(DATA!$C$14,$AS655,0)=BD$6),$AV655,dNULL)</f>
        <v>-99</v>
      </c>
      <c r="BE655">
        <f ca="1">IF(AND($AT655&lt;3,OFFSET(DATA!$C$14,$AS655,0)=BE$6),$AV655,dNULL)</f>
        <v>-99</v>
      </c>
      <c r="BF655">
        <f ca="1">IF(AND($AT655&lt;3,OFFSET(DATA!$C$14,$AS655,0)=BF$6),$AV655,dNULL)</f>
        <v>-99</v>
      </c>
      <c r="BG655">
        <f ca="1">IF(AND($AT655&lt;3,OFFSET(DATA!$C$14,$AS655,0)=BG$6),$AV655,dNULL)</f>
        <v>-99</v>
      </c>
      <c r="BH655">
        <f ca="1">IF(AND($AT655&lt;3,OFFSET(DATA!$C$14,$AS655,0)=BH$6),$AV655,dNULL)</f>
        <v>-99</v>
      </c>
    </row>
    <row r="656" spans="45:60" x14ac:dyDescent="0.25">
      <c r="AS656">
        <f t="shared" si="128"/>
        <v>20</v>
      </c>
      <c r="AT656">
        <f t="shared" si="129"/>
        <v>7</v>
      </c>
      <c r="AU656">
        <f t="shared" ca="1" si="130"/>
        <v>-99</v>
      </c>
      <c r="AV656">
        <f t="shared" ca="1" si="131"/>
        <v>-99</v>
      </c>
      <c r="AW656">
        <f ca="1">IF(AND($AT656&lt;3,OFFSET(DATA!$C$14,$AS656,0)=AW$6),$AV656,dNULL)</f>
        <v>-99</v>
      </c>
      <c r="AX656">
        <f ca="1">IF(AND($AT656&lt;3,OFFSET(DATA!$C$14,$AS656,0)=AX$6),$AV656,dNULL)</f>
        <v>-99</v>
      </c>
      <c r="AY656">
        <f ca="1">IF(AND($AT656&lt;3,OFFSET(DATA!$C$14,$AS656,0)=AY$6),$AV656,dNULL)</f>
        <v>-99</v>
      </c>
      <c r="AZ656">
        <f ca="1">IF(AND($AT656&lt;3,OFFSET(DATA!$C$14,$AS656,0)=AZ$6),$AV656,dNULL)</f>
        <v>-99</v>
      </c>
      <c r="BA656">
        <f ca="1">IF(AND($AT656&lt;3,OFFSET(DATA!$C$14,$AS656,0)=BA$6),$AV656,dNULL)</f>
        <v>-99</v>
      </c>
      <c r="BB656">
        <f ca="1">IF(AND($AT656&lt;3,OFFSET(DATA!$C$14,$AS656,0)=BB$6),$AV656,dNULL)</f>
        <v>-99</v>
      </c>
      <c r="BC656">
        <f ca="1">IF(AND($AT656&lt;3,OFFSET(DATA!$C$14,$AS656,0)=BC$6),$AV656,dNULL)</f>
        <v>-99</v>
      </c>
      <c r="BD656">
        <f ca="1">IF(AND($AT656&lt;3,OFFSET(DATA!$C$14,$AS656,0)=BD$6),$AV656,dNULL)</f>
        <v>-99</v>
      </c>
      <c r="BE656">
        <f ca="1">IF(AND($AT656&lt;3,OFFSET(DATA!$C$14,$AS656,0)=BE$6),$AV656,dNULL)</f>
        <v>-99</v>
      </c>
      <c r="BF656">
        <f ca="1">IF(AND($AT656&lt;3,OFFSET(DATA!$C$14,$AS656,0)=BF$6),$AV656,dNULL)</f>
        <v>-99</v>
      </c>
      <c r="BG656">
        <f ca="1">IF(AND($AT656&lt;3,OFFSET(DATA!$C$14,$AS656,0)=BG$6),$AV656,dNULL)</f>
        <v>-99</v>
      </c>
      <c r="BH656">
        <f ca="1">IF(AND($AT656&lt;3,OFFSET(DATA!$C$14,$AS656,0)=BH$6),$AV656,dNULL)</f>
        <v>-99</v>
      </c>
    </row>
    <row r="657" spans="45:60" x14ac:dyDescent="0.25">
      <c r="AS657">
        <f t="shared" si="128"/>
        <v>21</v>
      </c>
      <c r="AT657">
        <f t="shared" si="129"/>
        <v>7</v>
      </c>
      <c r="AU657">
        <f t="shared" ca="1" si="130"/>
        <v>-99</v>
      </c>
      <c r="AV657">
        <f t="shared" ca="1" si="131"/>
        <v>-99</v>
      </c>
      <c r="AW657">
        <f ca="1">IF(AND($AT657&lt;3,OFFSET(DATA!$C$14,$AS657,0)=AW$6),$AV657,dNULL)</f>
        <v>-99</v>
      </c>
      <c r="AX657">
        <f ca="1">IF(AND($AT657&lt;3,OFFSET(DATA!$C$14,$AS657,0)=AX$6),$AV657,dNULL)</f>
        <v>-99</v>
      </c>
      <c r="AY657">
        <f ca="1">IF(AND($AT657&lt;3,OFFSET(DATA!$C$14,$AS657,0)=AY$6),$AV657,dNULL)</f>
        <v>-99</v>
      </c>
      <c r="AZ657">
        <f ca="1">IF(AND($AT657&lt;3,OFFSET(DATA!$C$14,$AS657,0)=AZ$6),$AV657,dNULL)</f>
        <v>-99</v>
      </c>
      <c r="BA657">
        <f ca="1">IF(AND($AT657&lt;3,OFFSET(DATA!$C$14,$AS657,0)=BA$6),$AV657,dNULL)</f>
        <v>-99</v>
      </c>
      <c r="BB657">
        <f ca="1">IF(AND($AT657&lt;3,OFFSET(DATA!$C$14,$AS657,0)=BB$6),$AV657,dNULL)</f>
        <v>-99</v>
      </c>
      <c r="BC657">
        <f ca="1">IF(AND($AT657&lt;3,OFFSET(DATA!$C$14,$AS657,0)=BC$6),$AV657,dNULL)</f>
        <v>-99</v>
      </c>
      <c r="BD657">
        <f ca="1">IF(AND($AT657&lt;3,OFFSET(DATA!$C$14,$AS657,0)=BD$6),$AV657,dNULL)</f>
        <v>-99</v>
      </c>
      <c r="BE657">
        <f ca="1">IF(AND($AT657&lt;3,OFFSET(DATA!$C$14,$AS657,0)=BE$6),$AV657,dNULL)</f>
        <v>-99</v>
      </c>
      <c r="BF657">
        <f ca="1">IF(AND($AT657&lt;3,OFFSET(DATA!$C$14,$AS657,0)=BF$6),$AV657,dNULL)</f>
        <v>-99</v>
      </c>
      <c r="BG657">
        <f ca="1">IF(AND($AT657&lt;3,OFFSET(DATA!$C$14,$AS657,0)=BG$6),$AV657,dNULL)</f>
        <v>-99</v>
      </c>
      <c r="BH657">
        <f ca="1">IF(AND($AT657&lt;3,OFFSET(DATA!$C$14,$AS657,0)=BH$6),$AV657,dNULL)</f>
        <v>-99</v>
      </c>
    </row>
    <row r="658" spans="45:60" x14ac:dyDescent="0.25">
      <c r="AS658">
        <f t="shared" si="128"/>
        <v>22</v>
      </c>
      <c r="AT658">
        <f t="shared" si="129"/>
        <v>7</v>
      </c>
      <c r="AU658">
        <f t="shared" ca="1" si="130"/>
        <v>-99</v>
      </c>
      <c r="AV658">
        <f t="shared" ca="1" si="131"/>
        <v>-99</v>
      </c>
      <c r="AW658">
        <f ca="1">IF(AND($AT658&lt;3,OFFSET(DATA!$C$14,$AS658,0)=AW$6),$AV658,dNULL)</f>
        <v>-99</v>
      </c>
      <c r="AX658">
        <f ca="1">IF(AND($AT658&lt;3,OFFSET(DATA!$C$14,$AS658,0)=AX$6),$AV658,dNULL)</f>
        <v>-99</v>
      </c>
      <c r="AY658">
        <f ca="1">IF(AND($AT658&lt;3,OFFSET(DATA!$C$14,$AS658,0)=AY$6),$AV658,dNULL)</f>
        <v>-99</v>
      </c>
      <c r="AZ658">
        <f ca="1">IF(AND($AT658&lt;3,OFFSET(DATA!$C$14,$AS658,0)=AZ$6),$AV658,dNULL)</f>
        <v>-99</v>
      </c>
      <c r="BA658">
        <f ca="1">IF(AND($AT658&lt;3,OFFSET(DATA!$C$14,$AS658,0)=BA$6),$AV658,dNULL)</f>
        <v>-99</v>
      </c>
      <c r="BB658">
        <f ca="1">IF(AND($AT658&lt;3,OFFSET(DATA!$C$14,$AS658,0)=BB$6),$AV658,dNULL)</f>
        <v>-99</v>
      </c>
      <c r="BC658">
        <f ca="1">IF(AND($AT658&lt;3,OFFSET(DATA!$C$14,$AS658,0)=BC$6),$AV658,dNULL)</f>
        <v>-99</v>
      </c>
      <c r="BD658">
        <f ca="1">IF(AND($AT658&lt;3,OFFSET(DATA!$C$14,$AS658,0)=BD$6),$AV658,dNULL)</f>
        <v>-99</v>
      </c>
      <c r="BE658">
        <f ca="1">IF(AND($AT658&lt;3,OFFSET(DATA!$C$14,$AS658,0)=BE$6),$AV658,dNULL)</f>
        <v>-99</v>
      </c>
      <c r="BF658">
        <f ca="1">IF(AND($AT658&lt;3,OFFSET(DATA!$C$14,$AS658,0)=BF$6),$AV658,dNULL)</f>
        <v>-99</v>
      </c>
      <c r="BG658">
        <f ca="1">IF(AND($AT658&lt;3,OFFSET(DATA!$C$14,$AS658,0)=BG$6),$AV658,dNULL)</f>
        <v>-99</v>
      </c>
      <c r="BH658">
        <f ca="1">IF(AND($AT658&lt;3,OFFSET(DATA!$C$14,$AS658,0)=BH$6),$AV658,dNULL)</f>
        <v>-99</v>
      </c>
    </row>
    <row r="659" spans="45:60" x14ac:dyDescent="0.25">
      <c r="AS659">
        <f t="shared" si="128"/>
        <v>23</v>
      </c>
      <c r="AT659">
        <f t="shared" si="129"/>
        <v>7</v>
      </c>
      <c r="AU659">
        <f t="shared" ca="1" si="130"/>
        <v>-99</v>
      </c>
      <c r="AV659">
        <f t="shared" ca="1" si="131"/>
        <v>-99</v>
      </c>
      <c r="AW659">
        <f ca="1">IF(AND($AT659&lt;3,OFFSET(DATA!$C$14,$AS659,0)=AW$6),$AV659,dNULL)</f>
        <v>-99</v>
      </c>
      <c r="AX659">
        <f ca="1">IF(AND($AT659&lt;3,OFFSET(DATA!$C$14,$AS659,0)=AX$6),$AV659,dNULL)</f>
        <v>-99</v>
      </c>
      <c r="AY659">
        <f ca="1">IF(AND($AT659&lt;3,OFFSET(DATA!$C$14,$AS659,0)=AY$6),$AV659,dNULL)</f>
        <v>-99</v>
      </c>
      <c r="AZ659">
        <f ca="1">IF(AND($AT659&lt;3,OFFSET(DATA!$C$14,$AS659,0)=AZ$6),$AV659,dNULL)</f>
        <v>-99</v>
      </c>
      <c r="BA659">
        <f ca="1">IF(AND($AT659&lt;3,OFFSET(DATA!$C$14,$AS659,0)=BA$6),$AV659,dNULL)</f>
        <v>-99</v>
      </c>
      <c r="BB659">
        <f ca="1">IF(AND($AT659&lt;3,OFFSET(DATA!$C$14,$AS659,0)=BB$6),$AV659,dNULL)</f>
        <v>-99</v>
      </c>
      <c r="BC659">
        <f ca="1">IF(AND($AT659&lt;3,OFFSET(DATA!$C$14,$AS659,0)=BC$6),$AV659,dNULL)</f>
        <v>-99</v>
      </c>
      <c r="BD659">
        <f ca="1">IF(AND($AT659&lt;3,OFFSET(DATA!$C$14,$AS659,0)=BD$6),$AV659,dNULL)</f>
        <v>-99</v>
      </c>
      <c r="BE659">
        <f ca="1">IF(AND($AT659&lt;3,OFFSET(DATA!$C$14,$AS659,0)=BE$6),$AV659,dNULL)</f>
        <v>-99</v>
      </c>
      <c r="BF659">
        <f ca="1">IF(AND($AT659&lt;3,OFFSET(DATA!$C$14,$AS659,0)=BF$6),$AV659,dNULL)</f>
        <v>-99</v>
      </c>
      <c r="BG659">
        <f ca="1">IF(AND($AT659&lt;3,OFFSET(DATA!$C$14,$AS659,0)=BG$6),$AV659,dNULL)</f>
        <v>-99</v>
      </c>
      <c r="BH659">
        <f ca="1">IF(AND($AT659&lt;3,OFFSET(DATA!$C$14,$AS659,0)=BH$6),$AV659,dNULL)</f>
        <v>-99</v>
      </c>
    </row>
    <row r="660" spans="45:60" x14ac:dyDescent="0.25">
      <c r="AS660">
        <f t="shared" si="128"/>
        <v>24</v>
      </c>
      <c r="AT660">
        <f t="shared" si="129"/>
        <v>7</v>
      </c>
      <c r="AU660">
        <f t="shared" ca="1" si="130"/>
        <v>-99</v>
      </c>
      <c r="AV660">
        <f t="shared" ca="1" si="131"/>
        <v>-99</v>
      </c>
      <c r="AW660">
        <f ca="1">IF(AND($AT660&lt;3,OFFSET(DATA!$C$14,$AS660,0)=AW$6),$AV660,dNULL)</f>
        <v>-99</v>
      </c>
      <c r="AX660">
        <f ca="1">IF(AND($AT660&lt;3,OFFSET(DATA!$C$14,$AS660,0)=AX$6),$AV660,dNULL)</f>
        <v>-99</v>
      </c>
      <c r="AY660">
        <f ca="1">IF(AND($AT660&lt;3,OFFSET(DATA!$C$14,$AS660,0)=AY$6),$AV660,dNULL)</f>
        <v>-99</v>
      </c>
      <c r="AZ660">
        <f ca="1">IF(AND($AT660&lt;3,OFFSET(DATA!$C$14,$AS660,0)=AZ$6),$AV660,dNULL)</f>
        <v>-99</v>
      </c>
      <c r="BA660">
        <f ca="1">IF(AND($AT660&lt;3,OFFSET(DATA!$C$14,$AS660,0)=BA$6),$AV660,dNULL)</f>
        <v>-99</v>
      </c>
      <c r="BB660">
        <f ca="1">IF(AND($AT660&lt;3,OFFSET(DATA!$C$14,$AS660,0)=BB$6),$AV660,dNULL)</f>
        <v>-99</v>
      </c>
      <c r="BC660">
        <f ca="1">IF(AND($AT660&lt;3,OFFSET(DATA!$C$14,$AS660,0)=BC$6),$AV660,dNULL)</f>
        <v>-99</v>
      </c>
      <c r="BD660">
        <f ca="1">IF(AND($AT660&lt;3,OFFSET(DATA!$C$14,$AS660,0)=BD$6),$AV660,dNULL)</f>
        <v>-99</v>
      </c>
      <c r="BE660">
        <f ca="1">IF(AND($AT660&lt;3,OFFSET(DATA!$C$14,$AS660,0)=BE$6),$AV660,dNULL)</f>
        <v>-99</v>
      </c>
      <c r="BF660">
        <f ca="1">IF(AND($AT660&lt;3,OFFSET(DATA!$C$14,$AS660,0)=BF$6),$AV660,dNULL)</f>
        <v>-99</v>
      </c>
      <c r="BG660">
        <f ca="1">IF(AND($AT660&lt;3,OFFSET(DATA!$C$14,$AS660,0)=BG$6),$AV660,dNULL)</f>
        <v>-99</v>
      </c>
      <c r="BH660">
        <f ca="1">IF(AND($AT660&lt;3,OFFSET(DATA!$C$14,$AS660,0)=BH$6),$AV660,dNULL)</f>
        <v>-99</v>
      </c>
    </row>
    <row r="661" spans="45:60" x14ac:dyDescent="0.25">
      <c r="AS661">
        <f t="shared" si="128"/>
        <v>25</v>
      </c>
      <c r="AT661">
        <f t="shared" si="129"/>
        <v>7</v>
      </c>
      <c r="AU661">
        <f t="shared" ca="1" si="130"/>
        <v>-99</v>
      </c>
      <c r="AV661">
        <f t="shared" ca="1" si="131"/>
        <v>-99</v>
      </c>
      <c r="AW661">
        <f ca="1">IF(AND($AT661&lt;3,OFFSET(DATA!$C$14,$AS661,0)=AW$6),$AV661,dNULL)</f>
        <v>-99</v>
      </c>
      <c r="AX661">
        <f ca="1">IF(AND($AT661&lt;3,OFFSET(DATA!$C$14,$AS661,0)=AX$6),$AV661,dNULL)</f>
        <v>-99</v>
      </c>
      <c r="AY661">
        <f ca="1">IF(AND($AT661&lt;3,OFFSET(DATA!$C$14,$AS661,0)=AY$6),$AV661,dNULL)</f>
        <v>-99</v>
      </c>
      <c r="AZ661">
        <f ca="1">IF(AND($AT661&lt;3,OFFSET(DATA!$C$14,$AS661,0)=AZ$6),$AV661,dNULL)</f>
        <v>-99</v>
      </c>
      <c r="BA661">
        <f ca="1">IF(AND($AT661&lt;3,OFFSET(DATA!$C$14,$AS661,0)=BA$6),$AV661,dNULL)</f>
        <v>-99</v>
      </c>
      <c r="BB661">
        <f ca="1">IF(AND($AT661&lt;3,OFFSET(DATA!$C$14,$AS661,0)=BB$6),$AV661,dNULL)</f>
        <v>-99</v>
      </c>
      <c r="BC661">
        <f ca="1">IF(AND($AT661&lt;3,OFFSET(DATA!$C$14,$AS661,0)=BC$6),$AV661,dNULL)</f>
        <v>-99</v>
      </c>
      <c r="BD661">
        <f ca="1">IF(AND($AT661&lt;3,OFFSET(DATA!$C$14,$AS661,0)=BD$6),$AV661,dNULL)</f>
        <v>-99</v>
      </c>
      <c r="BE661">
        <f ca="1">IF(AND($AT661&lt;3,OFFSET(DATA!$C$14,$AS661,0)=BE$6),$AV661,dNULL)</f>
        <v>-99</v>
      </c>
      <c r="BF661">
        <f ca="1">IF(AND($AT661&lt;3,OFFSET(DATA!$C$14,$AS661,0)=BF$6),$AV661,dNULL)</f>
        <v>-99</v>
      </c>
      <c r="BG661">
        <f ca="1">IF(AND($AT661&lt;3,OFFSET(DATA!$C$14,$AS661,0)=BG$6),$AV661,dNULL)</f>
        <v>-99</v>
      </c>
      <c r="BH661">
        <f ca="1">IF(AND($AT661&lt;3,OFFSET(DATA!$C$14,$AS661,0)=BH$6),$AV661,dNULL)</f>
        <v>-99</v>
      </c>
    </row>
    <row r="662" spans="45:60" x14ac:dyDescent="0.25">
      <c r="AS662">
        <f t="shared" si="128"/>
        <v>26</v>
      </c>
      <c r="AT662">
        <f t="shared" si="129"/>
        <v>7</v>
      </c>
      <c r="AU662">
        <f t="shared" ca="1" si="130"/>
        <v>-99</v>
      </c>
      <c r="AV662">
        <f t="shared" ca="1" si="131"/>
        <v>-99</v>
      </c>
      <c r="AW662">
        <f ca="1">IF(AND($AT662&lt;3,OFFSET(DATA!$C$14,$AS662,0)=AW$6),$AV662,dNULL)</f>
        <v>-99</v>
      </c>
      <c r="AX662">
        <f ca="1">IF(AND($AT662&lt;3,OFFSET(DATA!$C$14,$AS662,0)=AX$6),$AV662,dNULL)</f>
        <v>-99</v>
      </c>
      <c r="AY662">
        <f ca="1">IF(AND($AT662&lt;3,OFFSET(DATA!$C$14,$AS662,0)=AY$6),$AV662,dNULL)</f>
        <v>-99</v>
      </c>
      <c r="AZ662">
        <f ca="1">IF(AND($AT662&lt;3,OFFSET(DATA!$C$14,$AS662,0)=AZ$6),$AV662,dNULL)</f>
        <v>-99</v>
      </c>
      <c r="BA662">
        <f ca="1">IF(AND($AT662&lt;3,OFFSET(DATA!$C$14,$AS662,0)=BA$6),$AV662,dNULL)</f>
        <v>-99</v>
      </c>
      <c r="BB662">
        <f ca="1">IF(AND($AT662&lt;3,OFFSET(DATA!$C$14,$AS662,0)=BB$6),$AV662,dNULL)</f>
        <v>-99</v>
      </c>
      <c r="BC662">
        <f ca="1">IF(AND($AT662&lt;3,OFFSET(DATA!$C$14,$AS662,0)=BC$6),$AV662,dNULL)</f>
        <v>-99</v>
      </c>
      <c r="BD662">
        <f ca="1">IF(AND($AT662&lt;3,OFFSET(DATA!$C$14,$AS662,0)=BD$6),$AV662,dNULL)</f>
        <v>-99</v>
      </c>
      <c r="BE662">
        <f ca="1">IF(AND($AT662&lt;3,OFFSET(DATA!$C$14,$AS662,0)=BE$6),$AV662,dNULL)</f>
        <v>-99</v>
      </c>
      <c r="BF662">
        <f ca="1">IF(AND($AT662&lt;3,OFFSET(DATA!$C$14,$AS662,0)=BF$6),$AV662,dNULL)</f>
        <v>-99</v>
      </c>
      <c r="BG662">
        <f ca="1">IF(AND($AT662&lt;3,OFFSET(DATA!$C$14,$AS662,0)=BG$6),$AV662,dNULL)</f>
        <v>-99</v>
      </c>
      <c r="BH662">
        <f ca="1">IF(AND($AT662&lt;3,OFFSET(DATA!$C$14,$AS662,0)=BH$6),$AV662,dNULL)</f>
        <v>-99</v>
      </c>
    </row>
    <row r="663" spans="45:60" x14ac:dyDescent="0.25">
      <c r="AS663">
        <f t="shared" si="128"/>
        <v>27</v>
      </c>
      <c r="AT663">
        <f t="shared" si="129"/>
        <v>7</v>
      </c>
      <c r="AU663">
        <f t="shared" ca="1" si="130"/>
        <v>-99</v>
      </c>
      <c r="AV663">
        <f t="shared" ca="1" si="131"/>
        <v>-99</v>
      </c>
      <c r="AW663">
        <f ca="1">IF(AND($AT663&lt;3,OFFSET(DATA!$C$14,$AS663,0)=AW$6),$AV663,dNULL)</f>
        <v>-99</v>
      </c>
      <c r="AX663">
        <f ca="1">IF(AND($AT663&lt;3,OFFSET(DATA!$C$14,$AS663,0)=AX$6),$AV663,dNULL)</f>
        <v>-99</v>
      </c>
      <c r="AY663">
        <f ca="1">IF(AND($AT663&lt;3,OFFSET(DATA!$C$14,$AS663,0)=AY$6),$AV663,dNULL)</f>
        <v>-99</v>
      </c>
      <c r="AZ663">
        <f ca="1">IF(AND($AT663&lt;3,OFFSET(DATA!$C$14,$AS663,0)=AZ$6),$AV663,dNULL)</f>
        <v>-99</v>
      </c>
      <c r="BA663">
        <f ca="1">IF(AND($AT663&lt;3,OFFSET(DATA!$C$14,$AS663,0)=BA$6),$AV663,dNULL)</f>
        <v>-99</v>
      </c>
      <c r="BB663">
        <f ca="1">IF(AND($AT663&lt;3,OFFSET(DATA!$C$14,$AS663,0)=BB$6),$AV663,dNULL)</f>
        <v>-99</v>
      </c>
      <c r="BC663">
        <f ca="1">IF(AND($AT663&lt;3,OFFSET(DATA!$C$14,$AS663,0)=BC$6),$AV663,dNULL)</f>
        <v>-99</v>
      </c>
      <c r="BD663">
        <f ca="1">IF(AND($AT663&lt;3,OFFSET(DATA!$C$14,$AS663,0)=BD$6),$AV663,dNULL)</f>
        <v>-99</v>
      </c>
      <c r="BE663">
        <f ca="1">IF(AND($AT663&lt;3,OFFSET(DATA!$C$14,$AS663,0)=BE$6),$AV663,dNULL)</f>
        <v>-99</v>
      </c>
      <c r="BF663">
        <f ca="1">IF(AND($AT663&lt;3,OFFSET(DATA!$C$14,$AS663,0)=BF$6),$AV663,dNULL)</f>
        <v>-99</v>
      </c>
      <c r="BG663">
        <f ca="1">IF(AND($AT663&lt;3,OFFSET(DATA!$C$14,$AS663,0)=BG$6),$AV663,dNULL)</f>
        <v>-99</v>
      </c>
      <c r="BH663">
        <f ca="1">IF(AND($AT663&lt;3,OFFSET(DATA!$C$14,$AS663,0)=BH$6),$AV663,dNULL)</f>
        <v>-99</v>
      </c>
    </row>
    <row r="664" spans="45:60" x14ac:dyDescent="0.25">
      <c r="AS664">
        <f t="shared" si="128"/>
        <v>28</v>
      </c>
      <c r="AT664">
        <f t="shared" si="129"/>
        <v>7</v>
      </c>
      <c r="AU664">
        <f t="shared" ca="1" si="130"/>
        <v>-99</v>
      </c>
      <c r="AV664">
        <f t="shared" ca="1" si="131"/>
        <v>-99</v>
      </c>
      <c r="AW664">
        <f ca="1">IF(AND($AT664&lt;3,OFFSET(DATA!$C$14,$AS664,0)=AW$6),$AV664,dNULL)</f>
        <v>-99</v>
      </c>
      <c r="AX664">
        <f ca="1">IF(AND($AT664&lt;3,OFFSET(DATA!$C$14,$AS664,0)=AX$6),$AV664,dNULL)</f>
        <v>-99</v>
      </c>
      <c r="AY664">
        <f ca="1">IF(AND($AT664&lt;3,OFFSET(DATA!$C$14,$AS664,0)=AY$6),$AV664,dNULL)</f>
        <v>-99</v>
      </c>
      <c r="AZ664">
        <f ca="1">IF(AND($AT664&lt;3,OFFSET(DATA!$C$14,$AS664,0)=AZ$6),$AV664,dNULL)</f>
        <v>-99</v>
      </c>
      <c r="BA664">
        <f ca="1">IF(AND($AT664&lt;3,OFFSET(DATA!$C$14,$AS664,0)=BA$6),$AV664,dNULL)</f>
        <v>-99</v>
      </c>
      <c r="BB664">
        <f ca="1">IF(AND($AT664&lt;3,OFFSET(DATA!$C$14,$AS664,0)=BB$6),$AV664,dNULL)</f>
        <v>-99</v>
      </c>
      <c r="BC664">
        <f ca="1">IF(AND($AT664&lt;3,OFFSET(DATA!$C$14,$AS664,0)=BC$6),$AV664,dNULL)</f>
        <v>-99</v>
      </c>
      <c r="BD664">
        <f ca="1">IF(AND($AT664&lt;3,OFFSET(DATA!$C$14,$AS664,0)=BD$6),$AV664,dNULL)</f>
        <v>-99</v>
      </c>
      <c r="BE664">
        <f ca="1">IF(AND($AT664&lt;3,OFFSET(DATA!$C$14,$AS664,0)=BE$6),$AV664,dNULL)</f>
        <v>-99</v>
      </c>
      <c r="BF664">
        <f ca="1">IF(AND($AT664&lt;3,OFFSET(DATA!$C$14,$AS664,0)=BF$6),$AV664,dNULL)</f>
        <v>-99</v>
      </c>
      <c r="BG664">
        <f ca="1">IF(AND($AT664&lt;3,OFFSET(DATA!$C$14,$AS664,0)=BG$6),$AV664,dNULL)</f>
        <v>-99</v>
      </c>
      <c r="BH664">
        <f ca="1">IF(AND($AT664&lt;3,OFFSET(DATA!$C$14,$AS664,0)=BH$6),$AV664,dNULL)</f>
        <v>-99</v>
      </c>
    </row>
    <row r="665" spans="45:60" x14ac:dyDescent="0.25">
      <c r="AS665">
        <f t="shared" si="128"/>
        <v>29</v>
      </c>
      <c r="AT665">
        <f t="shared" si="129"/>
        <v>7</v>
      </c>
      <c r="AU665">
        <f t="shared" ca="1" si="130"/>
        <v>-99</v>
      </c>
      <c r="AV665">
        <f t="shared" ca="1" si="131"/>
        <v>-99</v>
      </c>
      <c r="AW665">
        <f ca="1">IF(AND($AT665&lt;3,OFFSET(DATA!$C$14,$AS665,0)=AW$6),$AV665,dNULL)</f>
        <v>-99</v>
      </c>
      <c r="AX665">
        <f ca="1">IF(AND($AT665&lt;3,OFFSET(DATA!$C$14,$AS665,0)=AX$6),$AV665,dNULL)</f>
        <v>-99</v>
      </c>
      <c r="AY665">
        <f ca="1">IF(AND($AT665&lt;3,OFFSET(DATA!$C$14,$AS665,0)=AY$6),$AV665,dNULL)</f>
        <v>-99</v>
      </c>
      <c r="AZ665">
        <f ca="1">IF(AND($AT665&lt;3,OFFSET(DATA!$C$14,$AS665,0)=AZ$6),$AV665,dNULL)</f>
        <v>-99</v>
      </c>
      <c r="BA665">
        <f ca="1">IF(AND($AT665&lt;3,OFFSET(DATA!$C$14,$AS665,0)=BA$6),$AV665,dNULL)</f>
        <v>-99</v>
      </c>
      <c r="BB665">
        <f ca="1">IF(AND($AT665&lt;3,OFFSET(DATA!$C$14,$AS665,0)=BB$6),$AV665,dNULL)</f>
        <v>-99</v>
      </c>
      <c r="BC665">
        <f ca="1">IF(AND($AT665&lt;3,OFFSET(DATA!$C$14,$AS665,0)=BC$6),$AV665,dNULL)</f>
        <v>-99</v>
      </c>
      <c r="BD665">
        <f ca="1">IF(AND($AT665&lt;3,OFFSET(DATA!$C$14,$AS665,0)=BD$6),$AV665,dNULL)</f>
        <v>-99</v>
      </c>
      <c r="BE665">
        <f ca="1">IF(AND($AT665&lt;3,OFFSET(DATA!$C$14,$AS665,0)=BE$6),$AV665,dNULL)</f>
        <v>-99</v>
      </c>
      <c r="BF665">
        <f ca="1">IF(AND($AT665&lt;3,OFFSET(DATA!$C$14,$AS665,0)=BF$6),$AV665,dNULL)</f>
        <v>-99</v>
      </c>
      <c r="BG665">
        <f ca="1">IF(AND($AT665&lt;3,OFFSET(DATA!$C$14,$AS665,0)=BG$6),$AV665,dNULL)</f>
        <v>-99</v>
      </c>
      <c r="BH665">
        <f ca="1">IF(AND($AT665&lt;3,OFFSET(DATA!$C$14,$AS665,0)=BH$6),$AV665,dNULL)</f>
        <v>-99</v>
      </c>
    </row>
    <row r="666" spans="45:60" x14ac:dyDescent="0.25">
      <c r="AS666">
        <f t="shared" si="128"/>
        <v>30</v>
      </c>
      <c r="AT666">
        <f t="shared" si="129"/>
        <v>7</v>
      </c>
      <c r="AU666">
        <f t="shared" ca="1" si="130"/>
        <v>-99</v>
      </c>
      <c r="AV666">
        <f t="shared" ca="1" si="131"/>
        <v>-99</v>
      </c>
      <c r="AW666">
        <f ca="1">IF(AND($AT666&lt;3,OFFSET(DATA!$C$14,$AS666,0)=AW$6),$AV666,dNULL)</f>
        <v>-99</v>
      </c>
      <c r="AX666">
        <f ca="1">IF(AND($AT666&lt;3,OFFSET(DATA!$C$14,$AS666,0)=AX$6),$AV666,dNULL)</f>
        <v>-99</v>
      </c>
      <c r="AY666">
        <f ca="1">IF(AND($AT666&lt;3,OFFSET(DATA!$C$14,$AS666,0)=AY$6),$AV666,dNULL)</f>
        <v>-99</v>
      </c>
      <c r="AZ666">
        <f ca="1">IF(AND($AT666&lt;3,OFFSET(DATA!$C$14,$AS666,0)=AZ$6),$AV666,dNULL)</f>
        <v>-99</v>
      </c>
      <c r="BA666">
        <f ca="1">IF(AND($AT666&lt;3,OFFSET(DATA!$C$14,$AS666,0)=BA$6),$AV666,dNULL)</f>
        <v>-99</v>
      </c>
      <c r="BB666">
        <f ca="1">IF(AND($AT666&lt;3,OFFSET(DATA!$C$14,$AS666,0)=BB$6),$AV666,dNULL)</f>
        <v>-99</v>
      </c>
      <c r="BC666">
        <f ca="1">IF(AND($AT666&lt;3,OFFSET(DATA!$C$14,$AS666,0)=BC$6),$AV666,dNULL)</f>
        <v>-99</v>
      </c>
      <c r="BD666">
        <f ca="1">IF(AND($AT666&lt;3,OFFSET(DATA!$C$14,$AS666,0)=BD$6),$AV666,dNULL)</f>
        <v>-99</v>
      </c>
      <c r="BE666">
        <f ca="1">IF(AND($AT666&lt;3,OFFSET(DATA!$C$14,$AS666,0)=BE$6),$AV666,dNULL)</f>
        <v>-99</v>
      </c>
      <c r="BF666">
        <f ca="1">IF(AND($AT666&lt;3,OFFSET(DATA!$C$14,$AS666,0)=BF$6),$AV666,dNULL)</f>
        <v>-99</v>
      </c>
      <c r="BG666">
        <f ca="1">IF(AND($AT666&lt;3,OFFSET(DATA!$C$14,$AS666,0)=BG$6),$AV666,dNULL)</f>
        <v>-99</v>
      </c>
      <c r="BH666">
        <f ca="1">IF(AND($AT666&lt;3,OFFSET(DATA!$C$14,$AS666,0)=BH$6),$AV666,dNULL)</f>
        <v>-99</v>
      </c>
    </row>
    <row r="667" spans="45:60" x14ac:dyDescent="0.25">
      <c r="AS667">
        <f t="shared" si="128"/>
        <v>31</v>
      </c>
      <c r="AT667">
        <f t="shared" si="129"/>
        <v>7</v>
      </c>
      <c r="AU667">
        <f t="shared" ca="1" si="130"/>
        <v>-99</v>
      </c>
      <c r="AV667">
        <f t="shared" ca="1" si="131"/>
        <v>-99</v>
      </c>
      <c r="AW667">
        <f ca="1">IF(AND($AT667&lt;3,OFFSET(DATA!$C$14,$AS667,0)=AW$6),$AV667,dNULL)</f>
        <v>-99</v>
      </c>
      <c r="AX667">
        <f ca="1">IF(AND($AT667&lt;3,OFFSET(DATA!$C$14,$AS667,0)=AX$6),$AV667,dNULL)</f>
        <v>-99</v>
      </c>
      <c r="AY667">
        <f ca="1">IF(AND($AT667&lt;3,OFFSET(DATA!$C$14,$AS667,0)=AY$6),$AV667,dNULL)</f>
        <v>-99</v>
      </c>
      <c r="AZ667">
        <f ca="1">IF(AND($AT667&lt;3,OFFSET(DATA!$C$14,$AS667,0)=AZ$6),$AV667,dNULL)</f>
        <v>-99</v>
      </c>
      <c r="BA667">
        <f ca="1">IF(AND($AT667&lt;3,OFFSET(DATA!$C$14,$AS667,0)=BA$6),$AV667,dNULL)</f>
        <v>-99</v>
      </c>
      <c r="BB667">
        <f ca="1">IF(AND($AT667&lt;3,OFFSET(DATA!$C$14,$AS667,0)=BB$6),$AV667,dNULL)</f>
        <v>-99</v>
      </c>
      <c r="BC667">
        <f ca="1">IF(AND($AT667&lt;3,OFFSET(DATA!$C$14,$AS667,0)=BC$6),$AV667,dNULL)</f>
        <v>-99</v>
      </c>
      <c r="BD667">
        <f ca="1">IF(AND($AT667&lt;3,OFFSET(DATA!$C$14,$AS667,0)=BD$6),$AV667,dNULL)</f>
        <v>-99</v>
      </c>
      <c r="BE667">
        <f ca="1">IF(AND($AT667&lt;3,OFFSET(DATA!$C$14,$AS667,0)=BE$6),$AV667,dNULL)</f>
        <v>-99</v>
      </c>
      <c r="BF667">
        <f ca="1">IF(AND($AT667&lt;3,OFFSET(DATA!$C$14,$AS667,0)=BF$6),$AV667,dNULL)</f>
        <v>-99</v>
      </c>
      <c r="BG667">
        <f ca="1">IF(AND($AT667&lt;3,OFFSET(DATA!$C$14,$AS667,0)=BG$6),$AV667,dNULL)</f>
        <v>-99</v>
      </c>
      <c r="BH667">
        <f ca="1">IF(AND($AT667&lt;3,OFFSET(DATA!$C$14,$AS667,0)=BH$6),$AV667,dNULL)</f>
        <v>-99</v>
      </c>
    </row>
    <row r="668" spans="45:60" x14ac:dyDescent="0.25">
      <c r="AS668">
        <f t="shared" si="128"/>
        <v>32</v>
      </c>
      <c r="AT668">
        <f t="shared" si="129"/>
        <v>7</v>
      </c>
      <c r="AU668">
        <f t="shared" ca="1" si="130"/>
        <v>-99</v>
      </c>
      <c r="AV668">
        <f t="shared" ca="1" si="131"/>
        <v>-99</v>
      </c>
      <c r="AW668">
        <f ca="1">IF(AND($AT668&lt;3,OFFSET(DATA!$C$14,$AS668,0)=AW$6),$AV668,dNULL)</f>
        <v>-99</v>
      </c>
      <c r="AX668">
        <f ca="1">IF(AND($AT668&lt;3,OFFSET(DATA!$C$14,$AS668,0)=AX$6),$AV668,dNULL)</f>
        <v>-99</v>
      </c>
      <c r="AY668">
        <f ca="1">IF(AND($AT668&lt;3,OFFSET(DATA!$C$14,$AS668,0)=AY$6),$AV668,dNULL)</f>
        <v>-99</v>
      </c>
      <c r="AZ668">
        <f ca="1">IF(AND($AT668&lt;3,OFFSET(DATA!$C$14,$AS668,0)=AZ$6),$AV668,dNULL)</f>
        <v>-99</v>
      </c>
      <c r="BA668">
        <f ca="1">IF(AND($AT668&lt;3,OFFSET(DATA!$C$14,$AS668,0)=BA$6),$AV668,dNULL)</f>
        <v>-99</v>
      </c>
      <c r="BB668">
        <f ca="1">IF(AND($AT668&lt;3,OFFSET(DATA!$C$14,$AS668,0)=BB$6),$AV668,dNULL)</f>
        <v>-99</v>
      </c>
      <c r="BC668">
        <f ca="1">IF(AND($AT668&lt;3,OFFSET(DATA!$C$14,$AS668,0)=BC$6),$AV668,dNULL)</f>
        <v>-99</v>
      </c>
      <c r="BD668">
        <f ca="1">IF(AND($AT668&lt;3,OFFSET(DATA!$C$14,$AS668,0)=BD$6),$AV668,dNULL)</f>
        <v>-99</v>
      </c>
      <c r="BE668">
        <f ca="1">IF(AND($AT668&lt;3,OFFSET(DATA!$C$14,$AS668,0)=BE$6),$AV668,dNULL)</f>
        <v>-99</v>
      </c>
      <c r="BF668">
        <f ca="1">IF(AND($AT668&lt;3,OFFSET(DATA!$C$14,$AS668,0)=BF$6),$AV668,dNULL)</f>
        <v>-99</v>
      </c>
      <c r="BG668">
        <f ca="1">IF(AND($AT668&lt;3,OFFSET(DATA!$C$14,$AS668,0)=BG$6),$AV668,dNULL)</f>
        <v>-99</v>
      </c>
      <c r="BH668">
        <f ca="1">IF(AND($AT668&lt;3,OFFSET(DATA!$C$14,$AS668,0)=BH$6),$AV668,dNULL)</f>
        <v>-99</v>
      </c>
    </row>
    <row r="669" spans="45:60" x14ac:dyDescent="0.25">
      <c r="AS669">
        <f t="shared" si="128"/>
        <v>33</v>
      </c>
      <c r="AT669">
        <f t="shared" si="129"/>
        <v>7</v>
      </c>
      <c r="AU669">
        <f t="shared" ca="1" si="130"/>
        <v>-99</v>
      </c>
      <c r="AV669">
        <f t="shared" ca="1" si="131"/>
        <v>-99</v>
      </c>
      <c r="AW669">
        <f ca="1">IF(AND($AT669&lt;3,OFFSET(DATA!$C$14,$AS669,0)=AW$6),$AV669,dNULL)</f>
        <v>-99</v>
      </c>
      <c r="AX669">
        <f ca="1">IF(AND($AT669&lt;3,OFFSET(DATA!$C$14,$AS669,0)=AX$6),$AV669,dNULL)</f>
        <v>-99</v>
      </c>
      <c r="AY669">
        <f ca="1">IF(AND($AT669&lt;3,OFFSET(DATA!$C$14,$AS669,0)=AY$6),$AV669,dNULL)</f>
        <v>-99</v>
      </c>
      <c r="AZ669">
        <f ca="1">IF(AND($AT669&lt;3,OFFSET(DATA!$C$14,$AS669,0)=AZ$6),$AV669,dNULL)</f>
        <v>-99</v>
      </c>
      <c r="BA669">
        <f ca="1">IF(AND($AT669&lt;3,OFFSET(DATA!$C$14,$AS669,0)=BA$6),$AV669,dNULL)</f>
        <v>-99</v>
      </c>
      <c r="BB669">
        <f ca="1">IF(AND($AT669&lt;3,OFFSET(DATA!$C$14,$AS669,0)=BB$6),$AV669,dNULL)</f>
        <v>-99</v>
      </c>
      <c r="BC669">
        <f ca="1">IF(AND($AT669&lt;3,OFFSET(DATA!$C$14,$AS669,0)=BC$6),$AV669,dNULL)</f>
        <v>-99</v>
      </c>
      <c r="BD669">
        <f ca="1">IF(AND($AT669&lt;3,OFFSET(DATA!$C$14,$AS669,0)=BD$6),$AV669,dNULL)</f>
        <v>-99</v>
      </c>
      <c r="BE669">
        <f ca="1">IF(AND($AT669&lt;3,OFFSET(DATA!$C$14,$AS669,0)=BE$6),$AV669,dNULL)</f>
        <v>-99</v>
      </c>
      <c r="BF669">
        <f ca="1">IF(AND($AT669&lt;3,OFFSET(DATA!$C$14,$AS669,0)=BF$6),$AV669,dNULL)</f>
        <v>-99</v>
      </c>
      <c r="BG669">
        <f ca="1">IF(AND($AT669&lt;3,OFFSET(DATA!$C$14,$AS669,0)=BG$6),$AV669,dNULL)</f>
        <v>-99</v>
      </c>
      <c r="BH669">
        <f ca="1">IF(AND($AT669&lt;3,OFFSET(DATA!$C$14,$AS669,0)=BH$6),$AV669,dNULL)</f>
        <v>-99</v>
      </c>
    </row>
    <row r="670" spans="45:60" x14ac:dyDescent="0.25">
      <c r="AS670">
        <f t="shared" si="128"/>
        <v>34</v>
      </c>
      <c r="AT670">
        <f t="shared" si="129"/>
        <v>7</v>
      </c>
      <c r="AU670">
        <f t="shared" ca="1" si="130"/>
        <v>-99</v>
      </c>
      <c r="AV670">
        <f t="shared" ca="1" si="131"/>
        <v>-99</v>
      </c>
      <c r="AW670">
        <f ca="1">IF(AND($AT670&lt;3,OFFSET(DATA!$C$14,$AS670,0)=AW$6),$AV670,dNULL)</f>
        <v>-99</v>
      </c>
      <c r="AX670">
        <f ca="1">IF(AND($AT670&lt;3,OFFSET(DATA!$C$14,$AS670,0)=AX$6),$AV670,dNULL)</f>
        <v>-99</v>
      </c>
      <c r="AY670">
        <f ca="1">IF(AND($AT670&lt;3,OFFSET(DATA!$C$14,$AS670,0)=AY$6),$AV670,dNULL)</f>
        <v>-99</v>
      </c>
      <c r="AZ670">
        <f ca="1">IF(AND($AT670&lt;3,OFFSET(DATA!$C$14,$AS670,0)=AZ$6),$AV670,dNULL)</f>
        <v>-99</v>
      </c>
      <c r="BA670">
        <f ca="1">IF(AND($AT670&lt;3,OFFSET(DATA!$C$14,$AS670,0)=BA$6),$AV670,dNULL)</f>
        <v>-99</v>
      </c>
      <c r="BB670">
        <f ca="1">IF(AND($AT670&lt;3,OFFSET(DATA!$C$14,$AS670,0)=BB$6),$AV670,dNULL)</f>
        <v>-99</v>
      </c>
      <c r="BC670">
        <f ca="1">IF(AND($AT670&lt;3,OFFSET(DATA!$C$14,$AS670,0)=BC$6),$AV670,dNULL)</f>
        <v>-99</v>
      </c>
      <c r="BD670">
        <f ca="1">IF(AND($AT670&lt;3,OFFSET(DATA!$C$14,$AS670,0)=BD$6),$AV670,dNULL)</f>
        <v>-99</v>
      </c>
      <c r="BE670">
        <f ca="1">IF(AND($AT670&lt;3,OFFSET(DATA!$C$14,$AS670,0)=BE$6),$AV670,dNULL)</f>
        <v>-99</v>
      </c>
      <c r="BF670">
        <f ca="1">IF(AND($AT670&lt;3,OFFSET(DATA!$C$14,$AS670,0)=BF$6),$AV670,dNULL)</f>
        <v>-99</v>
      </c>
      <c r="BG670">
        <f ca="1">IF(AND($AT670&lt;3,OFFSET(DATA!$C$14,$AS670,0)=BG$6),$AV670,dNULL)</f>
        <v>-99</v>
      </c>
      <c r="BH670">
        <f ca="1">IF(AND($AT670&lt;3,OFFSET(DATA!$C$14,$AS670,0)=BH$6),$AV670,dNULL)</f>
        <v>-99</v>
      </c>
    </row>
    <row r="671" spans="45:60" x14ac:dyDescent="0.25">
      <c r="AS671">
        <f t="shared" si="128"/>
        <v>35</v>
      </c>
      <c r="AT671">
        <f t="shared" si="129"/>
        <v>7</v>
      </c>
      <c r="AU671">
        <f t="shared" ca="1" si="130"/>
        <v>-99</v>
      </c>
      <c r="AV671">
        <f t="shared" ca="1" si="131"/>
        <v>-99</v>
      </c>
      <c r="AW671">
        <f ca="1">IF(AND($AT671&lt;3,OFFSET(DATA!$C$14,$AS671,0)=AW$6),$AV671,dNULL)</f>
        <v>-99</v>
      </c>
      <c r="AX671">
        <f ca="1">IF(AND($AT671&lt;3,OFFSET(DATA!$C$14,$AS671,0)=AX$6),$AV671,dNULL)</f>
        <v>-99</v>
      </c>
      <c r="AY671">
        <f ca="1">IF(AND($AT671&lt;3,OFFSET(DATA!$C$14,$AS671,0)=AY$6),$AV671,dNULL)</f>
        <v>-99</v>
      </c>
      <c r="AZ671">
        <f ca="1">IF(AND($AT671&lt;3,OFFSET(DATA!$C$14,$AS671,0)=AZ$6),$AV671,dNULL)</f>
        <v>-99</v>
      </c>
      <c r="BA671">
        <f ca="1">IF(AND($AT671&lt;3,OFFSET(DATA!$C$14,$AS671,0)=BA$6),$AV671,dNULL)</f>
        <v>-99</v>
      </c>
      <c r="BB671">
        <f ca="1">IF(AND($AT671&lt;3,OFFSET(DATA!$C$14,$AS671,0)=BB$6),$AV671,dNULL)</f>
        <v>-99</v>
      </c>
      <c r="BC671">
        <f ca="1">IF(AND($AT671&lt;3,OFFSET(DATA!$C$14,$AS671,0)=BC$6),$AV671,dNULL)</f>
        <v>-99</v>
      </c>
      <c r="BD671">
        <f ca="1">IF(AND($AT671&lt;3,OFFSET(DATA!$C$14,$AS671,0)=BD$6),$AV671,dNULL)</f>
        <v>-99</v>
      </c>
      <c r="BE671">
        <f ca="1">IF(AND($AT671&lt;3,OFFSET(DATA!$C$14,$AS671,0)=BE$6),$AV671,dNULL)</f>
        <v>-99</v>
      </c>
      <c r="BF671">
        <f ca="1">IF(AND($AT671&lt;3,OFFSET(DATA!$C$14,$AS671,0)=BF$6),$AV671,dNULL)</f>
        <v>-99</v>
      </c>
      <c r="BG671">
        <f ca="1">IF(AND($AT671&lt;3,OFFSET(DATA!$C$14,$AS671,0)=BG$6),$AV671,dNULL)</f>
        <v>-99</v>
      </c>
      <c r="BH671">
        <f ca="1">IF(AND($AT671&lt;3,OFFSET(DATA!$C$14,$AS671,0)=BH$6),$AV671,dNULL)</f>
        <v>-99</v>
      </c>
    </row>
    <row r="672" spans="45:60" x14ac:dyDescent="0.25">
      <c r="AS672">
        <f t="shared" si="128"/>
        <v>36</v>
      </c>
      <c r="AT672">
        <f t="shared" si="129"/>
        <v>7</v>
      </c>
      <c r="AU672">
        <f t="shared" ca="1" si="130"/>
        <v>-99</v>
      </c>
      <c r="AV672">
        <f t="shared" ca="1" si="131"/>
        <v>-99</v>
      </c>
      <c r="AW672">
        <f ca="1">IF(AND($AT672&lt;3,OFFSET(DATA!$C$14,$AS672,0)=AW$6),$AV672,dNULL)</f>
        <v>-99</v>
      </c>
      <c r="AX672">
        <f ca="1">IF(AND($AT672&lt;3,OFFSET(DATA!$C$14,$AS672,0)=AX$6),$AV672,dNULL)</f>
        <v>-99</v>
      </c>
      <c r="AY672">
        <f ca="1">IF(AND($AT672&lt;3,OFFSET(DATA!$C$14,$AS672,0)=AY$6),$AV672,dNULL)</f>
        <v>-99</v>
      </c>
      <c r="AZ672">
        <f ca="1">IF(AND($AT672&lt;3,OFFSET(DATA!$C$14,$AS672,0)=AZ$6),$AV672,dNULL)</f>
        <v>-99</v>
      </c>
      <c r="BA672">
        <f ca="1">IF(AND($AT672&lt;3,OFFSET(DATA!$C$14,$AS672,0)=BA$6),$AV672,dNULL)</f>
        <v>-99</v>
      </c>
      <c r="BB672">
        <f ca="1">IF(AND($AT672&lt;3,OFFSET(DATA!$C$14,$AS672,0)=BB$6),$AV672,dNULL)</f>
        <v>-99</v>
      </c>
      <c r="BC672">
        <f ca="1">IF(AND($AT672&lt;3,OFFSET(DATA!$C$14,$AS672,0)=BC$6),$AV672,dNULL)</f>
        <v>-99</v>
      </c>
      <c r="BD672">
        <f ca="1">IF(AND($AT672&lt;3,OFFSET(DATA!$C$14,$AS672,0)=BD$6),$AV672,dNULL)</f>
        <v>-99</v>
      </c>
      <c r="BE672">
        <f ca="1">IF(AND($AT672&lt;3,OFFSET(DATA!$C$14,$AS672,0)=BE$6),$AV672,dNULL)</f>
        <v>-99</v>
      </c>
      <c r="BF672">
        <f ca="1">IF(AND($AT672&lt;3,OFFSET(DATA!$C$14,$AS672,0)=BF$6),$AV672,dNULL)</f>
        <v>-99</v>
      </c>
      <c r="BG672">
        <f ca="1">IF(AND($AT672&lt;3,OFFSET(DATA!$C$14,$AS672,0)=BG$6),$AV672,dNULL)</f>
        <v>-99</v>
      </c>
      <c r="BH672">
        <f ca="1">IF(AND($AT672&lt;3,OFFSET(DATA!$C$14,$AS672,0)=BH$6),$AV672,dNULL)</f>
        <v>-99</v>
      </c>
    </row>
    <row r="673" spans="45:60" x14ac:dyDescent="0.25">
      <c r="AS673">
        <f t="shared" si="128"/>
        <v>37</v>
      </c>
      <c r="AT673">
        <f t="shared" si="129"/>
        <v>7</v>
      </c>
      <c r="AU673">
        <f t="shared" ca="1" si="130"/>
        <v>-99</v>
      </c>
      <c r="AV673">
        <f t="shared" ca="1" si="131"/>
        <v>-99</v>
      </c>
      <c r="AW673">
        <f ca="1">IF(AND($AT673&lt;3,OFFSET(DATA!$C$14,$AS673,0)=AW$6),$AV673,dNULL)</f>
        <v>-99</v>
      </c>
      <c r="AX673">
        <f ca="1">IF(AND($AT673&lt;3,OFFSET(DATA!$C$14,$AS673,0)=AX$6),$AV673,dNULL)</f>
        <v>-99</v>
      </c>
      <c r="AY673">
        <f ca="1">IF(AND($AT673&lt;3,OFFSET(DATA!$C$14,$AS673,0)=AY$6),$AV673,dNULL)</f>
        <v>-99</v>
      </c>
      <c r="AZ673">
        <f ca="1">IF(AND($AT673&lt;3,OFFSET(DATA!$C$14,$AS673,0)=AZ$6),$AV673,dNULL)</f>
        <v>-99</v>
      </c>
      <c r="BA673">
        <f ca="1">IF(AND($AT673&lt;3,OFFSET(DATA!$C$14,$AS673,0)=BA$6),$AV673,dNULL)</f>
        <v>-99</v>
      </c>
      <c r="BB673">
        <f ca="1">IF(AND($AT673&lt;3,OFFSET(DATA!$C$14,$AS673,0)=BB$6),$AV673,dNULL)</f>
        <v>-99</v>
      </c>
      <c r="BC673">
        <f ca="1">IF(AND($AT673&lt;3,OFFSET(DATA!$C$14,$AS673,0)=BC$6),$AV673,dNULL)</f>
        <v>-99</v>
      </c>
      <c r="BD673">
        <f ca="1">IF(AND($AT673&lt;3,OFFSET(DATA!$C$14,$AS673,0)=BD$6),$AV673,dNULL)</f>
        <v>-99</v>
      </c>
      <c r="BE673">
        <f ca="1">IF(AND($AT673&lt;3,OFFSET(DATA!$C$14,$AS673,0)=BE$6),$AV673,dNULL)</f>
        <v>-99</v>
      </c>
      <c r="BF673">
        <f ca="1">IF(AND($AT673&lt;3,OFFSET(DATA!$C$14,$AS673,0)=BF$6),$AV673,dNULL)</f>
        <v>-99</v>
      </c>
      <c r="BG673">
        <f ca="1">IF(AND($AT673&lt;3,OFFSET(DATA!$C$14,$AS673,0)=BG$6),$AV673,dNULL)</f>
        <v>-99</v>
      </c>
      <c r="BH673">
        <f ca="1">IF(AND($AT673&lt;3,OFFSET(DATA!$C$14,$AS673,0)=BH$6),$AV673,dNULL)</f>
        <v>-99</v>
      </c>
    </row>
    <row r="674" spans="45:60" x14ac:dyDescent="0.25">
      <c r="AS674">
        <f t="shared" si="128"/>
        <v>38</v>
      </c>
      <c r="AT674">
        <f t="shared" si="129"/>
        <v>7</v>
      </c>
      <c r="AU674">
        <f t="shared" ca="1" si="130"/>
        <v>-99</v>
      </c>
      <c r="AV674">
        <f t="shared" ca="1" si="131"/>
        <v>-99</v>
      </c>
      <c r="AW674">
        <f ca="1">IF(AND($AT674&lt;3,OFFSET(DATA!$C$14,$AS674,0)=AW$6),$AV674,dNULL)</f>
        <v>-99</v>
      </c>
      <c r="AX674">
        <f ca="1">IF(AND($AT674&lt;3,OFFSET(DATA!$C$14,$AS674,0)=AX$6),$AV674,dNULL)</f>
        <v>-99</v>
      </c>
      <c r="AY674">
        <f ca="1">IF(AND($AT674&lt;3,OFFSET(DATA!$C$14,$AS674,0)=AY$6),$AV674,dNULL)</f>
        <v>-99</v>
      </c>
      <c r="AZ674">
        <f ca="1">IF(AND($AT674&lt;3,OFFSET(DATA!$C$14,$AS674,0)=AZ$6),$AV674,dNULL)</f>
        <v>-99</v>
      </c>
      <c r="BA674">
        <f ca="1">IF(AND($AT674&lt;3,OFFSET(DATA!$C$14,$AS674,0)=BA$6),$AV674,dNULL)</f>
        <v>-99</v>
      </c>
      <c r="BB674">
        <f ca="1">IF(AND($AT674&lt;3,OFFSET(DATA!$C$14,$AS674,0)=BB$6),$AV674,dNULL)</f>
        <v>-99</v>
      </c>
      <c r="BC674">
        <f ca="1">IF(AND($AT674&lt;3,OFFSET(DATA!$C$14,$AS674,0)=BC$6),$AV674,dNULL)</f>
        <v>-99</v>
      </c>
      <c r="BD674">
        <f ca="1">IF(AND($AT674&lt;3,OFFSET(DATA!$C$14,$AS674,0)=BD$6),$AV674,dNULL)</f>
        <v>-99</v>
      </c>
      <c r="BE674">
        <f ca="1">IF(AND($AT674&lt;3,OFFSET(DATA!$C$14,$AS674,0)=BE$6),$AV674,dNULL)</f>
        <v>-99</v>
      </c>
      <c r="BF674">
        <f ca="1">IF(AND($AT674&lt;3,OFFSET(DATA!$C$14,$AS674,0)=BF$6),$AV674,dNULL)</f>
        <v>-99</v>
      </c>
      <c r="BG674">
        <f ca="1">IF(AND($AT674&lt;3,OFFSET(DATA!$C$14,$AS674,0)=BG$6),$AV674,dNULL)</f>
        <v>-99</v>
      </c>
      <c r="BH674">
        <f ca="1">IF(AND($AT674&lt;3,OFFSET(DATA!$C$14,$AS674,0)=BH$6),$AV674,dNULL)</f>
        <v>-99</v>
      </c>
    </row>
    <row r="675" spans="45:60" x14ac:dyDescent="0.25">
      <c r="AS675">
        <f t="shared" si="128"/>
        <v>39</v>
      </c>
      <c r="AT675">
        <f t="shared" si="129"/>
        <v>7</v>
      </c>
      <c r="AU675">
        <f t="shared" ca="1" si="130"/>
        <v>-99</v>
      </c>
      <c r="AV675">
        <f t="shared" ca="1" si="131"/>
        <v>-99</v>
      </c>
      <c r="AW675">
        <f ca="1">IF(AND($AT675&lt;3,OFFSET(DATA!$C$14,$AS675,0)=AW$6),$AV675,dNULL)</f>
        <v>-99</v>
      </c>
      <c r="AX675">
        <f ca="1">IF(AND($AT675&lt;3,OFFSET(DATA!$C$14,$AS675,0)=AX$6),$AV675,dNULL)</f>
        <v>-99</v>
      </c>
      <c r="AY675">
        <f ca="1">IF(AND($AT675&lt;3,OFFSET(DATA!$C$14,$AS675,0)=AY$6),$AV675,dNULL)</f>
        <v>-99</v>
      </c>
      <c r="AZ675">
        <f ca="1">IF(AND($AT675&lt;3,OFFSET(DATA!$C$14,$AS675,0)=AZ$6),$AV675,dNULL)</f>
        <v>-99</v>
      </c>
      <c r="BA675">
        <f ca="1">IF(AND($AT675&lt;3,OFFSET(DATA!$C$14,$AS675,0)=BA$6),$AV675,dNULL)</f>
        <v>-99</v>
      </c>
      <c r="BB675">
        <f ca="1">IF(AND($AT675&lt;3,OFFSET(DATA!$C$14,$AS675,0)=BB$6),$AV675,dNULL)</f>
        <v>-99</v>
      </c>
      <c r="BC675">
        <f ca="1">IF(AND($AT675&lt;3,OFFSET(DATA!$C$14,$AS675,0)=BC$6),$AV675,dNULL)</f>
        <v>-99</v>
      </c>
      <c r="BD675">
        <f ca="1">IF(AND($AT675&lt;3,OFFSET(DATA!$C$14,$AS675,0)=BD$6),$AV675,dNULL)</f>
        <v>-99</v>
      </c>
      <c r="BE675">
        <f ca="1">IF(AND($AT675&lt;3,OFFSET(DATA!$C$14,$AS675,0)=BE$6),$AV675,dNULL)</f>
        <v>-99</v>
      </c>
      <c r="BF675">
        <f ca="1">IF(AND($AT675&lt;3,OFFSET(DATA!$C$14,$AS675,0)=BF$6),$AV675,dNULL)</f>
        <v>-99</v>
      </c>
      <c r="BG675">
        <f ca="1">IF(AND($AT675&lt;3,OFFSET(DATA!$C$14,$AS675,0)=BG$6),$AV675,dNULL)</f>
        <v>-99</v>
      </c>
      <c r="BH675">
        <f ca="1">IF(AND($AT675&lt;3,OFFSET(DATA!$C$14,$AS675,0)=BH$6),$AV675,dNULL)</f>
        <v>-99</v>
      </c>
    </row>
    <row r="676" spans="45:60" x14ac:dyDescent="0.25">
      <c r="AS676">
        <f t="shared" si="128"/>
        <v>40</v>
      </c>
      <c r="AT676">
        <f t="shared" si="129"/>
        <v>7</v>
      </c>
      <c r="AU676">
        <f t="shared" ca="1" si="130"/>
        <v>-99</v>
      </c>
      <c r="AV676">
        <f t="shared" ca="1" si="131"/>
        <v>-99</v>
      </c>
      <c r="AW676">
        <f ca="1">IF(AND($AT676&lt;3,OFFSET(DATA!$C$14,$AS676,0)=AW$6),$AV676,dNULL)</f>
        <v>-99</v>
      </c>
      <c r="AX676">
        <f ca="1">IF(AND($AT676&lt;3,OFFSET(DATA!$C$14,$AS676,0)=AX$6),$AV676,dNULL)</f>
        <v>-99</v>
      </c>
      <c r="AY676">
        <f ca="1">IF(AND($AT676&lt;3,OFFSET(DATA!$C$14,$AS676,0)=AY$6),$AV676,dNULL)</f>
        <v>-99</v>
      </c>
      <c r="AZ676">
        <f ca="1">IF(AND($AT676&lt;3,OFFSET(DATA!$C$14,$AS676,0)=AZ$6),$AV676,dNULL)</f>
        <v>-99</v>
      </c>
      <c r="BA676">
        <f ca="1">IF(AND($AT676&lt;3,OFFSET(DATA!$C$14,$AS676,0)=BA$6),$AV676,dNULL)</f>
        <v>-99</v>
      </c>
      <c r="BB676">
        <f ca="1">IF(AND($AT676&lt;3,OFFSET(DATA!$C$14,$AS676,0)=BB$6),$AV676,dNULL)</f>
        <v>-99</v>
      </c>
      <c r="BC676">
        <f ca="1">IF(AND($AT676&lt;3,OFFSET(DATA!$C$14,$AS676,0)=BC$6),$AV676,dNULL)</f>
        <v>-99</v>
      </c>
      <c r="BD676">
        <f ca="1">IF(AND($AT676&lt;3,OFFSET(DATA!$C$14,$AS676,0)=BD$6),$AV676,dNULL)</f>
        <v>-99</v>
      </c>
      <c r="BE676">
        <f ca="1">IF(AND($AT676&lt;3,OFFSET(DATA!$C$14,$AS676,0)=BE$6),$AV676,dNULL)</f>
        <v>-99</v>
      </c>
      <c r="BF676">
        <f ca="1">IF(AND($AT676&lt;3,OFFSET(DATA!$C$14,$AS676,0)=BF$6),$AV676,dNULL)</f>
        <v>-99</v>
      </c>
      <c r="BG676">
        <f ca="1">IF(AND($AT676&lt;3,OFFSET(DATA!$C$14,$AS676,0)=BG$6),$AV676,dNULL)</f>
        <v>-99</v>
      </c>
      <c r="BH676">
        <f ca="1">IF(AND($AT676&lt;3,OFFSET(DATA!$C$14,$AS676,0)=BH$6),$AV676,dNULL)</f>
        <v>-99</v>
      </c>
    </row>
    <row r="677" spans="45:60" x14ac:dyDescent="0.25">
      <c r="AS677">
        <f t="shared" si="128"/>
        <v>41</v>
      </c>
      <c r="AT677">
        <f t="shared" si="129"/>
        <v>7</v>
      </c>
      <c r="AU677">
        <f t="shared" ca="1" si="130"/>
        <v>-99</v>
      </c>
      <c r="AV677">
        <f t="shared" ca="1" si="131"/>
        <v>-99</v>
      </c>
      <c r="AW677">
        <f ca="1">IF(AND($AT677&lt;3,OFFSET(DATA!$C$14,$AS677,0)=AW$6),$AV677,dNULL)</f>
        <v>-99</v>
      </c>
      <c r="AX677">
        <f ca="1">IF(AND($AT677&lt;3,OFFSET(DATA!$C$14,$AS677,0)=AX$6),$AV677,dNULL)</f>
        <v>-99</v>
      </c>
      <c r="AY677">
        <f ca="1">IF(AND($AT677&lt;3,OFFSET(DATA!$C$14,$AS677,0)=AY$6),$AV677,dNULL)</f>
        <v>-99</v>
      </c>
      <c r="AZ677">
        <f ca="1">IF(AND($AT677&lt;3,OFFSET(DATA!$C$14,$AS677,0)=AZ$6),$AV677,dNULL)</f>
        <v>-99</v>
      </c>
      <c r="BA677">
        <f ca="1">IF(AND($AT677&lt;3,OFFSET(DATA!$C$14,$AS677,0)=BA$6),$AV677,dNULL)</f>
        <v>-99</v>
      </c>
      <c r="BB677">
        <f ca="1">IF(AND($AT677&lt;3,OFFSET(DATA!$C$14,$AS677,0)=BB$6),$AV677,dNULL)</f>
        <v>-99</v>
      </c>
      <c r="BC677">
        <f ca="1">IF(AND($AT677&lt;3,OFFSET(DATA!$C$14,$AS677,0)=BC$6),$AV677,dNULL)</f>
        <v>-99</v>
      </c>
      <c r="BD677">
        <f ca="1">IF(AND($AT677&lt;3,OFFSET(DATA!$C$14,$AS677,0)=BD$6),$AV677,dNULL)</f>
        <v>-99</v>
      </c>
      <c r="BE677">
        <f ca="1">IF(AND($AT677&lt;3,OFFSET(DATA!$C$14,$AS677,0)=BE$6),$AV677,dNULL)</f>
        <v>-99</v>
      </c>
      <c r="BF677">
        <f ca="1">IF(AND($AT677&lt;3,OFFSET(DATA!$C$14,$AS677,0)=BF$6),$AV677,dNULL)</f>
        <v>-99</v>
      </c>
      <c r="BG677">
        <f ca="1">IF(AND($AT677&lt;3,OFFSET(DATA!$C$14,$AS677,0)=BG$6),$AV677,dNULL)</f>
        <v>-99</v>
      </c>
      <c r="BH677">
        <f ca="1">IF(AND($AT677&lt;3,OFFSET(DATA!$C$14,$AS677,0)=BH$6),$AV677,dNULL)</f>
        <v>-99</v>
      </c>
    </row>
    <row r="678" spans="45:60" x14ac:dyDescent="0.25">
      <c r="AS678">
        <f t="shared" si="128"/>
        <v>42</v>
      </c>
      <c r="AT678">
        <f t="shared" si="129"/>
        <v>7</v>
      </c>
      <c r="AU678">
        <f t="shared" ca="1" si="130"/>
        <v>-99</v>
      </c>
      <c r="AV678">
        <f t="shared" ca="1" si="131"/>
        <v>-99</v>
      </c>
      <c r="AW678">
        <f ca="1">IF(AND($AT678&lt;3,OFFSET(DATA!$C$14,$AS678,0)=AW$6),$AV678,dNULL)</f>
        <v>-99</v>
      </c>
      <c r="AX678">
        <f ca="1">IF(AND($AT678&lt;3,OFFSET(DATA!$C$14,$AS678,0)=AX$6),$AV678,dNULL)</f>
        <v>-99</v>
      </c>
      <c r="AY678">
        <f ca="1">IF(AND($AT678&lt;3,OFFSET(DATA!$C$14,$AS678,0)=AY$6),$AV678,dNULL)</f>
        <v>-99</v>
      </c>
      <c r="AZ678">
        <f ca="1">IF(AND($AT678&lt;3,OFFSET(DATA!$C$14,$AS678,0)=AZ$6),$AV678,dNULL)</f>
        <v>-99</v>
      </c>
      <c r="BA678">
        <f ca="1">IF(AND($AT678&lt;3,OFFSET(DATA!$C$14,$AS678,0)=BA$6),$AV678,dNULL)</f>
        <v>-99</v>
      </c>
      <c r="BB678">
        <f ca="1">IF(AND($AT678&lt;3,OFFSET(DATA!$C$14,$AS678,0)=BB$6),$AV678,dNULL)</f>
        <v>-99</v>
      </c>
      <c r="BC678">
        <f ca="1">IF(AND($AT678&lt;3,OFFSET(DATA!$C$14,$AS678,0)=BC$6),$AV678,dNULL)</f>
        <v>-99</v>
      </c>
      <c r="BD678">
        <f ca="1">IF(AND($AT678&lt;3,OFFSET(DATA!$C$14,$AS678,0)=BD$6),$AV678,dNULL)</f>
        <v>-99</v>
      </c>
      <c r="BE678">
        <f ca="1">IF(AND($AT678&lt;3,OFFSET(DATA!$C$14,$AS678,0)=BE$6),$AV678,dNULL)</f>
        <v>-99</v>
      </c>
      <c r="BF678">
        <f ca="1">IF(AND($AT678&lt;3,OFFSET(DATA!$C$14,$AS678,0)=BF$6),$AV678,dNULL)</f>
        <v>-99</v>
      </c>
      <c r="BG678">
        <f ca="1">IF(AND($AT678&lt;3,OFFSET(DATA!$C$14,$AS678,0)=BG$6),$AV678,dNULL)</f>
        <v>-99</v>
      </c>
      <c r="BH678">
        <f ca="1">IF(AND($AT678&lt;3,OFFSET(DATA!$C$14,$AS678,0)=BH$6),$AV678,dNULL)</f>
        <v>-99</v>
      </c>
    </row>
    <row r="679" spans="45:60" x14ac:dyDescent="0.25">
      <c r="AS679">
        <f t="shared" si="128"/>
        <v>43</v>
      </c>
      <c r="AT679">
        <f t="shared" si="129"/>
        <v>7</v>
      </c>
      <c r="AU679">
        <f t="shared" ca="1" si="130"/>
        <v>-99</v>
      </c>
      <c r="AV679">
        <f t="shared" ca="1" si="131"/>
        <v>-99</v>
      </c>
      <c r="AW679">
        <f ca="1">IF(AND($AT679&lt;3,OFFSET(DATA!$C$14,$AS679,0)=AW$6),$AV679,dNULL)</f>
        <v>-99</v>
      </c>
      <c r="AX679">
        <f ca="1">IF(AND($AT679&lt;3,OFFSET(DATA!$C$14,$AS679,0)=AX$6),$AV679,dNULL)</f>
        <v>-99</v>
      </c>
      <c r="AY679">
        <f ca="1">IF(AND($AT679&lt;3,OFFSET(DATA!$C$14,$AS679,0)=AY$6),$AV679,dNULL)</f>
        <v>-99</v>
      </c>
      <c r="AZ679">
        <f ca="1">IF(AND($AT679&lt;3,OFFSET(DATA!$C$14,$AS679,0)=AZ$6),$AV679,dNULL)</f>
        <v>-99</v>
      </c>
      <c r="BA679">
        <f ca="1">IF(AND($AT679&lt;3,OFFSET(DATA!$C$14,$AS679,0)=BA$6),$AV679,dNULL)</f>
        <v>-99</v>
      </c>
      <c r="BB679">
        <f ca="1">IF(AND($AT679&lt;3,OFFSET(DATA!$C$14,$AS679,0)=BB$6),$AV679,dNULL)</f>
        <v>-99</v>
      </c>
      <c r="BC679">
        <f ca="1">IF(AND($AT679&lt;3,OFFSET(DATA!$C$14,$AS679,0)=BC$6),$AV679,dNULL)</f>
        <v>-99</v>
      </c>
      <c r="BD679">
        <f ca="1">IF(AND($AT679&lt;3,OFFSET(DATA!$C$14,$AS679,0)=BD$6),$AV679,dNULL)</f>
        <v>-99</v>
      </c>
      <c r="BE679">
        <f ca="1">IF(AND($AT679&lt;3,OFFSET(DATA!$C$14,$AS679,0)=BE$6),$AV679,dNULL)</f>
        <v>-99</v>
      </c>
      <c r="BF679">
        <f ca="1">IF(AND($AT679&lt;3,OFFSET(DATA!$C$14,$AS679,0)=BF$6),$AV679,dNULL)</f>
        <v>-99</v>
      </c>
      <c r="BG679">
        <f ca="1">IF(AND($AT679&lt;3,OFFSET(DATA!$C$14,$AS679,0)=BG$6),$AV679,dNULL)</f>
        <v>-99</v>
      </c>
      <c r="BH679">
        <f ca="1">IF(AND($AT679&lt;3,OFFSET(DATA!$C$14,$AS679,0)=BH$6),$AV679,dNULL)</f>
        <v>-99</v>
      </c>
    </row>
    <row r="680" spans="45:60" x14ac:dyDescent="0.25">
      <c r="AS680">
        <f t="shared" si="128"/>
        <v>44</v>
      </c>
      <c r="AT680">
        <f t="shared" si="129"/>
        <v>7</v>
      </c>
      <c r="AU680">
        <f t="shared" ca="1" si="130"/>
        <v>-99</v>
      </c>
      <c r="AV680">
        <f t="shared" ca="1" si="131"/>
        <v>-99</v>
      </c>
      <c r="AW680">
        <f ca="1">IF(AND($AT680&lt;3,OFFSET(DATA!$C$14,$AS680,0)=AW$6),$AV680,dNULL)</f>
        <v>-99</v>
      </c>
      <c r="AX680">
        <f ca="1">IF(AND($AT680&lt;3,OFFSET(DATA!$C$14,$AS680,0)=AX$6),$AV680,dNULL)</f>
        <v>-99</v>
      </c>
      <c r="AY680">
        <f ca="1">IF(AND($AT680&lt;3,OFFSET(DATA!$C$14,$AS680,0)=AY$6),$AV680,dNULL)</f>
        <v>-99</v>
      </c>
      <c r="AZ680">
        <f ca="1">IF(AND($AT680&lt;3,OFFSET(DATA!$C$14,$AS680,0)=AZ$6),$AV680,dNULL)</f>
        <v>-99</v>
      </c>
      <c r="BA680">
        <f ca="1">IF(AND($AT680&lt;3,OFFSET(DATA!$C$14,$AS680,0)=BA$6),$AV680,dNULL)</f>
        <v>-99</v>
      </c>
      <c r="BB680">
        <f ca="1">IF(AND($AT680&lt;3,OFFSET(DATA!$C$14,$AS680,0)=BB$6),$AV680,dNULL)</f>
        <v>-99</v>
      </c>
      <c r="BC680">
        <f ca="1">IF(AND($AT680&lt;3,OFFSET(DATA!$C$14,$AS680,0)=BC$6),$AV680,dNULL)</f>
        <v>-99</v>
      </c>
      <c r="BD680">
        <f ca="1">IF(AND($AT680&lt;3,OFFSET(DATA!$C$14,$AS680,0)=BD$6),$AV680,dNULL)</f>
        <v>-99</v>
      </c>
      <c r="BE680">
        <f ca="1">IF(AND($AT680&lt;3,OFFSET(DATA!$C$14,$AS680,0)=BE$6),$AV680,dNULL)</f>
        <v>-99</v>
      </c>
      <c r="BF680">
        <f ca="1">IF(AND($AT680&lt;3,OFFSET(DATA!$C$14,$AS680,0)=BF$6),$AV680,dNULL)</f>
        <v>-99</v>
      </c>
      <c r="BG680">
        <f ca="1">IF(AND($AT680&lt;3,OFFSET(DATA!$C$14,$AS680,0)=BG$6),$AV680,dNULL)</f>
        <v>-99</v>
      </c>
      <c r="BH680">
        <f ca="1">IF(AND($AT680&lt;3,OFFSET(DATA!$C$14,$AS680,0)=BH$6),$AV680,dNULL)</f>
        <v>-99</v>
      </c>
    </row>
    <row r="681" spans="45:60" x14ac:dyDescent="0.25">
      <c r="AS681">
        <f t="shared" si="128"/>
        <v>45</v>
      </c>
      <c r="AT681">
        <f t="shared" si="129"/>
        <v>7</v>
      </c>
      <c r="AU681">
        <f t="shared" ca="1" si="130"/>
        <v>-99</v>
      </c>
      <c r="AV681">
        <f t="shared" ca="1" si="131"/>
        <v>-99</v>
      </c>
      <c r="AW681">
        <f ca="1">IF(AND($AT681&lt;3,OFFSET(DATA!$C$14,$AS681,0)=AW$6),$AV681,dNULL)</f>
        <v>-99</v>
      </c>
      <c r="AX681">
        <f ca="1">IF(AND($AT681&lt;3,OFFSET(DATA!$C$14,$AS681,0)=AX$6),$AV681,dNULL)</f>
        <v>-99</v>
      </c>
      <c r="AY681">
        <f ca="1">IF(AND($AT681&lt;3,OFFSET(DATA!$C$14,$AS681,0)=AY$6),$AV681,dNULL)</f>
        <v>-99</v>
      </c>
      <c r="AZ681">
        <f ca="1">IF(AND($AT681&lt;3,OFFSET(DATA!$C$14,$AS681,0)=AZ$6),$AV681,dNULL)</f>
        <v>-99</v>
      </c>
      <c r="BA681">
        <f ca="1">IF(AND($AT681&lt;3,OFFSET(DATA!$C$14,$AS681,0)=BA$6),$AV681,dNULL)</f>
        <v>-99</v>
      </c>
      <c r="BB681">
        <f ca="1">IF(AND($AT681&lt;3,OFFSET(DATA!$C$14,$AS681,0)=BB$6),$AV681,dNULL)</f>
        <v>-99</v>
      </c>
      <c r="BC681">
        <f ca="1">IF(AND($AT681&lt;3,OFFSET(DATA!$C$14,$AS681,0)=BC$6),$AV681,dNULL)</f>
        <v>-99</v>
      </c>
      <c r="BD681">
        <f ca="1">IF(AND($AT681&lt;3,OFFSET(DATA!$C$14,$AS681,0)=BD$6),$AV681,dNULL)</f>
        <v>-99</v>
      </c>
      <c r="BE681">
        <f ca="1">IF(AND($AT681&lt;3,OFFSET(DATA!$C$14,$AS681,0)=BE$6),$AV681,dNULL)</f>
        <v>-99</v>
      </c>
      <c r="BF681">
        <f ca="1">IF(AND($AT681&lt;3,OFFSET(DATA!$C$14,$AS681,0)=BF$6),$AV681,dNULL)</f>
        <v>-99</v>
      </c>
      <c r="BG681">
        <f ca="1">IF(AND($AT681&lt;3,OFFSET(DATA!$C$14,$AS681,0)=BG$6),$AV681,dNULL)</f>
        <v>-99</v>
      </c>
      <c r="BH681">
        <f ca="1">IF(AND($AT681&lt;3,OFFSET(DATA!$C$14,$AS681,0)=BH$6),$AV681,dNULL)</f>
        <v>-99</v>
      </c>
    </row>
    <row r="682" spans="45:60" x14ac:dyDescent="0.25">
      <c r="AS682">
        <f t="shared" si="128"/>
        <v>46</v>
      </c>
      <c r="AT682">
        <f t="shared" si="129"/>
        <v>7</v>
      </c>
      <c r="AU682">
        <f t="shared" ca="1" si="130"/>
        <v>-99</v>
      </c>
      <c r="AV682">
        <f t="shared" ca="1" si="131"/>
        <v>-99</v>
      </c>
      <c r="AW682">
        <f ca="1">IF(AND($AT682&lt;3,OFFSET(DATA!$C$14,$AS682,0)=AW$6),$AV682,dNULL)</f>
        <v>-99</v>
      </c>
      <c r="AX682">
        <f ca="1">IF(AND($AT682&lt;3,OFFSET(DATA!$C$14,$AS682,0)=AX$6),$AV682,dNULL)</f>
        <v>-99</v>
      </c>
      <c r="AY682">
        <f ca="1">IF(AND($AT682&lt;3,OFFSET(DATA!$C$14,$AS682,0)=AY$6),$AV682,dNULL)</f>
        <v>-99</v>
      </c>
      <c r="AZ682">
        <f ca="1">IF(AND($AT682&lt;3,OFFSET(DATA!$C$14,$AS682,0)=AZ$6),$AV682,dNULL)</f>
        <v>-99</v>
      </c>
      <c r="BA682">
        <f ca="1">IF(AND($AT682&lt;3,OFFSET(DATA!$C$14,$AS682,0)=BA$6),$AV682,dNULL)</f>
        <v>-99</v>
      </c>
      <c r="BB682">
        <f ca="1">IF(AND($AT682&lt;3,OFFSET(DATA!$C$14,$AS682,0)=BB$6),$AV682,dNULL)</f>
        <v>-99</v>
      </c>
      <c r="BC682">
        <f ca="1">IF(AND($AT682&lt;3,OFFSET(DATA!$C$14,$AS682,0)=BC$6),$AV682,dNULL)</f>
        <v>-99</v>
      </c>
      <c r="BD682">
        <f ca="1">IF(AND($AT682&lt;3,OFFSET(DATA!$C$14,$AS682,0)=BD$6),$AV682,dNULL)</f>
        <v>-99</v>
      </c>
      <c r="BE682">
        <f ca="1">IF(AND($AT682&lt;3,OFFSET(DATA!$C$14,$AS682,0)=BE$6),$AV682,dNULL)</f>
        <v>-99</v>
      </c>
      <c r="BF682">
        <f ca="1">IF(AND($AT682&lt;3,OFFSET(DATA!$C$14,$AS682,0)=BF$6),$AV682,dNULL)</f>
        <v>-99</v>
      </c>
      <c r="BG682">
        <f ca="1">IF(AND($AT682&lt;3,OFFSET(DATA!$C$14,$AS682,0)=BG$6),$AV682,dNULL)</f>
        <v>-99</v>
      </c>
      <c r="BH682">
        <f ca="1">IF(AND($AT682&lt;3,OFFSET(DATA!$C$14,$AS682,0)=BH$6),$AV682,dNULL)</f>
        <v>-99</v>
      </c>
    </row>
    <row r="683" spans="45:60" x14ac:dyDescent="0.25">
      <c r="AS683">
        <f t="shared" si="128"/>
        <v>47</v>
      </c>
      <c r="AT683">
        <f t="shared" si="129"/>
        <v>7</v>
      </c>
      <c r="AU683">
        <f t="shared" ca="1" si="130"/>
        <v>-99</v>
      </c>
      <c r="AV683">
        <f t="shared" ca="1" si="131"/>
        <v>-99</v>
      </c>
      <c r="AW683">
        <f ca="1">IF(AND($AT683&lt;3,OFFSET(DATA!$C$14,$AS683,0)=AW$6),$AV683,dNULL)</f>
        <v>-99</v>
      </c>
      <c r="AX683">
        <f ca="1">IF(AND($AT683&lt;3,OFFSET(DATA!$C$14,$AS683,0)=AX$6),$AV683,dNULL)</f>
        <v>-99</v>
      </c>
      <c r="AY683">
        <f ca="1">IF(AND($AT683&lt;3,OFFSET(DATA!$C$14,$AS683,0)=AY$6),$AV683,dNULL)</f>
        <v>-99</v>
      </c>
      <c r="AZ683">
        <f ca="1">IF(AND($AT683&lt;3,OFFSET(DATA!$C$14,$AS683,0)=AZ$6),$AV683,dNULL)</f>
        <v>-99</v>
      </c>
      <c r="BA683">
        <f ca="1">IF(AND($AT683&lt;3,OFFSET(DATA!$C$14,$AS683,0)=BA$6),$AV683,dNULL)</f>
        <v>-99</v>
      </c>
      <c r="BB683">
        <f ca="1">IF(AND($AT683&lt;3,OFFSET(DATA!$C$14,$AS683,0)=BB$6),$AV683,dNULL)</f>
        <v>-99</v>
      </c>
      <c r="BC683">
        <f ca="1">IF(AND($AT683&lt;3,OFFSET(DATA!$C$14,$AS683,0)=BC$6),$AV683,dNULL)</f>
        <v>-99</v>
      </c>
      <c r="BD683">
        <f ca="1">IF(AND($AT683&lt;3,OFFSET(DATA!$C$14,$AS683,0)=BD$6),$AV683,dNULL)</f>
        <v>-99</v>
      </c>
      <c r="BE683">
        <f ca="1">IF(AND($AT683&lt;3,OFFSET(DATA!$C$14,$AS683,0)=BE$6),$AV683,dNULL)</f>
        <v>-99</v>
      </c>
      <c r="BF683">
        <f ca="1">IF(AND($AT683&lt;3,OFFSET(DATA!$C$14,$AS683,0)=BF$6),$AV683,dNULL)</f>
        <v>-99</v>
      </c>
      <c r="BG683">
        <f ca="1">IF(AND($AT683&lt;3,OFFSET(DATA!$C$14,$AS683,0)=BG$6),$AV683,dNULL)</f>
        <v>-99</v>
      </c>
      <c r="BH683">
        <f ca="1">IF(AND($AT683&lt;3,OFFSET(DATA!$C$14,$AS683,0)=BH$6),$AV683,dNULL)</f>
        <v>-99</v>
      </c>
    </row>
    <row r="684" spans="45:60" x14ac:dyDescent="0.25">
      <c r="AS684">
        <f t="shared" si="128"/>
        <v>48</v>
      </c>
      <c r="AT684">
        <f t="shared" si="129"/>
        <v>7</v>
      </c>
      <c r="AU684">
        <f t="shared" ca="1" si="130"/>
        <v>-99</v>
      </c>
      <c r="AV684">
        <f t="shared" ca="1" si="131"/>
        <v>-99</v>
      </c>
      <c r="AW684">
        <f ca="1">IF(AND($AT684&lt;3,OFFSET(DATA!$C$14,$AS684,0)=AW$6),$AV684,dNULL)</f>
        <v>-99</v>
      </c>
      <c r="AX684">
        <f ca="1">IF(AND($AT684&lt;3,OFFSET(DATA!$C$14,$AS684,0)=AX$6),$AV684,dNULL)</f>
        <v>-99</v>
      </c>
      <c r="AY684">
        <f ca="1">IF(AND($AT684&lt;3,OFFSET(DATA!$C$14,$AS684,0)=AY$6),$AV684,dNULL)</f>
        <v>-99</v>
      </c>
      <c r="AZ684">
        <f ca="1">IF(AND($AT684&lt;3,OFFSET(DATA!$C$14,$AS684,0)=AZ$6),$AV684,dNULL)</f>
        <v>-99</v>
      </c>
      <c r="BA684">
        <f ca="1">IF(AND($AT684&lt;3,OFFSET(DATA!$C$14,$AS684,0)=BA$6),$AV684,dNULL)</f>
        <v>-99</v>
      </c>
      <c r="BB684">
        <f ca="1">IF(AND($AT684&lt;3,OFFSET(DATA!$C$14,$AS684,0)=BB$6),$AV684,dNULL)</f>
        <v>-99</v>
      </c>
      <c r="BC684">
        <f ca="1">IF(AND($AT684&lt;3,OFFSET(DATA!$C$14,$AS684,0)=BC$6),$AV684,dNULL)</f>
        <v>-99</v>
      </c>
      <c r="BD684">
        <f ca="1">IF(AND($AT684&lt;3,OFFSET(DATA!$C$14,$AS684,0)=BD$6),$AV684,dNULL)</f>
        <v>-99</v>
      </c>
      <c r="BE684">
        <f ca="1">IF(AND($AT684&lt;3,OFFSET(DATA!$C$14,$AS684,0)=BE$6),$AV684,dNULL)</f>
        <v>-99</v>
      </c>
      <c r="BF684">
        <f ca="1">IF(AND($AT684&lt;3,OFFSET(DATA!$C$14,$AS684,0)=BF$6),$AV684,dNULL)</f>
        <v>-99</v>
      </c>
      <c r="BG684">
        <f ca="1">IF(AND($AT684&lt;3,OFFSET(DATA!$C$14,$AS684,0)=BG$6),$AV684,dNULL)</f>
        <v>-99</v>
      </c>
      <c r="BH684">
        <f ca="1">IF(AND($AT684&lt;3,OFFSET(DATA!$C$14,$AS684,0)=BH$6),$AV684,dNULL)</f>
        <v>-99</v>
      </c>
    </row>
    <row r="685" spans="45:60" x14ac:dyDescent="0.25">
      <c r="AS685">
        <f t="shared" si="128"/>
        <v>49</v>
      </c>
      <c r="AT685">
        <f t="shared" si="129"/>
        <v>7</v>
      </c>
      <c r="AU685">
        <f t="shared" ca="1" si="130"/>
        <v>-99</v>
      </c>
      <c r="AV685">
        <f t="shared" ca="1" si="131"/>
        <v>-99</v>
      </c>
      <c r="AW685">
        <f ca="1">IF(AND($AT685&lt;3,OFFSET(DATA!$C$14,$AS685,0)=AW$6),$AV685,dNULL)</f>
        <v>-99</v>
      </c>
      <c r="AX685">
        <f ca="1">IF(AND($AT685&lt;3,OFFSET(DATA!$C$14,$AS685,0)=AX$6),$AV685,dNULL)</f>
        <v>-99</v>
      </c>
      <c r="AY685">
        <f ca="1">IF(AND($AT685&lt;3,OFFSET(DATA!$C$14,$AS685,0)=AY$6),$AV685,dNULL)</f>
        <v>-99</v>
      </c>
      <c r="AZ685">
        <f ca="1">IF(AND($AT685&lt;3,OFFSET(DATA!$C$14,$AS685,0)=AZ$6),$AV685,dNULL)</f>
        <v>-99</v>
      </c>
      <c r="BA685">
        <f ca="1">IF(AND($AT685&lt;3,OFFSET(DATA!$C$14,$AS685,0)=BA$6),$AV685,dNULL)</f>
        <v>-99</v>
      </c>
      <c r="BB685">
        <f ca="1">IF(AND($AT685&lt;3,OFFSET(DATA!$C$14,$AS685,0)=BB$6),$AV685,dNULL)</f>
        <v>-99</v>
      </c>
      <c r="BC685">
        <f ca="1">IF(AND($AT685&lt;3,OFFSET(DATA!$C$14,$AS685,0)=BC$6),$AV685,dNULL)</f>
        <v>-99</v>
      </c>
      <c r="BD685">
        <f ca="1">IF(AND($AT685&lt;3,OFFSET(DATA!$C$14,$AS685,0)=BD$6),$AV685,dNULL)</f>
        <v>-99</v>
      </c>
      <c r="BE685">
        <f ca="1">IF(AND($AT685&lt;3,OFFSET(DATA!$C$14,$AS685,0)=BE$6),$AV685,dNULL)</f>
        <v>-99</v>
      </c>
      <c r="BF685">
        <f ca="1">IF(AND($AT685&lt;3,OFFSET(DATA!$C$14,$AS685,0)=BF$6),$AV685,dNULL)</f>
        <v>-99</v>
      </c>
      <c r="BG685">
        <f ca="1">IF(AND($AT685&lt;3,OFFSET(DATA!$C$14,$AS685,0)=BG$6),$AV685,dNULL)</f>
        <v>-99</v>
      </c>
      <c r="BH685">
        <f ca="1">IF(AND($AT685&lt;3,OFFSET(DATA!$C$14,$AS685,0)=BH$6),$AV685,dNULL)</f>
        <v>-99</v>
      </c>
    </row>
    <row r="686" spans="45:60" x14ac:dyDescent="0.25">
      <c r="AS686">
        <f t="shared" si="128"/>
        <v>50</v>
      </c>
      <c r="AT686">
        <f t="shared" si="129"/>
        <v>7</v>
      </c>
      <c r="AU686">
        <f t="shared" ca="1" si="130"/>
        <v>-99</v>
      </c>
      <c r="AV686">
        <f t="shared" ca="1" si="131"/>
        <v>-99</v>
      </c>
      <c r="AW686">
        <f ca="1">IF(AND($AT686&lt;3,OFFSET(DATA!$C$14,$AS686,0)=AW$6),$AV686,dNULL)</f>
        <v>-99</v>
      </c>
      <c r="AX686">
        <f ca="1">IF(AND($AT686&lt;3,OFFSET(DATA!$C$14,$AS686,0)=AX$6),$AV686,dNULL)</f>
        <v>-99</v>
      </c>
      <c r="AY686">
        <f ca="1">IF(AND($AT686&lt;3,OFFSET(DATA!$C$14,$AS686,0)=AY$6),$AV686,dNULL)</f>
        <v>-99</v>
      </c>
      <c r="AZ686">
        <f ca="1">IF(AND($AT686&lt;3,OFFSET(DATA!$C$14,$AS686,0)=AZ$6),$AV686,dNULL)</f>
        <v>-99</v>
      </c>
      <c r="BA686">
        <f ca="1">IF(AND($AT686&lt;3,OFFSET(DATA!$C$14,$AS686,0)=BA$6),$AV686,dNULL)</f>
        <v>-99</v>
      </c>
      <c r="BB686">
        <f ca="1">IF(AND($AT686&lt;3,OFFSET(DATA!$C$14,$AS686,0)=BB$6),$AV686,dNULL)</f>
        <v>-99</v>
      </c>
      <c r="BC686">
        <f ca="1">IF(AND($AT686&lt;3,OFFSET(DATA!$C$14,$AS686,0)=BC$6),$AV686,dNULL)</f>
        <v>-99</v>
      </c>
      <c r="BD686">
        <f ca="1">IF(AND($AT686&lt;3,OFFSET(DATA!$C$14,$AS686,0)=BD$6),$AV686,dNULL)</f>
        <v>-99</v>
      </c>
      <c r="BE686">
        <f ca="1">IF(AND($AT686&lt;3,OFFSET(DATA!$C$14,$AS686,0)=BE$6),$AV686,dNULL)</f>
        <v>-99</v>
      </c>
      <c r="BF686">
        <f ca="1">IF(AND($AT686&lt;3,OFFSET(DATA!$C$14,$AS686,0)=BF$6),$AV686,dNULL)</f>
        <v>-99</v>
      </c>
      <c r="BG686">
        <f ca="1">IF(AND($AT686&lt;3,OFFSET(DATA!$C$14,$AS686,0)=BG$6),$AV686,dNULL)</f>
        <v>-99</v>
      </c>
      <c r="BH686">
        <f ca="1">IF(AND($AT686&lt;3,OFFSET(DATA!$C$14,$AS686,0)=BH$6),$AV686,dNULL)</f>
        <v>-99</v>
      </c>
    </row>
    <row r="687" spans="45:60" x14ac:dyDescent="0.25">
      <c r="AS687">
        <f t="shared" si="128"/>
        <v>51</v>
      </c>
      <c r="AT687">
        <f t="shared" si="129"/>
        <v>7</v>
      </c>
      <c r="AU687">
        <f t="shared" ca="1" si="130"/>
        <v>-99</v>
      </c>
      <c r="AV687">
        <f t="shared" ca="1" si="131"/>
        <v>-99</v>
      </c>
      <c r="AW687">
        <f ca="1">IF(AND($AT687&lt;3,OFFSET(DATA!$C$14,$AS687,0)=AW$6),$AV687,dNULL)</f>
        <v>-99</v>
      </c>
      <c r="AX687">
        <f ca="1">IF(AND($AT687&lt;3,OFFSET(DATA!$C$14,$AS687,0)=AX$6),$AV687,dNULL)</f>
        <v>-99</v>
      </c>
      <c r="AY687">
        <f ca="1">IF(AND($AT687&lt;3,OFFSET(DATA!$C$14,$AS687,0)=AY$6),$AV687,dNULL)</f>
        <v>-99</v>
      </c>
      <c r="AZ687">
        <f ca="1">IF(AND($AT687&lt;3,OFFSET(DATA!$C$14,$AS687,0)=AZ$6),$AV687,dNULL)</f>
        <v>-99</v>
      </c>
      <c r="BA687">
        <f ca="1">IF(AND($AT687&lt;3,OFFSET(DATA!$C$14,$AS687,0)=BA$6),$AV687,dNULL)</f>
        <v>-99</v>
      </c>
      <c r="BB687">
        <f ca="1">IF(AND($AT687&lt;3,OFFSET(DATA!$C$14,$AS687,0)=BB$6),$AV687,dNULL)</f>
        <v>-99</v>
      </c>
      <c r="BC687">
        <f ca="1">IF(AND($AT687&lt;3,OFFSET(DATA!$C$14,$AS687,0)=BC$6),$AV687,dNULL)</f>
        <v>-99</v>
      </c>
      <c r="BD687">
        <f ca="1">IF(AND($AT687&lt;3,OFFSET(DATA!$C$14,$AS687,0)=BD$6),$AV687,dNULL)</f>
        <v>-99</v>
      </c>
      <c r="BE687">
        <f ca="1">IF(AND($AT687&lt;3,OFFSET(DATA!$C$14,$AS687,0)=BE$6),$AV687,dNULL)</f>
        <v>-99</v>
      </c>
      <c r="BF687">
        <f ca="1">IF(AND($AT687&lt;3,OFFSET(DATA!$C$14,$AS687,0)=BF$6),$AV687,dNULL)</f>
        <v>-99</v>
      </c>
      <c r="BG687">
        <f ca="1">IF(AND($AT687&lt;3,OFFSET(DATA!$C$14,$AS687,0)=BG$6),$AV687,dNULL)</f>
        <v>-99</v>
      </c>
      <c r="BH687">
        <f ca="1">IF(AND($AT687&lt;3,OFFSET(DATA!$C$14,$AS687,0)=BH$6),$AV687,dNULL)</f>
        <v>-99</v>
      </c>
    </row>
    <row r="688" spans="45:60" x14ac:dyDescent="0.25">
      <c r="AS688">
        <f t="shared" si="128"/>
        <v>52</v>
      </c>
      <c r="AT688">
        <f t="shared" si="129"/>
        <v>7</v>
      </c>
      <c r="AU688">
        <f t="shared" ca="1" si="130"/>
        <v>-99</v>
      </c>
      <c r="AV688">
        <f t="shared" ca="1" si="131"/>
        <v>-99</v>
      </c>
      <c r="AW688">
        <f ca="1">IF(AND($AT688&lt;3,OFFSET(DATA!$C$14,$AS688,0)=AW$6),$AV688,dNULL)</f>
        <v>-99</v>
      </c>
      <c r="AX688">
        <f ca="1">IF(AND($AT688&lt;3,OFFSET(DATA!$C$14,$AS688,0)=AX$6),$AV688,dNULL)</f>
        <v>-99</v>
      </c>
      <c r="AY688">
        <f ca="1">IF(AND($AT688&lt;3,OFFSET(DATA!$C$14,$AS688,0)=AY$6),$AV688,dNULL)</f>
        <v>-99</v>
      </c>
      <c r="AZ688">
        <f ca="1">IF(AND($AT688&lt;3,OFFSET(DATA!$C$14,$AS688,0)=AZ$6),$AV688,dNULL)</f>
        <v>-99</v>
      </c>
      <c r="BA688">
        <f ca="1">IF(AND($AT688&lt;3,OFFSET(DATA!$C$14,$AS688,0)=BA$6),$AV688,dNULL)</f>
        <v>-99</v>
      </c>
      <c r="BB688">
        <f ca="1">IF(AND($AT688&lt;3,OFFSET(DATA!$C$14,$AS688,0)=BB$6),$AV688,dNULL)</f>
        <v>-99</v>
      </c>
      <c r="BC688">
        <f ca="1">IF(AND($AT688&lt;3,OFFSET(DATA!$C$14,$AS688,0)=BC$6),$AV688,dNULL)</f>
        <v>-99</v>
      </c>
      <c r="BD688">
        <f ca="1">IF(AND($AT688&lt;3,OFFSET(DATA!$C$14,$AS688,0)=BD$6),$AV688,dNULL)</f>
        <v>-99</v>
      </c>
      <c r="BE688">
        <f ca="1">IF(AND($AT688&lt;3,OFFSET(DATA!$C$14,$AS688,0)=BE$6),$AV688,dNULL)</f>
        <v>-99</v>
      </c>
      <c r="BF688">
        <f ca="1">IF(AND($AT688&lt;3,OFFSET(DATA!$C$14,$AS688,0)=BF$6),$AV688,dNULL)</f>
        <v>-99</v>
      </c>
      <c r="BG688">
        <f ca="1">IF(AND($AT688&lt;3,OFFSET(DATA!$C$14,$AS688,0)=BG$6),$AV688,dNULL)</f>
        <v>-99</v>
      </c>
      <c r="BH688">
        <f ca="1">IF(AND($AT688&lt;3,OFFSET(DATA!$C$14,$AS688,0)=BH$6),$AV688,dNULL)</f>
        <v>-99</v>
      </c>
    </row>
    <row r="689" spans="45:60" x14ac:dyDescent="0.25">
      <c r="AS689">
        <f t="shared" si="128"/>
        <v>53</v>
      </c>
      <c r="AT689">
        <f t="shared" si="129"/>
        <v>7</v>
      </c>
      <c r="AU689">
        <f t="shared" ca="1" si="130"/>
        <v>-99</v>
      </c>
      <c r="AV689">
        <f t="shared" ca="1" si="131"/>
        <v>-99</v>
      </c>
      <c r="AW689">
        <f ca="1">IF(AND($AT689&lt;3,OFFSET(DATA!$C$14,$AS689,0)=AW$6),$AV689,dNULL)</f>
        <v>-99</v>
      </c>
      <c r="AX689">
        <f ca="1">IF(AND($AT689&lt;3,OFFSET(DATA!$C$14,$AS689,0)=AX$6),$AV689,dNULL)</f>
        <v>-99</v>
      </c>
      <c r="AY689">
        <f ca="1">IF(AND($AT689&lt;3,OFFSET(DATA!$C$14,$AS689,0)=AY$6),$AV689,dNULL)</f>
        <v>-99</v>
      </c>
      <c r="AZ689">
        <f ca="1">IF(AND($AT689&lt;3,OFFSET(DATA!$C$14,$AS689,0)=AZ$6),$AV689,dNULL)</f>
        <v>-99</v>
      </c>
      <c r="BA689">
        <f ca="1">IF(AND($AT689&lt;3,OFFSET(DATA!$C$14,$AS689,0)=BA$6),$AV689,dNULL)</f>
        <v>-99</v>
      </c>
      <c r="BB689">
        <f ca="1">IF(AND($AT689&lt;3,OFFSET(DATA!$C$14,$AS689,0)=BB$6),$AV689,dNULL)</f>
        <v>-99</v>
      </c>
      <c r="BC689">
        <f ca="1">IF(AND($AT689&lt;3,OFFSET(DATA!$C$14,$AS689,0)=BC$6),$AV689,dNULL)</f>
        <v>-99</v>
      </c>
      <c r="BD689">
        <f ca="1">IF(AND($AT689&lt;3,OFFSET(DATA!$C$14,$AS689,0)=BD$6),$AV689,dNULL)</f>
        <v>-99</v>
      </c>
      <c r="BE689">
        <f ca="1">IF(AND($AT689&lt;3,OFFSET(DATA!$C$14,$AS689,0)=BE$6),$AV689,dNULL)</f>
        <v>-99</v>
      </c>
      <c r="BF689">
        <f ca="1">IF(AND($AT689&lt;3,OFFSET(DATA!$C$14,$AS689,0)=BF$6),$AV689,dNULL)</f>
        <v>-99</v>
      </c>
      <c r="BG689">
        <f ca="1">IF(AND($AT689&lt;3,OFFSET(DATA!$C$14,$AS689,0)=BG$6),$AV689,dNULL)</f>
        <v>-99</v>
      </c>
      <c r="BH689">
        <f ca="1">IF(AND($AT689&lt;3,OFFSET(DATA!$C$14,$AS689,0)=BH$6),$AV689,dNULL)</f>
        <v>-99</v>
      </c>
    </row>
    <row r="690" spans="45:60" x14ac:dyDescent="0.25">
      <c r="AS690">
        <f t="shared" si="128"/>
        <v>54</v>
      </c>
      <c r="AT690">
        <f t="shared" si="129"/>
        <v>7</v>
      </c>
      <c r="AU690">
        <f t="shared" ca="1" si="130"/>
        <v>-99</v>
      </c>
      <c r="AV690">
        <f t="shared" ca="1" si="131"/>
        <v>-99</v>
      </c>
      <c r="AW690">
        <f ca="1">IF(AND($AT690&lt;3,OFFSET(DATA!$C$14,$AS690,0)=AW$6),$AV690,dNULL)</f>
        <v>-99</v>
      </c>
      <c r="AX690">
        <f ca="1">IF(AND($AT690&lt;3,OFFSET(DATA!$C$14,$AS690,0)=AX$6),$AV690,dNULL)</f>
        <v>-99</v>
      </c>
      <c r="AY690">
        <f ca="1">IF(AND($AT690&lt;3,OFFSET(DATA!$C$14,$AS690,0)=AY$6),$AV690,dNULL)</f>
        <v>-99</v>
      </c>
      <c r="AZ690">
        <f ca="1">IF(AND($AT690&lt;3,OFFSET(DATA!$C$14,$AS690,0)=AZ$6),$AV690,dNULL)</f>
        <v>-99</v>
      </c>
      <c r="BA690">
        <f ca="1">IF(AND($AT690&lt;3,OFFSET(DATA!$C$14,$AS690,0)=BA$6),$AV690,dNULL)</f>
        <v>-99</v>
      </c>
      <c r="BB690">
        <f ca="1">IF(AND($AT690&lt;3,OFFSET(DATA!$C$14,$AS690,0)=BB$6),$AV690,dNULL)</f>
        <v>-99</v>
      </c>
      <c r="BC690">
        <f ca="1">IF(AND($AT690&lt;3,OFFSET(DATA!$C$14,$AS690,0)=BC$6),$AV690,dNULL)</f>
        <v>-99</v>
      </c>
      <c r="BD690">
        <f ca="1">IF(AND($AT690&lt;3,OFFSET(DATA!$C$14,$AS690,0)=BD$6),$AV690,dNULL)</f>
        <v>-99</v>
      </c>
      <c r="BE690">
        <f ca="1">IF(AND($AT690&lt;3,OFFSET(DATA!$C$14,$AS690,0)=BE$6),$AV690,dNULL)</f>
        <v>-99</v>
      </c>
      <c r="BF690">
        <f ca="1">IF(AND($AT690&lt;3,OFFSET(DATA!$C$14,$AS690,0)=BF$6),$AV690,dNULL)</f>
        <v>-99</v>
      </c>
      <c r="BG690">
        <f ca="1">IF(AND($AT690&lt;3,OFFSET(DATA!$C$14,$AS690,0)=BG$6),$AV690,dNULL)</f>
        <v>-99</v>
      </c>
      <c r="BH690">
        <f ca="1">IF(AND($AT690&lt;3,OFFSET(DATA!$C$14,$AS690,0)=BH$6),$AV690,dNULL)</f>
        <v>-99</v>
      </c>
    </row>
    <row r="691" spans="45:60" x14ac:dyDescent="0.25">
      <c r="AS691">
        <f t="shared" si="128"/>
        <v>55</v>
      </c>
      <c r="AT691">
        <f t="shared" si="129"/>
        <v>7</v>
      </c>
      <c r="AU691">
        <f t="shared" ca="1" si="130"/>
        <v>-99</v>
      </c>
      <c r="AV691">
        <f t="shared" ca="1" si="131"/>
        <v>-99</v>
      </c>
      <c r="AW691">
        <f ca="1">IF(AND($AT691&lt;3,OFFSET(DATA!$C$14,$AS691,0)=AW$6),$AV691,dNULL)</f>
        <v>-99</v>
      </c>
      <c r="AX691">
        <f ca="1">IF(AND($AT691&lt;3,OFFSET(DATA!$C$14,$AS691,0)=AX$6),$AV691,dNULL)</f>
        <v>-99</v>
      </c>
      <c r="AY691">
        <f ca="1">IF(AND($AT691&lt;3,OFFSET(DATA!$C$14,$AS691,0)=AY$6),$AV691,dNULL)</f>
        <v>-99</v>
      </c>
      <c r="AZ691">
        <f ca="1">IF(AND($AT691&lt;3,OFFSET(DATA!$C$14,$AS691,0)=AZ$6),$AV691,dNULL)</f>
        <v>-99</v>
      </c>
      <c r="BA691">
        <f ca="1">IF(AND($AT691&lt;3,OFFSET(DATA!$C$14,$AS691,0)=BA$6),$AV691,dNULL)</f>
        <v>-99</v>
      </c>
      <c r="BB691">
        <f ca="1">IF(AND($AT691&lt;3,OFFSET(DATA!$C$14,$AS691,0)=BB$6),$AV691,dNULL)</f>
        <v>-99</v>
      </c>
      <c r="BC691">
        <f ca="1">IF(AND($AT691&lt;3,OFFSET(DATA!$C$14,$AS691,0)=BC$6),$AV691,dNULL)</f>
        <v>-99</v>
      </c>
      <c r="BD691">
        <f ca="1">IF(AND($AT691&lt;3,OFFSET(DATA!$C$14,$AS691,0)=BD$6),$AV691,dNULL)</f>
        <v>-99</v>
      </c>
      <c r="BE691">
        <f ca="1">IF(AND($AT691&lt;3,OFFSET(DATA!$C$14,$AS691,0)=BE$6),$AV691,dNULL)</f>
        <v>-99</v>
      </c>
      <c r="BF691">
        <f ca="1">IF(AND($AT691&lt;3,OFFSET(DATA!$C$14,$AS691,0)=BF$6),$AV691,dNULL)</f>
        <v>-99</v>
      </c>
      <c r="BG691">
        <f ca="1">IF(AND($AT691&lt;3,OFFSET(DATA!$C$14,$AS691,0)=BG$6),$AV691,dNULL)</f>
        <v>-99</v>
      </c>
      <c r="BH691">
        <f ca="1">IF(AND($AT691&lt;3,OFFSET(DATA!$C$14,$AS691,0)=BH$6),$AV691,dNULL)</f>
        <v>-99</v>
      </c>
    </row>
    <row r="692" spans="45:60" x14ac:dyDescent="0.25">
      <c r="AS692">
        <f t="shared" si="128"/>
        <v>56</v>
      </c>
      <c r="AT692">
        <f t="shared" si="129"/>
        <v>7</v>
      </c>
      <c r="AU692">
        <f t="shared" ca="1" si="130"/>
        <v>-99</v>
      </c>
      <c r="AV692">
        <f t="shared" ca="1" si="131"/>
        <v>-99</v>
      </c>
      <c r="AW692">
        <f ca="1">IF(AND($AT692&lt;3,OFFSET(DATA!$C$14,$AS692,0)=AW$6),$AV692,dNULL)</f>
        <v>-99</v>
      </c>
      <c r="AX692">
        <f ca="1">IF(AND($AT692&lt;3,OFFSET(DATA!$C$14,$AS692,0)=AX$6),$AV692,dNULL)</f>
        <v>-99</v>
      </c>
      <c r="AY692">
        <f ca="1">IF(AND($AT692&lt;3,OFFSET(DATA!$C$14,$AS692,0)=AY$6),$AV692,dNULL)</f>
        <v>-99</v>
      </c>
      <c r="AZ692">
        <f ca="1">IF(AND($AT692&lt;3,OFFSET(DATA!$C$14,$AS692,0)=AZ$6),$AV692,dNULL)</f>
        <v>-99</v>
      </c>
      <c r="BA692">
        <f ca="1">IF(AND($AT692&lt;3,OFFSET(DATA!$C$14,$AS692,0)=BA$6),$AV692,dNULL)</f>
        <v>-99</v>
      </c>
      <c r="BB692">
        <f ca="1">IF(AND($AT692&lt;3,OFFSET(DATA!$C$14,$AS692,0)=BB$6),$AV692,dNULL)</f>
        <v>-99</v>
      </c>
      <c r="BC692">
        <f ca="1">IF(AND($AT692&lt;3,OFFSET(DATA!$C$14,$AS692,0)=BC$6),$AV692,dNULL)</f>
        <v>-99</v>
      </c>
      <c r="BD692">
        <f ca="1">IF(AND($AT692&lt;3,OFFSET(DATA!$C$14,$AS692,0)=BD$6),$AV692,dNULL)</f>
        <v>-99</v>
      </c>
      <c r="BE692">
        <f ca="1">IF(AND($AT692&lt;3,OFFSET(DATA!$C$14,$AS692,0)=BE$6),$AV692,dNULL)</f>
        <v>-99</v>
      </c>
      <c r="BF692">
        <f ca="1">IF(AND($AT692&lt;3,OFFSET(DATA!$C$14,$AS692,0)=BF$6),$AV692,dNULL)</f>
        <v>-99</v>
      </c>
      <c r="BG692">
        <f ca="1">IF(AND($AT692&lt;3,OFFSET(DATA!$C$14,$AS692,0)=BG$6),$AV692,dNULL)</f>
        <v>-99</v>
      </c>
      <c r="BH692">
        <f ca="1">IF(AND($AT692&lt;3,OFFSET(DATA!$C$14,$AS692,0)=BH$6),$AV692,dNULL)</f>
        <v>-99</v>
      </c>
    </row>
    <row r="693" spans="45:60" x14ac:dyDescent="0.25">
      <c r="AS693">
        <f t="shared" si="128"/>
        <v>57</v>
      </c>
      <c r="AT693">
        <f t="shared" si="129"/>
        <v>7</v>
      </c>
      <c r="AU693">
        <f t="shared" ca="1" si="130"/>
        <v>-99</v>
      </c>
      <c r="AV693">
        <f t="shared" ca="1" si="131"/>
        <v>-99</v>
      </c>
      <c r="AW693">
        <f ca="1">IF(AND($AT693&lt;3,OFFSET(DATA!$C$14,$AS693,0)=AW$6),$AV693,dNULL)</f>
        <v>-99</v>
      </c>
      <c r="AX693">
        <f ca="1">IF(AND($AT693&lt;3,OFFSET(DATA!$C$14,$AS693,0)=AX$6),$AV693,dNULL)</f>
        <v>-99</v>
      </c>
      <c r="AY693">
        <f ca="1">IF(AND($AT693&lt;3,OFFSET(DATA!$C$14,$AS693,0)=AY$6),$AV693,dNULL)</f>
        <v>-99</v>
      </c>
      <c r="AZ693">
        <f ca="1">IF(AND($AT693&lt;3,OFFSET(DATA!$C$14,$AS693,0)=AZ$6),$AV693,dNULL)</f>
        <v>-99</v>
      </c>
      <c r="BA693">
        <f ca="1">IF(AND($AT693&lt;3,OFFSET(DATA!$C$14,$AS693,0)=BA$6),$AV693,dNULL)</f>
        <v>-99</v>
      </c>
      <c r="BB693">
        <f ca="1">IF(AND($AT693&lt;3,OFFSET(DATA!$C$14,$AS693,0)=BB$6),$AV693,dNULL)</f>
        <v>-99</v>
      </c>
      <c r="BC693">
        <f ca="1">IF(AND($AT693&lt;3,OFFSET(DATA!$C$14,$AS693,0)=BC$6),$AV693,dNULL)</f>
        <v>-99</v>
      </c>
      <c r="BD693">
        <f ca="1">IF(AND($AT693&lt;3,OFFSET(DATA!$C$14,$AS693,0)=BD$6),$AV693,dNULL)</f>
        <v>-99</v>
      </c>
      <c r="BE693">
        <f ca="1">IF(AND($AT693&lt;3,OFFSET(DATA!$C$14,$AS693,0)=BE$6),$AV693,dNULL)</f>
        <v>-99</v>
      </c>
      <c r="BF693">
        <f ca="1">IF(AND($AT693&lt;3,OFFSET(DATA!$C$14,$AS693,0)=BF$6),$AV693,dNULL)</f>
        <v>-99</v>
      </c>
      <c r="BG693">
        <f ca="1">IF(AND($AT693&lt;3,OFFSET(DATA!$C$14,$AS693,0)=BG$6),$AV693,dNULL)</f>
        <v>-99</v>
      </c>
      <c r="BH693">
        <f ca="1">IF(AND($AT693&lt;3,OFFSET(DATA!$C$14,$AS693,0)=BH$6),$AV693,dNULL)</f>
        <v>-99</v>
      </c>
    </row>
    <row r="694" spans="45:60" x14ac:dyDescent="0.25">
      <c r="AS694">
        <f t="shared" si="128"/>
        <v>58</v>
      </c>
      <c r="AT694">
        <f t="shared" si="129"/>
        <v>7</v>
      </c>
      <c r="AU694">
        <f t="shared" ca="1" si="130"/>
        <v>-99</v>
      </c>
      <c r="AV694">
        <f t="shared" ca="1" si="131"/>
        <v>-99</v>
      </c>
      <c r="AW694">
        <f ca="1">IF(AND($AT694&lt;3,OFFSET(DATA!$C$14,$AS694,0)=AW$6),$AV694,dNULL)</f>
        <v>-99</v>
      </c>
      <c r="AX694">
        <f ca="1">IF(AND($AT694&lt;3,OFFSET(DATA!$C$14,$AS694,0)=AX$6),$AV694,dNULL)</f>
        <v>-99</v>
      </c>
      <c r="AY694">
        <f ca="1">IF(AND($AT694&lt;3,OFFSET(DATA!$C$14,$AS694,0)=AY$6),$AV694,dNULL)</f>
        <v>-99</v>
      </c>
      <c r="AZ694">
        <f ca="1">IF(AND($AT694&lt;3,OFFSET(DATA!$C$14,$AS694,0)=AZ$6),$AV694,dNULL)</f>
        <v>-99</v>
      </c>
      <c r="BA694">
        <f ca="1">IF(AND($AT694&lt;3,OFFSET(DATA!$C$14,$AS694,0)=BA$6),$AV694,dNULL)</f>
        <v>-99</v>
      </c>
      <c r="BB694">
        <f ca="1">IF(AND($AT694&lt;3,OFFSET(DATA!$C$14,$AS694,0)=BB$6),$AV694,dNULL)</f>
        <v>-99</v>
      </c>
      <c r="BC694">
        <f ca="1">IF(AND($AT694&lt;3,OFFSET(DATA!$C$14,$AS694,0)=BC$6),$AV694,dNULL)</f>
        <v>-99</v>
      </c>
      <c r="BD694">
        <f ca="1">IF(AND($AT694&lt;3,OFFSET(DATA!$C$14,$AS694,0)=BD$6),$AV694,dNULL)</f>
        <v>-99</v>
      </c>
      <c r="BE694">
        <f ca="1">IF(AND($AT694&lt;3,OFFSET(DATA!$C$14,$AS694,0)=BE$6),$AV694,dNULL)</f>
        <v>-99</v>
      </c>
      <c r="BF694">
        <f ca="1">IF(AND($AT694&lt;3,OFFSET(DATA!$C$14,$AS694,0)=BF$6),$AV694,dNULL)</f>
        <v>-99</v>
      </c>
      <c r="BG694">
        <f ca="1">IF(AND($AT694&lt;3,OFFSET(DATA!$C$14,$AS694,0)=BG$6),$AV694,dNULL)</f>
        <v>-99</v>
      </c>
      <c r="BH694">
        <f ca="1">IF(AND($AT694&lt;3,OFFSET(DATA!$C$14,$AS694,0)=BH$6),$AV694,dNULL)</f>
        <v>-99</v>
      </c>
    </row>
    <row r="695" spans="45:60" x14ac:dyDescent="0.25">
      <c r="AS695">
        <f t="shared" si="128"/>
        <v>59</v>
      </c>
      <c r="AT695">
        <f t="shared" si="129"/>
        <v>7</v>
      </c>
      <c r="AU695">
        <f t="shared" ca="1" si="130"/>
        <v>-99</v>
      </c>
      <c r="AV695">
        <f t="shared" ca="1" si="131"/>
        <v>-99</v>
      </c>
      <c r="AW695">
        <f ca="1">IF(AND($AT695&lt;3,OFFSET(DATA!$C$14,$AS695,0)=AW$6),$AV695,dNULL)</f>
        <v>-99</v>
      </c>
      <c r="AX695">
        <f ca="1">IF(AND($AT695&lt;3,OFFSET(DATA!$C$14,$AS695,0)=AX$6),$AV695,dNULL)</f>
        <v>-99</v>
      </c>
      <c r="AY695">
        <f ca="1">IF(AND($AT695&lt;3,OFFSET(DATA!$C$14,$AS695,0)=AY$6),$AV695,dNULL)</f>
        <v>-99</v>
      </c>
      <c r="AZ695">
        <f ca="1">IF(AND($AT695&lt;3,OFFSET(DATA!$C$14,$AS695,0)=AZ$6),$AV695,dNULL)</f>
        <v>-99</v>
      </c>
      <c r="BA695">
        <f ca="1">IF(AND($AT695&lt;3,OFFSET(DATA!$C$14,$AS695,0)=BA$6),$AV695,dNULL)</f>
        <v>-99</v>
      </c>
      <c r="BB695">
        <f ca="1">IF(AND($AT695&lt;3,OFFSET(DATA!$C$14,$AS695,0)=BB$6),$AV695,dNULL)</f>
        <v>-99</v>
      </c>
      <c r="BC695">
        <f ca="1">IF(AND($AT695&lt;3,OFFSET(DATA!$C$14,$AS695,0)=BC$6),$AV695,dNULL)</f>
        <v>-99</v>
      </c>
      <c r="BD695">
        <f ca="1">IF(AND($AT695&lt;3,OFFSET(DATA!$C$14,$AS695,0)=BD$6),$AV695,dNULL)</f>
        <v>-99</v>
      </c>
      <c r="BE695">
        <f ca="1">IF(AND($AT695&lt;3,OFFSET(DATA!$C$14,$AS695,0)=BE$6),$AV695,dNULL)</f>
        <v>-99</v>
      </c>
      <c r="BF695">
        <f ca="1">IF(AND($AT695&lt;3,OFFSET(DATA!$C$14,$AS695,0)=BF$6),$AV695,dNULL)</f>
        <v>-99</v>
      </c>
      <c r="BG695">
        <f ca="1">IF(AND($AT695&lt;3,OFFSET(DATA!$C$14,$AS695,0)=BG$6),$AV695,dNULL)</f>
        <v>-99</v>
      </c>
      <c r="BH695">
        <f ca="1">IF(AND($AT695&lt;3,OFFSET(DATA!$C$14,$AS695,0)=BH$6),$AV695,dNULL)</f>
        <v>-99</v>
      </c>
    </row>
    <row r="696" spans="45:60" x14ac:dyDescent="0.25">
      <c r="AS696">
        <f t="shared" si="128"/>
        <v>60</v>
      </c>
      <c r="AT696">
        <f t="shared" si="129"/>
        <v>7</v>
      </c>
      <c r="AU696">
        <f t="shared" ca="1" si="130"/>
        <v>-99</v>
      </c>
      <c r="AV696">
        <f t="shared" ca="1" si="131"/>
        <v>-99</v>
      </c>
      <c r="AW696">
        <f ca="1">IF(AND($AT696&lt;3,OFFSET(DATA!$C$14,$AS696,0)=AW$6),$AV696,dNULL)</f>
        <v>-99</v>
      </c>
      <c r="AX696">
        <f ca="1">IF(AND($AT696&lt;3,OFFSET(DATA!$C$14,$AS696,0)=AX$6),$AV696,dNULL)</f>
        <v>-99</v>
      </c>
      <c r="AY696">
        <f ca="1">IF(AND($AT696&lt;3,OFFSET(DATA!$C$14,$AS696,0)=AY$6),$AV696,dNULL)</f>
        <v>-99</v>
      </c>
      <c r="AZ696">
        <f ca="1">IF(AND($AT696&lt;3,OFFSET(DATA!$C$14,$AS696,0)=AZ$6),$AV696,dNULL)</f>
        <v>-99</v>
      </c>
      <c r="BA696">
        <f ca="1">IF(AND($AT696&lt;3,OFFSET(DATA!$C$14,$AS696,0)=BA$6),$AV696,dNULL)</f>
        <v>-99</v>
      </c>
      <c r="BB696">
        <f ca="1">IF(AND($AT696&lt;3,OFFSET(DATA!$C$14,$AS696,0)=BB$6),$AV696,dNULL)</f>
        <v>-99</v>
      </c>
      <c r="BC696">
        <f ca="1">IF(AND($AT696&lt;3,OFFSET(DATA!$C$14,$AS696,0)=BC$6),$AV696,dNULL)</f>
        <v>-99</v>
      </c>
      <c r="BD696">
        <f ca="1">IF(AND($AT696&lt;3,OFFSET(DATA!$C$14,$AS696,0)=BD$6),$AV696,dNULL)</f>
        <v>-99</v>
      </c>
      <c r="BE696">
        <f ca="1">IF(AND($AT696&lt;3,OFFSET(DATA!$C$14,$AS696,0)=BE$6),$AV696,dNULL)</f>
        <v>-99</v>
      </c>
      <c r="BF696">
        <f ca="1">IF(AND($AT696&lt;3,OFFSET(DATA!$C$14,$AS696,0)=BF$6),$AV696,dNULL)</f>
        <v>-99</v>
      </c>
      <c r="BG696">
        <f ca="1">IF(AND($AT696&lt;3,OFFSET(DATA!$C$14,$AS696,0)=BG$6),$AV696,dNULL)</f>
        <v>-99</v>
      </c>
      <c r="BH696">
        <f ca="1">IF(AND($AT696&lt;3,OFFSET(DATA!$C$14,$AS696,0)=BH$6),$AV696,dNULL)</f>
        <v>-99</v>
      </c>
    </row>
    <row r="697" spans="45:60" x14ac:dyDescent="0.25">
      <c r="AS697">
        <f t="shared" si="128"/>
        <v>61</v>
      </c>
      <c r="AT697">
        <f t="shared" si="129"/>
        <v>7</v>
      </c>
      <c r="AU697">
        <f t="shared" ca="1" si="130"/>
        <v>-99</v>
      </c>
      <c r="AV697">
        <f t="shared" ca="1" si="131"/>
        <v>-99</v>
      </c>
      <c r="AW697">
        <f ca="1">IF(AND($AT697&lt;3,OFFSET(DATA!$C$14,$AS697,0)=AW$6),$AV697,dNULL)</f>
        <v>-99</v>
      </c>
      <c r="AX697">
        <f ca="1">IF(AND($AT697&lt;3,OFFSET(DATA!$C$14,$AS697,0)=AX$6),$AV697,dNULL)</f>
        <v>-99</v>
      </c>
      <c r="AY697">
        <f ca="1">IF(AND($AT697&lt;3,OFFSET(DATA!$C$14,$AS697,0)=AY$6),$AV697,dNULL)</f>
        <v>-99</v>
      </c>
      <c r="AZ697">
        <f ca="1">IF(AND($AT697&lt;3,OFFSET(DATA!$C$14,$AS697,0)=AZ$6),$AV697,dNULL)</f>
        <v>-99</v>
      </c>
      <c r="BA697">
        <f ca="1">IF(AND($AT697&lt;3,OFFSET(DATA!$C$14,$AS697,0)=BA$6),$AV697,dNULL)</f>
        <v>-99</v>
      </c>
      <c r="BB697">
        <f ca="1">IF(AND($AT697&lt;3,OFFSET(DATA!$C$14,$AS697,0)=BB$6),$AV697,dNULL)</f>
        <v>-99</v>
      </c>
      <c r="BC697">
        <f ca="1">IF(AND($AT697&lt;3,OFFSET(DATA!$C$14,$AS697,0)=BC$6),$AV697,dNULL)</f>
        <v>-99</v>
      </c>
      <c r="BD697">
        <f ca="1">IF(AND($AT697&lt;3,OFFSET(DATA!$C$14,$AS697,0)=BD$6),$AV697,dNULL)</f>
        <v>-99</v>
      </c>
      <c r="BE697">
        <f ca="1">IF(AND($AT697&lt;3,OFFSET(DATA!$C$14,$AS697,0)=BE$6),$AV697,dNULL)</f>
        <v>-99</v>
      </c>
      <c r="BF697">
        <f ca="1">IF(AND($AT697&lt;3,OFFSET(DATA!$C$14,$AS697,0)=BF$6),$AV697,dNULL)</f>
        <v>-99</v>
      </c>
      <c r="BG697">
        <f ca="1">IF(AND($AT697&lt;3,OFFSET(DATA!$C$14,$AS697,0)=BG$6),$AV697,dNULL)</f>
        <v>-99</v>
      </c>
      <c r="BH697">
        <f ca="1">IF(AND($AT697&lt;3,OFFSET(DATA!$C$14,$AS697,0)=BH$6),$AV697,dNULL)</f>
        <v>-99</v>
      </c>
    </row>
    <row r="698" spans="45:60" x14ac:dyDescent="0.25">
      <c r="AS698">
        <f t="shared" si="128"/>
        <v>62</v>
      </c>
      <c r="AT698">
        <f t="shared" si="129"/>
        <v>7</v>
      </c>
      <c r="AU698">
        <f t="shared" ca="1" si="130"/>
        <v>-99</v>
      </c>
      <c r="AV698">
        <f t="shared" ca="1" si="131"/>
        <v>-99</v>
      </c>
      <c r="AW698">
        <f ca="1">IF(AND($AT698&lt;3,OFFSET(DATA!$C$14,$AS698,0)=AW$6),$AV698,dNULL)</f>
        <v>-99</v>
      </c>
      <c r="AX698">
        <f ca="1">IF(AND($AT698&lt;3,OFFSET(DATA!$C$14,$AS698,0)=AX$6),$AV698,dNULL)</f>
        <v>-99</v>
      </c>
      <c r="AY698">
        <f ca="1">IF(AND($AT698&lt;3,OFFSET(DATA!$C$14,$AS698,0)=AY$6),$AV698,dNULL)</f>
        <v>-99</v>
      </c>
      <c r="AZ698">
        <f ca="1">IF(AND($AT698&lt;3,OFFSET(DATA!$C$14,$AS698,0)=AZ$6),$AV698,dNULL)</f>
        <v>-99</v>
      </c>
      <c r="BA698">
        <f ca="1">IF(AND($AT698&lt;3,OFFSET(DATA!$C$14,$AS698,0)=BA$6),$AV698,dNULL)</f>
        <v>-99</v>
      </c>
      <c r="BB698">
        <f ca="1">IF(AND($AT698&lt;3,OFFSET(DATA!$C$14,$AS698,0)=BB$6),$AV698,dNULL)</f>
        <v>-99</v>
      </c>
      <c r="BC698">
        <f ca="1">IF(AND($AT698&lt;3,OFFSET(DATA!$C$14,$AS698,0)=BC$6),$AV698,dNULL)</f>
        <v>-99</v>
      </c>
      <c r="BD698">
        <f ca="1">IF(AND($AT698&lt;3,OFFSET(DATA!$C$14,$AS698,0)=BD$6),$AV698,dNULL)</f>
        <v>-99</v>
      </c>
      <c r="BE698">
        <f ca="1">IF(AND($AT698&lt;3,OFFSET(DATA!$C$14,$AS698,0)=BE$6),$AV698,dNULL)</f>
        <v>-99</v>
      </c>
      <c r="BF698">
        <f ca="1">IF(AND($AT698&lt;3,OFFSET(DATA!$C$14,$AS698,0)=BF$6),$AV698,dNULL)</f>
        <v>-99</v>
      </c>
      <c r="BG698">
        <f ca="1">IF(AND($AT698&lt;3,OFFSET(DATA!$C$14,$AS698,0)=BG$6),$AV698,dNULL)</f>
        <v>-99</v>
      </c>
      <c r="BH698">
        <f ca="1">IF(AND($AT698&lt;3,OFFSET(DATA!$C$14,$AS698,0)=BH$6),$AV698,dNULL)</f>
        <v>-99</v>
      </c>
    </row>
    <row r="699" spans="45:60" x14ac:dyDescent="0.25">
      <c r="AS699">
        <f t="shared" si="128"/>
        <v>63</v>
      </c>
      <c r="AT699">
        <f t="shared" si="129"/>
        <v>7</v>
      </c>
      <c r="AU699">
        <f t="shared" ca="1" si="130"/>
        <v>-99</v>
      </c>
      <c r="AV699">
        <f t="shared" ca="1" si="131"/>
        <v>-99</v>
      </c>
      <c r="AW699">
        <f ca="1">IF(AND($AT699&lt;3,OFFSET(DATA!$C$14,$AS699,0)=AW$6),$AV699,dNULL)</f>
        <v>-99</v>
      </c>
      <c r="AX699">
        <f ca="1">IF(AND($AT699&lt;3,OFFSET(DATA!$C$14,$AS699,0)=AX$6),$AV699,dNULL)</f>
        <v>-99</v>
      </c>
      <c r="AY699">
        <f ca="1">IF(AND($AT699&lt;3,OFFSET(DATA!$C$14,$AS699,0)=AY$6),$AV699,dNULL)</f>
        <v>-99</v>
      </c>
      <c r="AZ699">
        <f ca="1">IF(AND($AT699&lt;3,OFFSET(DATA!$C$14,$AS699,0)=AZ$6),$AV699,dNULL)</f>
        <v>-99</v>
      </c>
      <c r="BA699">
        <f ca="1">IF(AND($AT699&lt;3,OFFSET(DATA!$C$14,$AS699,0)=BA$6),$AV699,dNULL)</f>
        <v>-99</v>
      </c>
      <c r="BB699">
        <f ca="1">IF(AND($AT699&lt;3,OFFSET(DATA!$C$14,$AS699,0)=BB$6),$AV699,dNULL)</f>
        <v>-99</v>
      </c>
      <c r="BC699">
        <f ca="1">IF(AND($AT699&lt;3,OFFSET(DATA!$C$14,$AS699,0)=BC$6),$AV699,dNULL)</f>
        <v>-99</v>
      </c>
      <c r="BD699">
        <f ca="1">IF(AND($AT699&lt;3,OFFSET(DATA!$C$14,$AS699,0)=BD$6),$AV699,dNULL)</f>
        <v>-99</v>
      </c>
      <c r="BE699">
        <f ca="1">IF(AND($AT699&lt;3,OFFSET(DATA!$C$14,$AS699,0)=BE$6),$AV699,dNULL)</f>
        <v>-99</v>
      </c>
      <c r="BF699">
        <f ca="1">IF(AND($AT699&lt;3,OFFSET(DATA!$C$14,$AS699,0)=BF$6),$AV699,dNULL)</f>
        <v>-99</v>
      </c>
      <c r="BG699">
        <f ca="1">IF(AND($AT699&lt;3,OFFSET(DATA!$C$14,$AS699,0)=BG$6),$AV699,dNULL)</f>
        <v>-99</v>
      </c>
      <c r="BH699">
        <f ca="1">IF(AND($AT699&lt;3,OFFSET(DATA!$C$14,$AS699,0)=BH$6),$AV699,dNULL)</f>
        <v>-99</v>
      </c>
    </row>
    <row r="700" spans="45:60" x14ac:dyDescent="0.25">
      <c r="AS700">
        <f t="shared" si="128"/>
        <v>64</v>
      </c>
      <c r="AT700">
        <f t="shared" si="129"/>
        <v>7</v>
      </c>
      <c r="AU700">
        <f t="shared" ca="1" si="130"/>
        <v>-99</v>
      </c>
      <c r="AV700">
        <f t="shared" ca="1" si="131"/>
        <v>-99</v>
      </c>
      <c r="AW700">
        <f ca="1">IF(AND($AT700&lt;3,OFFSET(DATA!$C$14,$AS700,0)=AW$6),$AV700,dNULL)</f>
        <v>-99</v>
      </c>
      <c r="AX700">
        <f ca="1">IF(AND($AT700&lt;3,OFFSET(DATA!$C$14,$AS700,0)=AX$6),$AV700,dNULL)</f>
        <v>-99</v>
      </c>
      <c r="AY700">
        <f ca="1">IF(AND($AT700&lt;3,OFFSET(DATA!$C$14,$AS700,0)=AY$6),$AV700,dNULL)</f>
        <v>-99</v>
      </c>
      <c r="AZ700">
        <f ca="1">IF(AND($AT700&lt;3,OFFSET(DATA!$C$14,$AS700,0)=AZ$6),$AV700,dNULL)</f>
        <v>-99</v>
      </c>
      <c r="BA700">
        <f ca="1">IF(AND($AT700&lt;3,OFFSET(DATA!$C$14,$AS700,0)=BA$6),$AV700,dNULL)</f>
        <v>-99</v>
      </c>
      <c r="BB700">
        <f ca="1">IF(AND($AT700&lt;3,OFFSET(DATA!$C$14,$AS700,0)=BB$6),$AV700,dNULL)</f>
        <v>-99</v>
      </c>
      <c r="BC700">
        <f ca="1">IF(AND($AT700&lt;3,OFFSET(DATA!$C$14,$AS700,0)=BC$6),$AV700,dNULL)</f>
        <v>-99</v>
      </c>
      <c r="BD700">
        <f ca="1">IF(AND($AT700&lt;3,OFFSET(DATA!$C$14,$AS700,0)=BD$6),$AV700,dNULL)</f>
        <v>-99</v>
      </c>
      <c r="BE700">
        <f ca="1">IF(AND($AT700&lt;3,OFFSET(DATA!$C$14,$AS700,0)=BE$6),$AV700,dNULL)</f>
        <v>-99</v>
      </c>
      <c r="BF700">
        <f ca="1">IF(AND($AT700&lt;3,OFFSET(DATA!$C$14,$AS700,0)=BF$6),$AV700,dNULL)</f>
        <v>-99</v>
      </c>
      <c r="BG700">
        <f ca="1">IF(AND($AT700&lt;3,OFFSET(DATA!$C$14,$AS700,0)=BG$6),$AV700,dNULL)</f>
        <v>-99</v>
      </c>
      <c r="BH700">
        <f ca="1">IF(AND($AT700&lt;3,OFFSET(DATA!$C$14,$AS700,0)=BH$6),$AV700,dNULL)</f>
        <v>-99</v>
      </c>
    </row>
    <row r="701" spans="45:60" x14ac:dyDescent="0.25">
      <c r="AS701">
        <f t="shared" si="128"/>
        <v>65</v>
      </c>
      <c r="AT701">
        <f t="shared" si="129"/>
        <v>7</v>
      </c>
      <c r="AU701">
        <f t="shared" ca="1" si="130"/>
        <v>-99</v>
      </c>
      <c r="AV701">
        <f t="shared" ca="1" si="131"/>
        <v>-99</v>
      </c>
      <c r="AW701">
        <f ca="1">IF(AND($AT701&lt;3,OFFSET(DATA!$C$14,$AS701,0)=AW$6),$AV701,dNULL)</f>
        <v>-99</v>
      </c>
      <c r="AX701">
        <f ca="1">IF(AND($AT701&lt;3,OFFSET(DATA!$C$14,$AS701,0)=AX$6),$AV701,dNULL)</f>
        <v>-99</v>
      </c>
      <c r="AY701">
        <f ca="1">IF(AND($AT701&lt;3,OFFSET(DATA!$C$14,$AS701,0)=AY$6),$AV701,dNULL)</f>
        <v>-99</v>
      </c>
      <c r="AZ701">
        <f ca="1">IF(AND($AT701&lt;3,OFFSET(DATA!$C$14,$AS701,0)=AZ$6),$AV701,dNULL)</f>
        <v>-99</v>
      </c>
      <c r="BA701">
        <f ca="1">IF(AND($AT701&lt;3,OFFSET(DATA!$C$14,$AS701,0)=BA$6),$AV701,dNULL)</f>
        <v>-99</v>
      </c>
      <c r="BB701">
        <f ca="1">IF(AND($AT701&lt;3,OFFSET(DATA!$C$14,$AS701,0)=BB$6),$AV701,dNULL)</f>
        <v>-99</v>
      </c>
      <c r="BC701">
        <f ca="1">IF(AND($AT701&lt;3,OFFSET(DATA!$C$14,$AS701,0)=BC$6),$AV701,dNULL)</f>
        <v>-99</v>
      </c>
      <c r="BD701">
        <f ca="1">IF(AND($AT701&lt;3,OFFSET(DATA!$C$14,$AS701,0)=BD$6),$AV701,dNULL)</f>
        <v>-99</v>
      </c>
      <c r="BE701">
        <f ca="1">IF(AND($AT701&lt;3,OFFSET(DATA!$C$14,$AS701,0)=BE$6),$AV701,dNULL)</f>
        <v>-99</v>
      </c>
      <c r="BF701">
        <f ca="1">IF(AND($AT701&lt;3,OFFSET(DATA!$C$14,$AS701,0)=BF$6),$AV701,dNULL)</f>
        <v>-99</v>
      </c>
      <c r="BG701">
        <f ca="1">IF(AND($AT701&lt;3,OFFSET(DATA!$C$14,$AS701,0)=BG$6),$AV701,dNULL)</f>
        <v>-99</v>
      </c>
      <c r="BH701">
        <f ca="1">IF(AND($AT701&lt;3,OFFSET(DATA!$C$14,$AS701,0)=BH$6),$AV701,dNULL)</f>
        <v>-99</v>
      </c>
    </row>
    <row r="702" spans="45:60" x14ac:dyDescent="0.25">
      <c r="AS702">
        <f t="shared" si="128"/>
        <v>66</v>
      </c>
      <c r="AT702">
        <f t="shared" si="129"/>
        <v>7</v>
      </c>
      <c r="AU702">
        <f t="shared" ca="1" si="130"/>
        <v>-99</v>
      </c>
      <c r="AV702">
        <f t="shared" ca="1" si="131"/>
        <v>-99</v>
      </c>
      <c r="AW702">
        <f ca="1">IF(AND($AT702&lt;3,OFFSET(DATA!$C$14,$AS702,0)=AW$6),$AV702,dNULL)</f>
        <v>-99</v>
      </c>
      <c r="AX702">
        <f ca="1">IF(AND($AT702&lt;3,OFFSET(DATA!$C$14,$AS702,0)=AX$6),$AV702,dNULL)</f>
        <v>-99</v>
      </c>
      <c r="AY702">
        <f ca="1">IF(AND($AT702&lt;3,OFFSET(DATA!$C$14,$AS702,0)=AY$6),$AV702,dNULL)</f>
        <v>-99</v>
      </c>
      <c r="AZ702">
        <f ca="1">IF(AND($AT702&lt;3,OFFSET(DATA!$C$14,$AS702,0)=AZ$6),$AV702,dNULL)</f>
        <v>-99</v>
      </c>
      <c r="BA702">
        <f ca="1">IF(AND($AT702&lt;3,OFFSET(DATA!$C$14,$AS702,0)=BA$6),$AV702,dNULL)</f>
        <v>-99</v>
      </c>
      <c r="BB702">
        <f ca="1">IF(AND($AT702&lt;3,OFFSET(DATA!$C$14,$AS702,0)=BB$6),$AV702,dNULL)</f>
        <v>-99</v>
      </c>
      <c r="BC702">
        <f ca="1">IF(AND($AT702&lt;3,OFFSET(DATA!$C$14,$AS702,0)=BC$6),$AV702,dNULL)</f>
        <v>-99</v>
      </c>
      <c r="BD702">
        <f ca="1">IF(AND($AT702&lt;3,OFFSET(DATA!$C$14,$AS702,0)=BD$6),$AV702,dNULL)</f>
        <v>-99</v>
      </c>
      <c r="BE702">
        <f ca="1">IF(AND($AT702&lt;3,OFFSET(DATA!$C$14,$AS702,0)=BE$6),$AV702,dNULL)</f>
        <v>-99</v>
      </c>
      <c r="BF702">
        <f ca="1">IF(AND($AT702&lt;3,OFFSET(DATA!$C$14,$AS702,0)=BF$6),$AV702,dNULL)</f>
        <v>-99</v>
      </c>
      <c r="BG702">
        <f ca="1">IF(AND($AT702&lt;3,OFFSET(DATA!$C$14,$AS702,0)=BG$6),$AV702,dNULL)</f>
        <v>-99</v>
      </c>
      <c r="BH702">
        <f ca="1">IF(AND($AT702&lt;3,OFFSET(DATA!$C$14,$AS702,0)=BH$6),$AV702,dNULL)</f>
        <v>-99</v>
      </c>
    </row>
    <row r="703" spans="45:60" x14ac:dyDescent="0.25">
      <c r="AS703">
        <f t="shared" si="128"/>
        <v>67</v>
      </c>
      <c r="AT703">
        <f t="shared" si="129"/>
        <v>7</v>
      </c>
      <c r="AU703">
        <f t="shared" ca="1" si="130"/>
        <v>-99</v>
      </c>
      <c r="AV703">
        <f t="shared" ca="1" si="131"/>
        <v>-99</v>
      </c>
      <c r="AW703">
        <f ca="1">IF(AND($AT703&lt;3,OFFSET(DATA!$C$14,$AS703,0)=AW$6),$AV703,dNULL)</f>
        <v>-99</v>
      </c>
      <c r="AX703">
        <f ca="1">IF(AND($AT703&lt;3,OFFSET(DATA!$C$14,$AS703,0)=AX$6),$AV703,dNULL)</f>
        <v>-99</v>
      </c>
      <c r="AY703">
        <f ca="1">IF(AND($AT703&lt;3,OFFSET(DATA!$C$14,$AS703,0)=AY$6),$AV703,dNULL)</f>
        <v>-99</v>
      </c>
      <c r="AZ703">
        <f ca="1">IF(AND($AT703&lt;3,OFFSET(DATA!$C$14,$AS703,0)=AZ$6),$AV703,dNULL)</f>
        <v>-99</v>
      </c>
      <c r="BA703">
        <f ca="1">IF(AND($AT703&lt;3,OFFSET(DATA!$C$14,$AS703,0)=BA$6),$AV703,dNULL)</f>
        <v>-99</v>
      </c>
      <c r="BB703">
        <f ca="1">IF(AND($AT703&lt;3,OFFSET(DATA!$C$14,$AS703,0)=BB$6),$AV703,dNULL)</f>
        <v>-99</v>
      </c>
      <c r="BC703">
        <f ca="1">IF(AND($AT703&lt;3,OFFSET(DATA!$C$14,$AS703,0)=BC$6),$AV703,dNULL)</f>
        <v>-99</v>
      </c>
      <c r="BD703">
        <f ca="1">IF(AND($AT703&lt;3,OFFSET(DATA!$C$14,$AS703,0)=BD$6),$AV703,dNULL)</f>
        <v>-99</v>
      </c>
      <c r="BE703">
        <f ca="1">IF(AND($AT703&lt;3,OFFSET(DATA!$C$14,$AS703,0)=BE$6),$AV703,dNULL)</f>
        <v>-99</v>
      </c>
      <c r="BF703">
        <f ca="1">IF(AND($AT703&lt;3,OFFSET(DATA!$C$14,$AS703,0)=BF$6),$AV703,dNULL)</f>
        <v>-99</v>
      </c>
      <c r="BG703">
        <f ca="1">IF(AND($AT703&lt;3,OFFSET(DATA!$C$14,$AS703,0)=BG$6),$AV703,dNULL)</f>
        <v>-99</v>
      </c>
      <c r="BH703">
        <f ca="1">IF(AND($AT703&lt;3,OFFSET(DATA!$C$14,$AS703,0)=BH$6),$AV703,dNULL)</f>
        <v>-99</v>
      </c>
    </row>
    <row r="704" spans="45:60" x14ac:dyDescent="0.25">
      <c r="AS704">
        <f t="shared" si="128"/>
        <v>68</v>
      </c>
      <c r="AT704">
        <f t="shared" si="129"/>
        <v>7</v>
      </c>
      <c r="AU704">
        <f t="shared" ca="1" si="130"/>
        <v>-99</v>
      </c>
      <c r="AV704">
        <f t="shared" ca="1" si="131"/>
        <v>-99</v>
      </c>
      <c r="AW704">
        <f ca="1">IF(AND($AT704&lt;3,OFFSET(DATA!$C$14,$AS704,0)=AW$6),$AV704,dNULL)</f>
        <v>-99</v>
      </c>
      <c r="AX704">
        <f ca="1">IF(AND($AT704&lt;3,OFFSET(DATA!$C$14,$AS704,0)=AX$6),$AV704,dNULL)</f>
        <v>-99</v>
      </c>
      <c r="AY704">
        <f ca="1">IF(AND($AT704&lt;3,OFFSET(DATA!$C$14,$AS704,0)=AY$6),$AV704,dNULL)</f>
        <v>-99</v>
      </c>
      <c r="AZ704">
        <f ca="1">IF(AND($AT704&lt;3,OFFSET(DATA!$C$14,$AS704,0)=AZ$6),$AV704,dNULL)</f>
        <v>-99</v>
      </c>
      <c r="BA704">
        <f ca="1">IF(AND($AT704&lt;3,OFFSET(DATA!$C$14,$AS704,0)=BA$6),$AV704,dNULL)</f>
        <v>-99</v>
      </c>
      <c r="BB704">
        <f ca="1">IF(AND($AT704&lt;3,OFFSET(DATA!$C$14,$AS704,0)=BB$6),$AV704,dNULL)</f>
        <v>-99</v>
      </c>
      <c r="BC704">
        <f ca="1">IF(AND($AT704&lt;3,OFFSET(DATA!$C$14,$AS704,0)=BC$6),$AV704,dNULL)</f>
        <v>-99</v>
      </c>
      <c r="BD704">
        <f ca="1">IF(AND($AT704&lt;3,OFFSET(DATA!$C$14,$AS704,0)=BD$6),$AV704,dNULL)</f>
        <v>-99</v>
      </c>
      <c r="BE704">
        <f ca="1">IF(AND($AT704&lt;3,OFFSET(DATA!$C$14,$AS704,0)=BE$6),$AV704,dNULL)</f>
        <v>-99</v>
      </c>
      <c r="BF704">
        <f ca="1">IF(AND($AT704&lt;3,OFFSET(DATA!$C$14,$AS704,0)=BF$6),$AV704,dNULL)</f>
        <v>-99</v>
      </c>
      <c r="BG704">
        <f ca="1">IF(AND($AT704&lt;3,OFFSET(DATA!$C$14,$AS704,0)=BG$6),$AV704,dNULL)</f>
        <v>-99</v>
      </c>
      <c r="BH704">
        <f ca="1">IF(AND($AT704&lt;3,OFFSET(DATA!$C$14,$AS704,0)=BH$6),$AV704,dNULL)</f>
        <v>-99</v>
      </c>
    </row>
    <row r="705" spans="45:60" x14ac:dyDescent="0.25">
      <c r="AS705">
        <f t="shared" si="128"/>
        <v>69</v>
      </c>
      <c r="AT705">
        <f t="shared" si="129"/>
        <v>7</v>
      </c>
      <c r="AU705">
        <f t="shared" ca="1" si="130"/>
        <v>-99</v>
      </c>
      <c r="AV705">
        <f t="shared" ca="1" si="131"/>
        <v>-99</v>
      </c>
      <c r="AW705">
        <f ca="1">IF(AND($AT705&lt;3,OFFSET(DATA!$C$14,$AS705,0)=AW$6),$AV705,dNULL)</f>
        <v>-99</v>
      </c>
      <c r="AX705">
        <f ca="1">IF(AND($AT705&lt;3,OFFSET(DATA!$C$14,$AS705,0)=AX$6),$AV705,dNULL)</f>
        <v>-99</v>
      </c>
      <c r="AY705">
        <f ca="1">IF(AND($AT705&lt;3,OFFSET(DATA!$C$14,$AS705,0)=AY$6),$AV705,dNULL)</f>
        <v>-99</v>
      </c>
      <c r="AZ705">
        <f ca="1">IF(AND($AT705&lt;3,OFFSET(DATA!$C$14,$AS705,0)=AZ$6),$AV705,dNULL)</f>
        <v>-99</v>
      </c>
      <c r="BA705">
        <f ca="1">IF(AND($AT705&lt;3,OFFSET(DATA!$C$14,$AS705,0)=BA$6),$AV705,dNULL)</f>
        <v>-99</v>
      </c>
      <c r="BB705">
        <f ca="1">IF(AND($AT705&lt;3,OFFSET(DATA!$C$14,$AS705,0)=BB$6),$AV705,dNULL)</f>
        <v>-99</v>
      </c>
      <c r="BC705">
        <f ca="1">IF(AND($AT705&lt;3,OFFSET(DATA!$C$14,$AS705,0)=BC$6),$AV705,dNULL)</f>
        <v>-99</v>
      </c>
      <c r="BD705">
        <f ca="1">IF(AND($AT705&lt;3,OFFSET(DATA!$C$14,$AS705,0)=BD$6),$AV705,dNULL)</f>
        <v>-99</v>
      </c>
      <c r="BE705">
        <f ca="1">IF(AND($AT705&lt;3,OFFSET(DATA!$C$14,$AS705,0)=BE$6),$AV705,dNULL)</f>
        <v>-99</v>
      </c>
      <c r="BF705">
        <f ca="1">IF(AND($AT705&lt;3,OFFSET(DATA!$C$14,$AS705,0)=BF$6),$AV705,dNULL)</f>
        <v>-99</v>
      </c>
      <c r="BG705">
        <f ca="1">IF(AND($AT705&lt;3,OFFSET(DATA!$C$14,$AS705,0)=BG$6),$AV705,dNULL)</f>
        <v>-99</v>
      </c>
      <c r="BH705">
        <f ca="1">IF(AND($AT705&lt;3,OFFSET(DATA!$C$14,$AS705,0)=BH$6),$AV705,dNULL)</f>
        <v>-99</v>
      </c>
    </row>
    <row r="706" spans="45:60" x14ac:dyDescent="0.25">
      <c r="AS706">
        <f t="shared" si="128"/>
        <v>70</v>
      </c>
      <c r="AT706">
        <f t="shared" si="129"/>
        <v>7</v>
      </c>
      <c r="AU706">
        <f t="shared" ca="1" si="130"/>
        <v>-99</v>
      </c>
      <c r="AV706">
        <f t="shared" ca="1" si="131"/>
        <v>-99</v>
      </c>
      <c r="AW706">
        <f ca="1">IF(AND($AT706&lt;3,OFFSET(DATA!$C$14,$AS706,0)=AW$6),$AV706,dNULL)</f>
        <v>-99</v>
      </c>
      <c r="AX706">
        <f ca="1">IF(AND($AT706&lt;3,OFFSET(DATA!$C$14,$AS706,0)=AX$6),$AV706,dNULL)</f>
        <v>-99</v>
      </c>
      <c r="AY706">
        <f ca="1">IF(AND($AT706&lt;3,OFFSET(DATA!$C$14,$AS706,0)=AY$6),$AV706,dNULL)</f>
        <v>-99</v>
      </c>
      <c r="AZ706">
        <f ca="1">IF(AND($AT706&lt;3,OFFSET(DATA!$C$14,$AS706,0)=AZ$6),$AV706,dNULL)</f>
        <v>-99</v>
      </c>
      <c r="BA706">
        <f ca="1">IF(AND($AT706&lt;3,OFFSET(DATA!$C$14,$AS706,0)=BA$6),$AV706,dNULL)</f>
        <v>-99</v>
      </c>
      <c r="BB706">
        <f ca="1">IF(AND($AT706&lt;3,OFFSET(DATA!$C$14,$AS706,0)=BB$6),$AV706,dNULL)</f>
        <v>-99</v>
      </c>
      <c r="BC706">
        <f ca="1">IF(AND($AT706&lt;3,OFFSET(DATA!$C$14,$AS706,0)=BC$6),$AV706,dNULL)</f>
        <v>-99</v>
      </c>
      <c r="BD706">
        <f ca="1">IF(AND($AT706&lt;3,OFFSET(DATA!$C$14,$AS706,0)=BD$6),$AV706,dNULL)</f>
        <v>-99</v>
      </c>
      <c r="BE706">
        <f ca="1">IF(AND($AT706&lt;3,OFFSET(DATA!$C$14,$AS706,0)=BE$6),$AV706,dNULL)</f>
        <v>-99</v>
      </c>
      <c r="BF706">
        <f ca="1">IF(AND($AT706&lt;3,OFFSET(DATA!$C$14,$AS706,0)=BF$6),$AV706,dNULL)</f>
        <v>-99</v>
      </c>
      <c r="BG706">
        <f ca="1">IF(AND($AT706&lt;3,OFFSET(DATA!$C$14,$AS706,0)=BG$6),$AV706,dNULL)</f>
        <v>-99</v>
      </c>
      <c r="BH706">
        <f ca="1">IF(AND($AT706&lt;3,OFFSET(DATA!$C$14,$AS706,0)=BH$6),$AV706,dNULL)</f>
        <v>-99</v>
      </c>
    </row>
    <row r="707" spans="45:60" x14ac:dyDescent="0.25">
      <c r="AS707">
        <f t="shared" si="128"/>
        <v>71</v>
      </c>
      <c r="AT707">
        <f t="shared" si="129"/>
        <v>7</v>
      </c>
      <c r="AU707">
        <f t="shared" ca="1" si="130"/>
        <v>-99</v>
      </c>
      <c r="AV707">
        <f t="shared" ca="1" si="131"/>
        <v>-99</v>
      </c>
      <c r="AW707">
        <f ca="1">IF(AND($AT707&lt;3,OFFSET(DATA!$C$14,$AS707,0)=AW$6),$AV707,dNULL)</f>
        <v>-99</v>
      </c>
      <c r="AX707">
        <f ca="1">IF(AND($AT707&lt;3,OFFSET(DATA!$C$14,$AS707,0)=AX$6),$AV707,dNULL)</f>
        <v>-99</v>
      </c>
      <c r="AY707">
        <f ca="1">IF(AND($AT707&lt;3,OFFSET(DATA!$C$14,$AS707,0)=AY$6),$AV707,dNULL)</f>
        <v>-99</v>
      </c>
      <c r="AZ707">
        <f ca="1">IF(AND($AT707&lt;3,OFFSET(DATA!$C$14,$AS707,0)=AZ$6),$AV707,dNULL)</f>
        <v>-99</v>
      </c>
      <c r="BA707">
        <f ca="1">IF(AND($AT707&lt;3,OFFSET(DATA!$C$14,$AS707,0)=BA$6),$AV707,dNULL)</f>
        <v>-99</v>
      </c>
      <c r="BB707">
        <f ca="1">IF(AND($AT707&lt;3,OFFSET(DATA!$C$14,$AS707,0)=BB$6),$AV707,dNULL)</f>
        <v>-99</v>
      </c>
      <c r="BC707">
        <f ca="1">IF(AND($AT707&lt;3,OFFSET(DATA!$C$14,$AS707,0)=BC$6),$AV707,dNULL)</f>
        <v>-99</v>
      </c>
      <c r="BD707">
        <f ca="1">IF(AND($AT707&lt;3,OFFSET(DATA!$C$14,$AS707,0)=BD$6),$AV707,dNULL)</f>
        <v>-99</v>
      </c>
      <c r="BE707">
        <f ca="1">IF(AND($AT707&lt;3,OFFSET(DATA!$C$14,$AS707,0)=BE$6),$AV707,dNULL)</f>
        <v>-99</v>
      </c>
      <c r="BF707">
        <f ca="1">IF(AND($AT707&lt;3,OFFSET(DATA!$C$14,$AS707,0)=BF$6),$AV707,dNULL)</f>
        <v>-99</v>
      </c>
      <c r="BG707">
        <f ca="1">IF(AND($AT707&lt;3,OFFSET(DATA!$C$14,$AS707,0)=BG$6),$AV707,dNULL)</f>
        <v>-99</v>
      </c>
      <c r="BH707">
        <f ca="1">IF(AND($AT707&lt;3,OFFSET(DATA!$C$14,$AS707,0)=BH$6),$AV707,dNULL)</f>
        <v>-99</v>
      </c>
    </row>
    <row r="708" spans="45:60" x14ac:dyDescent="0.25">
      <c r="AS708">
        <f t="shared" si="128"/>
        <v>72</v>
      </c>
      <c r="AT708">
        <f t="shared" si="129"/>
        <v>7</v>
      </c>
      <c r="AU708">
        <f t="shared" ca="1" si="130"/>
        <v>-99</v>
      </c>
      <c r="AV708">
        <f t="shared" ca="1" si="131"/>
        <v>-99</v>
      </c>
      <c r="AW708">
        <f ca="1">IF(AND($AT708&lt;3,OFFSET(DATA!$C$14,$AS708,0)=AW$6),$AV708,dNULL)</f>
        <v>-99</v>
      </c>
      <c r="AX708">
        <f ca="1">IF(AND($AT708&lt;3,OFFSET(DATA!$C$14,$AS708,0)=AX$6),$AV708,dNULL)</f>
        <v>-99</v>
      </c>
      <c r="AY708">
        <f ca="1">IF(AND($AT708&lt;3,OFFSET(DATA!$C$14,$AS708,0)=AY$6),$AV708,dNULL)</f>
        <v>-99</v>
      </c>
      <c r="AZ708">
        <f ca="1">IF(AND($AT708&lt;3,OFFSET(DATA!$C$14,$AS708,0)=AZ$6),$AV708,dNULL)</f>
        <v>-99</v>
      </c>
      <c r="BA708">
        <f ca="1">IF(AND($AT708&lt;3,OFFSET(DATA!$C$14,$AS708,0)=BA$6),$AV708,dNULL)</f>
        <v>-99</v>
      </c>
      <c r="BB708">
        <f ca="1">IF(AND($AT708&lt;3,OFFSET(DATA!$C$14,$AS708,0)=BB$6),$AV708,dNULL)</f>
        <v>-99</v>
      </c>
      <c r="BC708">
        <f ca="1">IF(AND($AT708&lt;3,OFFSET(DATA!$C$14,$AS708,0)=BC$6),$AV708,dNULL)</f>
        <v>-99</v>
      </c>
      <c r="BD708">
        <f ca="1">IF(AND($AT708&lt;3,OFFSET(DATA!$C$14,$AS708,0)=BD$6),$AV708,dNULL)</f>
        <v>-99</v>
      </c>
      <c r="BE708">
        <f ca="1">IF(AND($AT708&lt;3,OFFSET(DATA!$C$14,$AS708,0)=BE$6),$AV708,dNULL)</f>
        <v>-99</v>
      </c>
      <c r="BF708">
        <f ca="1">IF(AND($AT708&lt;3,OFFSET(DATA!$C$14,$AS708,0)=BF$6),$AV708,dNULL)</f>
        <v>-99</v>
      </c>
      <c r="BG708">
        <f ca="1">IF(AND($AT708&lt;3,OFFSET(DATA!$C$14,$AS708,0)=BG$6),$AV708,dNULL)</f>
        <v>-99</v>
      </c>
      <c r="BH708">
        <f ca="1">IF(AND($AT708&lt;3,OFFSET(DATA!$C$14,$AS708,0)=BH$6),$AV708,dNULL)</f>
        <v>-99</v>
      </c>
    </row>
    <row r="709" spans="45:60" x14ac:dyDescent="0.25">
      <c r="AS709">
        <f t="shared" si="128"/>
        <v>73</v>
      </c>
      <c r="AT709">
        <f t="shared" si="129"/>
        <v>7</v>
      </c>
      <c r="AU709">
        <f t="shared" ca="1" si="130"/>
        <v>-99</v>
      </c>
      <c r="AV709">
        <f t="shared" ca="1" si="131"/>
        <v>-99</v>
      </c>
      <c r="AW709">
        <f ca="1">IF(AND($AT709&lt;3,OFFSET(DATA!$C$14,$AS709,0)=AW$6),$AV709,dNULL)</f>
        <v>-99</v>
      </c>
      <c r="AX709">
        <f ca="1">IF(AND($AT709&lt;3,OFFSET(DATA!$C$14,$AS709,0)=AX$6),$AV709,dNULL)</f>
        <v>-99</v>
      </c>
      <c r="AY709">
        <f ca="1">IF(AND($AT709&lt;3,OFFSET(DATA!$C$14,$AS709,0)=AY$6),$AV709,dNULL)</f>
        <v>-99</v>
      </c>
      <c r="AZ709">
        <f ca="1">IF(AND($AT709&lt;3,OFFSET(DATA!$C$14,$AS709,0)=AZ$6),$AV709,dNULL)</f>
        <v>-99</v>
      </c>
      <c r="BA709">
        <f ca="1">IF(AND($AT709&lt;3,OFFSET(DATA!$C$14,$AS709,0)=BA$6),$AV709,dNULL)</f>
        <v>-99</v>
      </c>
      <c r="BB709">
        <f ca="1">IF(AND($AT709&lt;3,OFFSET(DATA!$C$14,$AS709,0)=BB$6),$AV709,dNULL)</f>
        <v>-99</v>
      </c>
      <c r="BC709">
        <f ca="1">IF(AND($AT709&lt;3,OFFSET(DATA!$C$14,$AS709,0)=BC$6),$AV709,dNULL)</f>
        <v>-99</v>
      </c>
      <c r="BD709">
        <f ca="1">IF(AND($AT709&lt;3,OFFSET(DATA!$C$14,$AS709,0)=BD$6),$AV709,dNULL)</f>
        <v>-99</v>
      </c>
      <c r="BE709">
        <f ca="1">IF(AND($AT709&lt;3,OFFSET(DATA!$C$14,$AS709,0)=BE$6),$AV709,dNULL)</f>
        <v>-99</v>
      </c>
      <c r="BF709">
        <f ca="1">IF(AND($AT709&lt;3,OFFSET(DATA!$C$14,$AS709,0)=BF$6),$AV709,dNULL)</f>
        <v>-99</v>
      </c>
      <c r="BG709">
        <f ca="1">IF(AND($AT709&lt;3,OFFSET(DATA!$C$14,$AS709,0)=BG$6),$AV709,dNULL)</f>
        <v>-99</v>
      </c>
      <c r="BH709">
        <f ca="1">IF(AND($AT709&lt;3,OFFSET(DATA!$C$14,$AS709,0)=BH$6),$AV709,dNULL)</f>
        <v>-99</v>
      </c>
    </row>
    <row r="710" spans="45:60" x14ac:dyDescent="0.25">
      <c r="AS710">
        <f t="shared" si="128"/>
        <v>74</v>
      </c>
      <c r="AT710">
        <f t="shared" si="129"/>
        <v>7</v>
      </c>
      <c r="AU710">
        <f t="shared" ca="1" si="130"/>
        <v>-99</v>
      </c>
      <c r="AV710">
        <f t="shared" ca="1" si="131"/>
        <v>-99</v>
      </c>
      <c r="AW710">
        <f ca="1">IF(AND($AT710&lt;3,OFFSET(DATA!$C$14,$AS710,0)=AW$6),$AV710,dNULL)</f>
        <v>-99</v>
      </c>
      <c r="AX710">
        <f ca="1">IF(AND($AT710&lt;3,OFFSET(DATA!$C$14,$AS710,0)=AX$6),$AV710,dNULL)</f>
        <v>-99</v>
      </c>
      <c r="AY710">
        <f ca="1">IF(AND($AT710&lt;3,OFFSET(DATA!$C$14,$AS710,0)=AY$6),$AV710,dNULL)</f>
        <v>-99</v>
      </c>
      <c r="AZ710">
        <f ca="1">IF(AND($AT710&lt;3,OFFSET(DATA!$C$14,$AS710,0)=AZ$6),$AV710,dNULL)</f>
        <v>-99</v>
      </c>
      <c r="BA710">
        <f ca="1">IF(AND($AT710&lt;3,OFFSET(DATA!$C$14,$AS710,0)=BA$6),$AV710,dNULL)</f>
        <v>-99</v>
      </c>
      <c r="BB710">
        <f ca="1">IF(AND($AT710&lt;3,OFFSET(DATA!$C$14,$AS710,0)=BB$6),$AV710,dNULL)</f>
        <v>-99</v>
      </c>
      <c r="BC710">
        <f ca="1">IF(AND($AT710&lt;3,OFFSET(DATA!$C$14,$AS710,0)=BC$6),$AV710,dNULL)</f>
        <v>-99</v>
      </c>
      <c r="BD710">
        <f ca="1">IF(AND($AT710&lt;3,OFFSET(DATA!$C$14,$AS710,0)=BD$6),$AV710,dNULL)</f>
        <v>-99</v>
      </c>
      <c r="BE710">
        <f ca="1">IF(AND($AT710&lt;3,OFFSET(DATA!$C$14,$AS710,0)=BE$6),$AV710,dNULL)</f>
        <v>-99</v>
      </c>
      <c r="BF710">
        <f ca="1">IF(AND($AT710&lt;3,OFFSET(DATA!$C$14,$AS710,0)=BF$6),$AV710,dNULL)</f>
        <v>-99</v>
      </c>
      <c r="BG710">
        <f ca="1">IF(AND($AT710&lt;3,OFFSET(DATA!$C$14,$AS710,0)=BG$6),$AV710,dNULL)</f>
        <v>-99</v>
      </c>
      <c r="BH710">
        <f ca="1">IF(AND($AT710&lt;3,OFFSET(DATA!$C$14,$AS710,0)=BH$6),$AV710,dNULL)</f>
        <v>-99</v>
      </c>
    </row>
    <row r="711" spans="45:60" x14ac:dyDescent="0.25">
      <c r="AS711">
        <f t="shared" ref="AS711:AS774" si="132">MOD(ROW(AT711)-ROW($AT$7),lCNTsites)+1</f>
        <v>75</v>
      </c>
      <c r="AT711">
        <f t="shared" ref="AT711:AT774" si="133">INT((ROW(AT711)-ROW($AT$7))/lCNTsites)</f>
        <v>7</v>
      </c>
      <c r="AU711">
        <f t="shared" ref="AU711:AU774" ca="1" si="134">IF($AT711=0,(1-OFFSET($AL$6,$AS711,$AT711*2))-OFFSET($AL$6,$AS711,$AT711*2+1)*$K$8,IF($AT711=1,dAnionOFF+1+OFFSET($AL$6,$AS711,$AT711*2)+OFFSET($AL$6,$AS711,$AT711*2+1)/2,IF($AT711=2,$K$17-(1-OFFSET($AL$6,$AS711,$AT711*2))*0.5+(1-OFFSET($AL$6,$AS711,$AT711*2+1))*0.5,dNULL)))</f>
        <v>-99</v>
      </c>
      <c r="AV711">
        <f t="shared" ref="AV711:AV774" ca="1" si="135">IF($AT711=0,OFFSET($AL$6,$AS711,$AT711*2+1)*$L$8,IF($AT711=1,OFFSET($AL$6,$AS711,$AT711*2+1)*3^0.5/2,IF($AT711=2,$L$17+(2-OFFSET($AL$6,$AS711,$AT711*2)-OFFSET($AL$6,$AS711,$AT711*2+1))*$L$8,dNULL)))</f>
        <v>-99</v>
      </c>
      <c r="AW711">
        <f ca="1">IF(AND($AT711&lt;3,OFFSET(DATA!$C$14,$AS711,0)=AW$6),$AV711,dNULL)</f>
        <v>-99</v>
      </c>
      <c r="AX711">
        <f ca="1">IF(AND($AT711&lt;3,OFFSET(DATA!$C$14,$AS711,0)=AX$6),$AV711,dNULL)</f>
        <v>-99</v>
      </c>
      <c r="AY711">
        <f ca="1">IF(AND($AT711&lt;3,OFFSET(DATA!$C$14,$AS711,0)=AY$6),$AV711,dNULL)</f>
        <v>-99</v>
      </c>
      <c r="AZ711">
        <f ca="1">IF(AND($AT711&lt;3,OFFSET(DATA!$C$14,$AS711,0)=AZ$6),$AV711,dNULL)</f>
        <v>-99</v>
      </c>
      <c r="BA711">
        <f ca="1">IF(AND($AT711&lt;3,OFFSET(DATA!$C$14,$AS711,0)=BA$6),$AV711,dNULL)</f>
        <v>-99</v>
      </c>
      <c r="BB711">
        <f ca="1">IF(AND($AT711&lt;3,OFFSET(DATA!$C$14,$AS711,0)=BB$6),$AV711,dNULL)</f>
        <v>-99</v>
      </c>
      <c r="BC711">
        <f ca="1">IF(AND($AT711&lt;3,OFFSET(DATA!$C$14,$AS711,0)=BC$6),$AV711,dNULL)</f>
        <v>-99</v>
      </c>
      <c r="BD711">
        <f ca="1">IF(AND($AT711&lt;3,OFFSET(DATA!$C$14,$AS711,0)=BD$6),$AV711,dNULL)</f>
        <v>-99</v>
      </c>
      <c r="BE711">
        <f ca="1">IF(AND($AT711&lt;3,OFFSET(DATA!$C$14,$AS711,0)=BE$6),$AV711,dNULL)</f>
        <v>-99</v>
      </c>
      <c r="BF711">
        <f ca="1">IF(AND($AT711&lt;3,OFFSET(DATA!$C$14,$AS711,0)=BF$6),$AV711,dNULL)</f>
        <v>-99</v>
      </c>
      <c r="BG711">
        <f ca="1">IF(AND($AT711&lt;3,OFFSET(DATA!$C$14,$AS711,0)=BG$6),$AV711,dNULL)</f>
        <v>-99</v>
      </c>
      <c r="BH711">
        <f ca="1">IF(AND($AT711&lt;3,OFFSET(DATA!$C$14,$AS711,0)=BH$6),$AV711,dNULL)</f>
        <v>-99</v>
      </c>
    </row>
    <row r="712" spans="45:60" x14ac:dyDescent="0.25">
      <c r="AS712">
        <f t="shared" si="132"/>
        <v>76</v>
      </c>
      <c r="AT712">
        <f t="shared" si="133"/>
        <v>7</v>
      </c>
      <c r="AU712">
        <f t="shared" ca="1" si="134"/>
        <v>-99</v>
      </c>
      <c r="AV712">
        <f t="shared" ca="1" si="135"/>
        <v>-99</v>
      </c>
      <c r="AW712">
        <f ca="1">IF(AND($AT712&lt;3,OFFSET(DATA!$C$14,$AS712,0)=AW$6),$AV712,dNULL)</f>
        <v>-99</v>
      </c>
      <c r="AX712">
        <f ca="1">IF(AND($AT712&lt;3,OFFSET(DATA!$C$14,$AS712,0)=AX$6),$AV712,dNULL)</f>
        <v>-99</v>
      </c>
      <c r="AY712">
        <f ca="1">IF(AND($AT712&lt;3,OFFSET(DATA!$C$14,$AS712,0)=AY$6),$AV712,dNULL)</f>
        <v>-99</v>
      </c>
      <c r="AZ712">
        <f ca="1">IF(AND($AT712&lt;3,OFFSET(DATA!$C$14,$AS712,0)=AZ$6),$AV712,dNULL)</f>
        <v>-99</v>
      </c>
      <c r="BA712">
        <f ca="1">IF(AND($AT712&lt;3,OFFSET(DATA!$C$14,$AS712,0)=BA$6),$AV712,dNULL)</f>
        <v>-99</v>
      </c>
      <c r="BB712">
        <f ca="1">IF(AND($AT712&lt;3,OFFSET(DATA!$C$14,$AS712,0)=BB$6),$AV712,dNULL)</f>
        <v>-99</v>
      </c>
      <c r="BC712">
        <f ca="1">IF(AND($AT712&lt;3,OFFSET(DATA!$C$14,$AS712,0)=BC$6),$AV712,dNULL)</f>
        <v>-99</v>
      </c>
      <c r="BD712">
        <f ca="1">IF(AND($AT712&lt;3,OFFSET(DATA!$C$14,$AS712,0)=BD$6),$AV712,dNULL)</f>
        <v>-99</v>
      </c>
      <c r="BE712">
        <f ca="1">IF(AND($AT712&lt;3,OFFSET(DATA!$C$14,$AS712,0)=BE$6),$AV712,dNULL)</f>
        <v>-99</v>
      </c>
      <c r="BF712">
        <f ca="1">IF(AND($AT712&lt;3,OFFSET(DATA!$C$14,$AS712,0)=BF$6),$AV712,dNULL)</f>
        <v>-99</v>
      </c>
      <c r="BG712">
        <f ca="1">IF(AND($AT712&lt;3,OFFSET(DATA!$C$14,$AS712,0)=BG$6),$AV712,dNULL)</f>
        <v>-99</v>
      </c>
      <c r="BH712">
        <f ca="1">IF(AND($AT712&lt;3,OFFSET(DATA!$C$14,$AS712,0)=BH$6),$AV712,dNULL)</f>
        <v>-99</v>
      </c>
    </row>
    <row r="713" spans="45:60" x14ac:dyDescent="0.25">
      <c r="AS713">
        <f t="shared" si="132"/>
        <v>77</v>
      </c>
      <c r="AT713">
        <f t="shared" si="133"/>
        <v>7</v>
      </c>
      <c r="AU713">
        <f t="shared" ca="1" si="134"/>
        <v>-99</v>
      </c>
      <c r="AV713">
        <f t="shared" ca="1" si="135"/>
        <v>-99</v>
      </c>
      <c r="AW713">
        <f ca="1">IF(AND($AT713&lt;3,OFFSET(DATA!$C$14,$AS713,0)=AW$6),$AV713,dNULL)</f>
        <v>-99</v>
      </c>
      <c r="AX713">
        <f ca="1">IF(AND($AT713&lt;3,OFFSET(DATA!$C$14,$AS713,0)=AX$6),$AV713,dNULL)</f>
        <v>-99</v>
      </c>
      <c r="AY713">
        <f ca="1">IF(AND($AT713&lt;3,OFFSET(DATA!$C$14,$AS713,0)=AY$6),$AV713,dNULL)</f>
        <v>-99</v>
      </c>
      <c r="AZ713">
        <f ca="1">IF(AND($AT713&lt;3,OFFSET(DATA!$C$14,$AS713,0)=AZ$6),$AV713,dNULL)</f>
        <v>-99</v>
      </c>
      <c r="BA713">
        <f ca="1">IF(AND($AT713&lt;3,OFFSET(DATA!$C$14,$AS713,0)=BA$6),$AV713,dNULL)</f>
        <v>-99</v>
      </c>
      <c r="BB713">
        <f ca="1">IF(AND($AT713&lt;3,OFFSET(DATA!$C$14,$AS713,0)=BB$6),$AV713,dNULL)</f>
        <v>-99</v>
      </c>
      <c r="BC713">
        <f ca="1">IF(AND($AT713&lt;3,OFFSET(DATA!$C$14,$AS713,0)=BC$6),$AV713,dNULL)</f>
        <v>-99</v>
      </c>
      <c r="BD713">
        <f ca="1">IF(AND($AT713&lt;3,OFFSET(DATA!$C$14,$AS713,0)=BD$6),$AV713,dNULL)</f>
        <v>-99</v>
      </c>
      <c r="BE713">
        <f ca="1">IF(AND($AT713&lt;3,OFFSET(DATA!$C$14,$AS713,0)=BE$6),$AV713,dNULL)</f>
        <v>-99</v>
      </c>
      <c r="BF713">
        <f ca="1">IF(AND($AT713&lt;3,OFFSET(DATA!$C$14,$AS713,0)=BF$6),$AV713,dNULL)</f>
        <v>-99</v>
      </c>
      <c r="BG713">
        <f ca="1">IF(AND($AT713&lt;3,OFFSET(DATA!$C$14,$AS713,0)=BG$6),$AV713,dNULL)</f>
        <v>-99</v>
      </c>
      <c r="BH713">
        <f ca="1">IF(AND($AT713&lt;3,OFFSET(DATA!$C$14,$AS713,0)=BH$6),$AV713,dNULL)</f>
        <v>-99</v>
      </c>
    </row>
    <row r="714" spans="45:60" x14ac:dyDescent="0.25">
      <c r="AS714">
        <f t="shared" si="132"/>
        <v>78</v>
      </c>
      <c r="AT714">
        <f t="shared" si="133"/>
        <v>7</v>
      </c>
      <c r="AU714">
        <f t="shared" ca="1" si="134"/>
        <v>-99</v>
      </c>
      <c r="AV714">
        <f t="shared" ca="1" si="135"/>
        <v>-99</v>
      </c>
      <c r="AW714">
        <f ca="1">IF(AND($AT714&lt;3,OFFSET(DATA!$C$14,$AS714,0)=AW$6),$AV714,dNULL)</f>
        <v>-99</v>
      </c>
      <c r="AX714">
        <f ca="1">IF(AND($AT714&lt;3,OFFSET(DATA!$C$14,$AS714,0)=AX$6),$AV714,dNULL)</f>
        <v>-99</v>
      </c>
      <c r="AY714">
        <f ca="1">IF(AND($AT714&lt;3,OFFSET(DATA!$C$14,$AS714,0)=AY$6),$AV714,dNULL)</f>
        <v>-99</v>
      </c>
      <c r="AZ714">
        <f ca="1">IF(AND($AT714&lt;3,OFFSET(DATA!$C$14,$AS714,0)=AZ$6),$AV714,dNULL)</f>
        <v>-99</v>
      </c>
      <c r="BA714">
        <f ca="1">IF(AND($AT714&lt;3,OFFSET(DATA!$C$14,$AS714,0)=BA$6),$AV714,dNULL)</f>
        <v>-99</v>
      </c>
      <c r="BB714">
        <f ca="1">IF(AND($AT714&lt;3,OFFSET(DATA!$C$14,$AS714,0)=BB$6),$AV714,dNULL)</f>
        <v>-99</v>
      </c>
      <c r="BC714">
        <f ca="1">IF(AND($AT714&lt;3,OFFSET(DATA!$C$14,$AS714,0)=BC$6),$AV714,dNULL)</f>
        <v>-99</v>
      </c>
      <c r="BD714">
        <f ca="1">IF(AND($AT714&lt;3,OFFSET(DATA!$C$14,$AS714,0)=BD$6),$AV714,dNULL)</f>
        <v>-99</v>
      </c>
      <c r="BE714">
        <f ca="1">IF(AND($AT714&lt;3,OFFSET(DATA!$C$14,$AS714,0)=BE$6),$AV714,dNULL)</f>
        <v>-99</v>
      </c>
      <c r="BF714">
        <f ca="1">IF(AND($AT714&lt;3,OFFSET(DATA!$C$14,$AS714,0)=BF$6),$AV714,dNULL)</f>
        <v>-99</v>
      </c>
      <c r="BG714">
        <f ca="1">IF(AND($AT714&lt;3,OFFSET(DATA!$C$14,$AS714,0)=BG$6),$AV714,dNULL)</f>
        <v>-99</v>
      </c>
      <c r="BH714">
        <f ca="1">IF(AND($AT714&lt;3,OFFSET(DATA!$C$14,$AS714,0)=BH$6),$AV714,dNULL)</f>
        <v>-99</v>
      </c>
    </row>
    <row r="715" spans="45:60" x14ac:dyDescent="0.25">
      <c r="AS715">
        <f t="shared" si="132"/>
        <v>79</v>
      </c>
      <c r="AT715">
        <f t="shared" si="133"/>
        <v>7</v>
      </c>
      <c r="AU715">
        <f t="shared" ca="1" si="134"/>
        <v>-99</v>
      </c>
      <c r="AV715">
        <f t="shared" ca="1" si="135"/>
        <v>-99</v>
      </c>
      <c r="AW715">
        <f ca="1">IF(AND($AT715&lt;3,OFFSET(DATA!$C$14,$AS715,0)=AW$6),$AV715,dNULL)</f>
        <v>-99</v>
      </c>
      <c r="AX715">
        <f ca="1">IF(AND($AT715&lt;3,OFFSET(DATA!$C$14,$AS715,0)=AX$6),$AV715,dNULL)</f>
        <v>-99</v>
      </c>
      <c r="AY715">
        <f ca="1">IF(AND($AT715&lt;3,OFFSET(DATA!$C$14,$AS715,0)=AY$6),$AV715,dNULL)</f>
        <v>-99</v>
      </c>
      <c r="AZ715">
        <f ca="1">IF(AND($AT715&lt;3,OFFSET(DATA!$C$14,$AS715,0)=AZ$6),$AV715,dNULL)</f>
        <v>-99</v>
      </c>
      <c r="BA715">
        <f ca="1">IF(AND($AT715&lt;3,OFFSET(DATA!$C$14,$AS715,0)=BA$6),$AV715,dNULL)</f>
        <v>-99</v>
      </c>
      <c r="BB715">
        <f ca="1">IF(AND($AT715&lt;3,OFFSET(DATA!$C$14,$AS715,0)=BB$6),$AV715,dNULL)</f>
        <v>-99</v>
      </c>
      <c r="BC715">
        <f ca="1">IF(AND($AT715&lt;3,OFFSET(DATA!$C$14,$AS715,0)=BC$6),$AV715,dNULL)</f>
        <v>-99</v>
      </c>
      <c r="BD715">
        <f ca="1">IF(AND($AT715&lt;3,OFFSET(DATA!$C$14,$AS715,0)=BD$6),$AV715,dNULL)</f>
        <v>-99</v>
      </c>
      <c r="BE715">
        <f ca="1">IF(AND($AT715&lt;3,OFFSET(DATA!$C$14,$AS715,0)=BE$6),$AV715,dNULL)</f>
        <v>-99</v>
      </c>
      <c r="BF715">
        <f ca="1">IF(AND($AT715&lt;3,OFFSET(DATA!$C$14,$AS715,0)=BF$6),$AV715,dNULL)</f>
        <v>-99</v>
      </c>
      <c r="BG715">
        <f ca="1">IF(AND($AT715&lt;3,OFFSET(DATA!$C$14,$AS715,0)=BG$6),$AV715,dNULL)</f>
        <v>-99</v>
      </c>
      <c r="BH715">
        <f ca="1">IF(AND($AT715&lt;3,OFFSET(DATA!$C$14,$AS715,0)=BH$6),$AV715,dNULL)</f>
        <v>-99</v>
      </c>
    </row>
    <row r="716" spans="45:60" x14ac:dyDescent="0.25">
      <c r="AS716">
        <f t="shared" si="132"/>
        <v>80</v>
      </c>
      <c r="AT716">
        <f t="shared" si="133"/>
        <v>7</v>
      </c>
      <c r="AU716">
        <f t="shared" ca="1" si="134"/>
        <v>-99</v>
      </c>
      <c r="AV716">
        <f t="shared" ca="1" si="135"/>
        <v>-99</v>
      </c>
      <c r="AW716">
        <f ca="1">IF(AND($AT716&lt;3,OFFSET(DATA!$C$14,$AS716,0)=AW$6),$AV716,dNULL)</f>
        <v>-99</v>
      </c>
      <c r="AX716">
        <f ca="1">IF(AND($AT716&lt;3,OFFSET(DATA!$C$14,$AS716,0)=AX$6),$AV716,dNULL)</f>
        <v>-99</v>
      </c>
      <c r="AY716">
        <f ca="1">IF(AND($AT716&lt;3,OFFSET(DATA!$C$14,$AS716,0)=AY$6),$AV716,dNULL)</f>
        <v>-99</v>
      </c>
      <c r="AZ716">
        <f ca="1">IF(AND($AT716&lt;3,OFFSET(DATA!$C$14,$AS716,0)=AZ$6),$AV716,dNULL)</f>
        <v>-99</v>
      </c>
      <c r="BA716">
        <f ca="1">IF(AND($AT716&lt;3,OFFSET(DATA!$C$14,$AS716,0)=BA$6),$AV716,dNULL)</f>
        <v>-99</v>
      </c>
      <c r="BB716">
        <f ca="1">IF(AND($AT716&lt;3,OFFSET(DATA!$C$14,$AS716,0)=BB$6),$AV716,dNULL)</f>
        <v>-99</v>
      </c>
      <c r="BC716">
        <f ca="1">IF(AND($AT716&lt;3,OFFSET(DATA!$C$14,$AS716,0)=BC$6),$AV716,dNULL)</f>
        <v>-99</v>
      </c>
      <c r="BD716">
        <f ca="1">IF(AND($AT716&lt;3,OFFSET(DATA!$C$14,$AS716,0)=BD$6),$AV716,dNULL)</f>
        <v>-99</v>
      </c>
      <c r="BE716">
        <f ca="1">IF(AND($AT716&lt;3,OFFSET(DATA!$C$14,$AS716,0)=BE$6),$AV716,dNULL)</f>
        <v>-99</v>
      </c>
      <c r="BF716">
        <f ca="1">IF(AND($AT716&lt;3,OFFSET(DATA!$C$14,$AS716,0)=BF$6),$AV716,dNULL)</f>
        <v>-99</v>
      </c>
      <c r="BG716">
        <f ca="1">IF(AND($AT716&lt;3,OFFSET(DATA!$C$14,$AS716,0)=BG$6),$AV716,dNULL)</f>
        <v>-99</v>
      </c>
      <c r="BH716">
        <f ca="1">IF(AND($AT716&lt;3,OFFSET(DATA!$C$14,$AS716,0)=BH$6),$AV716,dNULL)</f>
        <v>-99</v>
      </c>
    </row>
    <row r="717" spans="45:60" x14ac:dyDescent="0.25">
      <c r="AS717">
        <f t="shared" si="132"/>
        <v>81</v>
      </c>
      <c r="AT717">
        <f t="shared" si="133"/>
        <v>7</v>
      </c>
      <c r="AU717">
        <f t="shared" ca="1" si="134"/>
        <v>-99</v>
      </c>
      <c r="AV717">
        <f t="shared" ca="1" si="135"/>
        <v>-99</v>
      </c>
      <c r="AW717">
        <f ca="1">IF(AND($AT717&lt;3,OFFSET(DATA!$C$14,$AS717,0)=AW$6),$AV717,dNULL)</f>
        <v>-99</v>
      </c>
      <c r="AX717">
        <f ca="1">IF(AND($AT717&lt;3,OFFSET(DATA!$C$14,$AS717,0)=AX$6),$AV717,dNULL)</f>
        <v>-99</v>
      </c>
      <c r="AY717">
        <f ca="1">IF(AND($AT717&lt;3,OFFSET(DATA!$C$14,$AS717,0)=AY$6),$AV717,dNULL)</f>
        <v>-99</v>
      </c>
      <c r="AZ717">
        <f ca="1">IF(AND($AT717&lt;3,OFFSET(DATA!$C$14,$AS717,0)=AZ$6),$AV717,dNULL)</f>
        <v>-99</v>
      </c>
      <c r="BA717">
        <f ca="1">IF(AND($AT717&lt;3,OFFSET(DATA!$C$14,$AS717,0)=BA$6),$AV717,dNULL)</f>
        <v>-99</v>
      </c>
      <c r="BB717">
        <f ca="1">IF(AND($AT717&lt;3,OFFSET(DATA!$C$14,$AS717,0)=BB$6),$AV717,dNULL)</f>
        <v>-99</v>
      </c>
      <c r="BC717">
        <f ca="1">IF(AND($AT717&lt;3,OFFSET(DATA!$C$14,$AS717,0)=BC$6),$AV717,dNULL)</f>
        <v>-99</v>
      </c>
      <c r="BD717">
        <f ca="1">IF(AND($AT717&lt;3,OFFSET(DATA!$C$14,$AS717,0)=BD$6),$AV717,dNULL)</f>
        <v>-99</v>
      </c>
      <c r="BE717">
        <f ca="1">IF(AND($AT717&lt;3,OFFSET(DATA!$C$14,$AS717,0)=BE$6),$AV717,dNULL)</f>
        <v>-99</v>
      </c>
      <c r="BF717">
        <f ca="1">IF(AND($AT717&lt;3,OFFSET(DATA!$C$14,$AS717,0)=BF$6),$AV717,dNULL)</f>
        <v>-99</v>
      </c>
      <c r="BG717">
        <f ca="1">IF(AND($AT717&lt;3,OFFSET(DATA!$C$14,$AS717,0)=BG$6),$AV717,dNULL)</f>
        <v>-99</v>
      </c>
      <c r="BH717">
        <f ca="1">IF(AND($AT717&lt;3,OFFSET(DATA!$C$14,$AS717,0)=BH$6),$AV717,dNULL)</f>
        <v>-99</v>
      </c>
    </row>
    <row r="718" spans="45:60" x14ac:dyDescent="0.25">
      <c r="AS718">
        <f t="shared" si="132"/>
        <v>82</v>
      </c>
      <c r="AT718">
        <f t="shared" si="133"/>
        <v>7</v>
      </c>
      <c r="AU718">
        <f t="shared" ca="1" si="134"/>
        <v>-99</v>
      </c>
      <c r="AV718">
        <f t="shared" ca="1" si="135"/>
        <v>-99</v>
      </c>
      <c r="AW718">
        <f ca="1">IF(AND($AT718&lt;3,OFFSET(DATA!$C$14,$AS718,0)=AW$6),$AV718,dNULL)</f>
        <v>-99</v>
      </c>
      <c r="AX718">
        <f ca="1">IF(AND($AT718&lt;3,OFFSET(DATA!$C$14,$AS718,0)=AX$6),$AV718,dNULL)</f>
        <v>-99</v>
      </c>
      <c r="AY718">
        <f ca="1">IF(AND($AT718&lt;3,OFFSET(DATA!$C$14,$AS718,0)=AY$6),$AV718,dNULL)</f>
        <v>-99</v>
      </c>
      <c r="AZ718">
        <f ca="1">IF(AND($AT718&lt;3,OFFSET(DATA!$C$14,$AS718,0)=AZ$6),$AV718,dNULL)</f>
        <v>-99</v>
      </c>
      <c r="BA718">
        <f ca="1">IF(AND($AT718&lt;3,OFFSET(DATA!$C$14,$AS718,0)=BA$6),$AV718,dNULL)</f>
        <v>-99</v>
      </c>
      <c r="BB718">
        <f ca="1">IF(AND($AT718&lt;3,OFFSET(DATA!$C$14,$AS718,0)=BB$6),$AV718,dNULL)</f>
        <v>-99</v>
      </c>
      <c r="BC718">
        <f ca="1">IF(AND($AT718&lt;3,OFFSET(DATA!$C$14,$AS718,0)=BC$6),$AV718,dNULL)</f>
        <v>-99</v>
      </c>
      <c r="BD718">
        <f ca="1">IF(AND($AT718&lt;3,OFFSET(DATA!$C$14,$AS718,0)=BD$6),$AV718,dNULL)</f>
        <v>-99</v>
      </c>
      <c r="BE718">
        <f ca="1">IF(AND($AT718&lt;3,OFFSET(DATA!$C$14,$AS718,0)=BE$6),$AV718,dNULL)</f>
        <v>-99</v>
      </c>
      <c r="BF718">
        <f ca="1">IF(AND($AT718&lt;3,OFFSET(DATA!$C$14,$AS718,0)=BF$6),$AV718,dNULL)</f>
        <v>-99</v>
      </c>
      <c r="BG718">
        <f ca="1">IF(AND($AT718&lt;3,OFFSET(DATA!$C$14,$AS718,0)=BG$6),$AV718,dNULL)</f>
        <v>-99</v>
      </c>
      <c r="BH718">
        <f ca="1">IF(AND($AT718&lt;3,OFFSET(DATA!$C$14,$AS718,0)=BH$6),$AV718,dNULL)</f>
        <v>-99</v>
      </c>
    </row>
    <row r="719" spans="45:60" x14ac:dyDescent="0.25">
      <c r="AS719">
        <f t="shared" si="132"/>
        <v>83</v>
      </c>
      <c r="AT719">
        <f t="shared" si="133"/>
        <v>7</v>
      </c>
      <c r="AU719">
        <f t="shared" ca="1" si="134"/>
        <v>-99</v>
      </c>
      <c r="AV719">
        <f t="shared" ca="1" si="135"/>
        <v>-99</v>
      </c>
      <c r="AW719">
        <f ca="1">IF(AND($AT719&lt;3,OFFSET(DATA!$C$14,$AS719,0)=AW$6),$AV719,dNULL)</f>
        <v>-99</v>
      </c>
      <c r="AX719">
        <f ca="1">IF(AND($AT719&lt;3,OFFSET(DATA!$C$14,$AS719,0)=AX$6),$AV719,dNULL)</f>
        <v>-99</v>
      </c>
      <c r="AY719">
        <f ca="1">IF(AND($AT719&lt;3,OFFSET(DATA!$C$14,$AS719,0)=AY$6),$AV719,dNULL)</f>
        <v>-99</v>
      </c>
      <c r="AZ719">
        <f ca="1">IF(AND($AT719&lt;3,OFFSET(DATA!$C$14,$AS719,0)=AZ$6),$AV719,dNULL)</f>
        <v>-99</v>
      </c>
      <c r="BA719">
        <f ca="1">IF(AND($AT719&lt;3,OFFSET(DATA!$C$14,$AS719,0)=BA$6),$AV719,dNULL)</f>
        <v>-99</v>
      </c>
      <c r="BB719">
        <f ca="1">IF(AND($AT719&lt;3,OFFSET(DATA!$C$14,$AS719,0)=BB$6),$AV719,dNULL)</f>
        <v>-99</v>
      </c>
      <c r="BC719">
        <f ca="1">IF(AND($AT719&lt;3,OFFSET(DATA!$C$14,$AS719,0)=BC$6),$AV719,dNULL)</f>
        <v>-99</v>
      </c>
      <c r="BD719">
        <f ca="1">IF(AND($AT719&lt;3,OFFSET(DATA!$C$14,$AS719,0)=BD$6),$AV719,dNULL)</f>
        <v>-99</v>
      </c>
      <c r="BE719">
        <f ca="1">IF(AND($AT719&lt;3,OFFSET(DATA!$C$14,$AS719,0)=BE$6),$AV719,dNULL)</f>
        <v>-99</v>
      </c>
      <c r="BF719">
        <f ca="1">IF(AND($AT719&lt;3,OFFSET(DATA!$C$14,$AS719,0)=BF$6),$AV719,dNULL)</f>
        <v>-99</v>
      </c>
      <c r="BG719">
        <f ca="1">IF(AND($AT719&lt;3,OFFSET(DATA!$C$14,$AS719,0)=BG$6),$AV719,dNULL)</f>
        <v>-99</v>
      </c>
      <c r="BH719">
        <f ca="1">IF(AND($AT719&lt;3,OFFSET(DATA!$C$14,$AS719,0)=BH$6),$AV719,dNULL)</f>
        <v>-99</v>
      </c>
    </row>
    <row r="720" spans="45:60" x14ac:dyDescent="0.25">
      <c r="AS720">
        <f t="shared" si="132"/>
        <v>84</v>
      </c>
      <c r="AT720">
        <f t="shared" si="133"/>
        <v>7</v>
      </c>
      <c r="AU720">
        <f t="shared" ca="1" si="134"/>
        <v>-99</v>
      </c>
      <c r="AV720">
        <f t="shared" ca="1" si="135"/>
        <v>-99</v>
      </c>
      <c r="AW720">
        <f ca="1">IF(AND($AT720&lt;3,OFFSET(DATA!$C$14,$AS720,0)=AW$6),$AV720,dNULL)</f>
        <v>-99</v>
      </c>
      <c r="AX720">
        <f ca="1">IF(AND($AT720&lt;3,OFFSET(DATA!$C$14,$AS720,0)=AX$6),$AV720,dNULL)</f>
        <v>-99</v>
      </c>
      <c r="AY720">
        <f ca="1">IF(AND($AT720&lt;3,OFFSET(DATA!$C$14,$AS720,0)=AY$6),$AV720,dNULL)</f>
        <v>-99</v>
      </c>
      <c r="AZ720">
        <f ca="1">IF(AND($AT720&lt;3,OFFSET(DATA!$C$14,$AS720,0)=AZ$6),$AV720,dNULL)</f>
        <v>-99</v>
      </c>
      <c r="BA720">
        <f ca="1">IF(AND($AT720&lt;3,OFFSET(DATA!$C$14,$AS720,0)=BA$6),$AV720,dNULL)</f>
        <v>-99</v>
      </c>
      <c r="BB720">
        <f ca="1">IF(AND($AT720&lt;3,OFFSET(DATA!$C$14,$AS720,0)=BB$6),$AV720,dNULL)</f>
        <v>-99</v>
      </c>
      <c r="BC720">
        <f ca="1">IF(AND($AT720&lt;3,OFFSET(DATA!$C$14,$AS720,0)=BC$6),$AV720,dNULL)</f>
        <v>-99</v>
      </c>
      <c r="BD720">
        <f ca="1">IF(AND($AT720&lt;3,OFFSET(DATA!$C$14,$AS720,0)=BD$6),$AV720,dNULL)</f>
        <v>-99</v>
      </c>
      <c r="BE720">
        <f ca="1">IF(AND($AT720&lt;3,OFFSET(DATA!$C$14,$AS720,0)=BE$6),$AV720,dNULL)</f>
        <v>-99</v>
      </c>
      <c r="BF720">
        <f ca="1">IF(AND($AT720&lt;3,OFFSET(DATA!$C$14,$AS720,0)=BF$6),$AV720,dNULL)</f>
        <v>-99</v>
      </c>
      <c r="BG720">
        <f ca="1">IF(AND($AT720&lt;3,OFFSET(DATA!$C$14,$AS720,0)=BG$6),$AV720,dNULL)</f>
        <v>-99</v>
      </c>
      <c r="BH720">
        <f ca="1">IF(AND($AT720&lt;3,OFFSET(DATA!$C$14,$AS720,0)=BH$6),$AV720,dNULL)</f>
        <v>-99</v>
      </c>
    </row>
    <row r="721" spans="45:60" x14ac:dyDescent="0.25">
      <c r="AS721">
        <f t="shared" si="132"/>
        <v>85</v>
      </c>
      <c r="AT721">
        <f t="shared" si="133"/>
        <v>7</v>
      </c>
      <c r="AU721">
        <f t="shared" ca="1" si="134"/>
        <v>-99</v>
      </c>
      <c r="AV721">
        <f t="shared" ca="1" si="135"/>
        <v>-99</v>
      </c>
      <c r="AW721">
        <f ca="1">IF(AND($AT721&lt;3,OFFSET(DATA!$C$14,$AS721,0)=AW$6),$AV721,dNULL)</f>
        <v>-99</v>
      </c>
      <c r="AX721">
        <f ca="1">IF(AND($AT721&lt;3,OFFSET(DATA!$C$14,$AS721,0)=AX$6),$AV721,dNULL)</f>
        <v>-99</v>
      </c>
      <c r="AY721">
        <f ca="1">IF(AND($AT721&lt;3,OFFSET(DATA!$C$14,$AS721,0)=AY$6),$AV721,dNULL)</f>
        <v>-99</v>
      </c>
      <c r="AZ721">
        <f ca="1">IF(AND($AT721&lt;3,OFFSET(DATA!$C$14,$AS721,0)=AZ$6),$AV721,dNULL)</f>
        <v>-99</v>
      </c>
      <c r="BA721">
        <f ca="1">IF(AND($AT721&lt;3,OFFSET(DATA!$C$14,$AS721,0)=BA$6),$AV721,dNULL)</f>
        <v>-99</v>
      </c>
      <c r="BB721">
        <f ca="1">IF(AND($AT721&lt;3,OFFSET(DATA!$C$14,$AS721,0)=BB$6),$AV721,dNULL)</f>
        <v>-99</v>
      </c>
      <c r="BC721">
        <f ca="1">IF(AND($AT721&lt;3,OFFSET(DATA!$C$14,$AS721,0)=BC$6),$AV721,dNULL)</f>
        <v>-99</v>
      </c>
      <c r="BD721">
        <f ca="1">IF(AND($AT721&lt;3,OFFSET(DATA!$C$14,$AS721,0)=BD$6),$AV721,dNULL)</f>
        <v>-99</v>
      </c>
      <c r="BE721">
        <f ca="1">IF(AND($AT721&lt;3,OFFSET(DATA!$C$14,$AS721,0)=BE$6),$AV721,dNULL)</f>
        <v>-99</v>
      </c>
      <c r="BF721">
        <f ca="1">IF(AND($AT721&lt;3,OFFSET(DATA!$C$14,$AS721,0)=BF$6),$AV721,dNULL)</f>
        <v>-99</v>
      </c>
      <c r="BG721">
        <f ca="1">IF(AND($AT721&lt;3,OFFSET(DATA!$C$14,$AS721,0)=BG$6),$AV721,dNULL)</f>
        <v>-99</v>
      </c>
      <c r="BH721">
        <f ca="1">IF(AND($AT721&lt;3,OFFSET(DATA!$C$14,$AS721,0)=BH$6),$AV721,dNULL)</f>
        <v>-99</v>
      </c>
    </row>
    <row r="722" spans="45:60" x14ac:dyDescent="0.25">
      <c r="AS722">
        <f t="shared" si="132"/>
        <v>86</v>
      </c>
      <c r="AT722">
        <f t="shared" si="133"/>
        <v>7</v>
      </c>
      <c r="AU722">
        <f t="shared" ca="1" si="134"/>
        <v>-99</v>
      </c>
      <c r="AV722">
        <f t="shared" ca="1" si="135"/>
        <v>-99</v>
      </c>
      <c r="AW722">
        <f ca="1">IF(AND($AT722&lt;3,OFFSET(DATA!$C$14,$AS722,0)=AW$6),$AV722,dNULL)</f>
        <v>-99</v>
      </c>
      <c r="AX722">
        <f ca="1">IF(AND($AT722&lt;3,OFFSET(DATA!$C$14,$AS722,0)=AX$6),$AV722,dNULL)</f>
        <v>-99</v>
      </c>
      <c r="AY722">
        <f ca="1">IF(AND($AT722&lt;3,OFFSET(DATA!$C$14,$AS722,0)=AY$6),$AV722,dNULL)</f>
        <v>-99</v>
      </c>
      <c r="AZ722">
        <f ca="1">IF(AND($AT722&lt;3,OFFSET(DATA!$C$14,$AS722,0)=AZ$6),$AV722,dNULL)</f>
        <v>-99</v>
      </c>
      <c r="BA722">
        <f ca="1">IF(AND($AT722&lt;3,OFFSET(DATA!$C$14,$AS722,0)=BA$6),$AV722,dNULL)</f>
        <v>-99</v>
      </c>
      <c r="BB722">
        <f ca="1">IF(AND($AT722&lt;3,OFFSET(DATA!$C$14,$AS722,0)=BB$6),$AV722,dNULL)</f>
        <v>-99</v>
      </c>
      <c r="BC722">
        <f ca="1">IF(AND($AT722&lt;3,OFFSET(DATA!$C$14,$AS722,0)=BC$6),$AV722,dNULL)</f>
        <v>-99</v>
      </c>
      <c r="BD722">
        <f ca="1">IF(AND($AT722&lt;3,OFFSET(DATA!$C$14,$AS722,0)=BD$6),$AV722,dNULL)</f>
        <v>-99</v>
      </c>
      <c r="BE722">
        <f ca="1">IF(AND($AT722&lt;3,OFFSET(DATA!$C$14,$AS722,0)=BE$6),$AV722,dNULL)</f>
        <v>-99</v>
      </c>
      <c r="BF722">
        <f ca="1">IF(AND($AT722&lt;3,OFFSET(DATA!$C$14,$AS722,0)=BF$6),$AV722,dNULL)</f>
        <v>-99</v>
      </c>
      <c r="BG722">
        <f ca="1">IF(AND($AT722&lt;3,OFFSET(DATA!$C$14,$AS722,0)=BG$6),$AV722,dNULL)</f>
        <v>-99</v>
      </c>
      <c r="BH722">
        <f ca="1">IF(AND($AT722&lt;3,OFFSET(DATA!$C$14,$AS722,0)=BH$6),$AV722,dNULL)</f>
        <v>-99</v>
      </c>
    </row>
    <row r="723" spans="45:60" x14ac:dyDescent="0.25">
      <c r="AS723">
        <f t="shared" si="132"/>
        <v>87</v>
      </c>
      <c r="AT723">
        <f t="shared" si="133"/>
        <v>7</v>
      </c>
      <c r="AU723">
        <f t="shared" ca="1" si="134"/>
        <v>-99</v>
      </c>
      <c r="AV723">
        <f t="shared" ca="1" si="135"/>
        <v>-99</v>
      </c>
      <c r="AW723">
        <f ca="1">IF(AND($AT723&lt;3,OFFSET(DATA!$C$14,$AS723,0)=AW$6),$AV723,dNULL)</f>
        <v>-99</v>
      </c>
      <c r="AX723">
        <f ca="1">IF(AND($AT723&lt;3,OFFSET(DATA!$C$14,$AS723,0)=AX$6),$AV723,dNULL)</f>
        <v>-99</v>
      </c>
      <c r="AY723">
        <f ca="1">IF(AND($AT723&lt;3,OFFSET(DATA!$C$14,$AS723,0)=AY$6),$AV723,dNULL)</f>
        <v>-99</v>
      </c>
      <c r="AZ723">
        <f ca="1">IF(AND($AT723&lt;3,OFFSET(DATA!$C$14,$AS723,0)=AZ$6),$AV723,dNULL)</f>
        <v>-99</v>
      </c>
      <c r="BA723">
        <f ca="1">IF(AND($AT723&lt;3,OFFSET(DATA!$C$14,$AS723,0)=BA$6),$AV723,dNULL)</f>
        <v>-99</v>
      </c>
      <c r="BB723">
        <f ca="1">IF(AND($AT723&lt;3,OFFSET(DATA!$C$14,$AS723,0)=BB$6),$AV723,dNULL)</f>
        <v>-99</v>
      </c>
      <c r="BC723">
        <f ca="1">IF(AND($AT723&lt;3,OFFSET(DATA!$C$14,$AS723,0)=BC$6),$AV723,dNULL)</f>
        <v>-99</v>
      </c>
      <c r="BD723">
        <f ca="1">IF(AND($AT723&lt;3,OFFSET(DATA!$C$14,$AS723,0)=BD$6),$AV723,dNULL)</f>
        <v>-99</v>
      </c>
      <c r="BE723">
        <f ca="1">IF(AND($AT723&lt;3,OFFSET(DATA!$C$14,$AS723,0)=BE$6),$AV723,dNULL)</f>
        <v>-99</v>
      </c>
      <c r="BF723">
        <f ca="1">IF(AND($AT723&lt;3,OFFSET(DATA!$C$14,$AS723,0)=BF$6),$AV723,dNULL)</f>
        <v>-99</v>
      </c>
      <c r="BG723">
        <f ca="1">IF(AND($AT723&lt;3,OFFSET(DATA!$C$14,$AS723,0)=BG$6),$AV723,dNULL)</f>
        <v>-99</v>
      </c>
      <c r="BH723">
        <f ca="1">IF(AND($AT723&lt;3,OFFSET(DATA!$C$14,$AS723,0)=BH$6),$AV723,dNULL)</f>
        <v>-99</v>
      </c>
    </row>
    <row r="724" spans="45:60" x14ac:dyDescent="0.25">
      <c r="AS724">
        <f t="shared" si="132"/>
        <v>88</v>
      </c>
      <c r="AT724">
        <f t="shared" si="133"/>
        <v>7</v>
      </c>
      <c r="AU724">
        <f t="shared" ca="1" si="134"/>
        <v>-99</v>
      </c>
      <c r="AV724">
        <f t="shared" ca="1" si="135"/>
        <v>-99</v>
      </c>
      <c r="AW724">
        <f ca="1">IF(AND($AT724&lt;3,OFFSET(DATA!$C$14,$AS724,0)=AW$6),$AV724,dNULL)</f>
        <v>-99</v>
      </c>
      <c r="AX724">
        <f ca="1">IF(AND($AT724&lt;3,OFFSET(DATA!$C$14,$AS724,0)=AX$6),$AV724,dNULL)</f>
        <v>-99</v>
      </c>
      <c r="AY724">
        <f ca="1">IF(AND($AT724&lt;3,OFFSET(DATA!$C$14,$AS724,0)=AY$6),$AV724,dNULL)</f>
        <v>-99</v>
      </c>
      <c r="AZ724">
        <f ca="1">IF(AND($AT724&lt;3,OFFSET(DATA!$C$14,$AS724,0)=AZ$6),$AV724,dNULL)</f>
        <v>-99</v>
      </c>
      <c r="BA724">
        <f ca="1">IF(AND($AT724&lt;3,OFFSET(DATA!$C$14,$AS724,0)=BA$6),$AV724,dNULL)</f>
        <v>-99</v>
      </c>
      <c r="BB724">
        <f ca="1">IF(AND($AT724&lt;3,OFFSET(DATA!$C$14,$AS724,0)=BB$6),$AV724,dNULL)</f>
        <v>-99</v>
      </c>
      <c r="BC724">
        <f ca="1">IF(AND($AT724&lt;3,OFFSET(DATA!$C$14,$AS724,0)=BC$6),$AV724,dNULL)</f>
        <v>-99</v>
      </c>
      <c r="BD724">
        <f ca="1">IF(AND($AT724&lt;3,OFFSET(DATA!$C$14,$AS724,0)=BD$6),$AV724,dNULL)</f>
        <v>-99</v>
      </c>
      <c r="BE724">
        <f ca="1">IF(AND($AT724&lt;3,OFFSET(DATA!$C$14,$AS724,0)=BE$6),$AV724,dNULL)</f>
        <v>-99</v>
      </c>
      <c r="BF724">
        <f ca="1">IF(AND($AT724&lt;3,OFFSET(DATA!$C$14,$AS724,0)=BF$6),$AV724,dNULL)</f>
        <v>-99</v>
      </c>
      <c r="BG724">
        <f ca="1">IF(AND($AT724&lt;3,OFFSET(DATA!$C$14,$AS724,0)=BG$6),$AV724,dNULL)</f>
        <v>-99</v>
      </c>
      <c r="BH724">
        <f ca="1">IF(AND($AT724&lt;3,OFFSET(DATA!$C$14,$AS724,0)=BH$6),$AV724,dNULL)</f>
        <v>-99</v>
      </c>
    </row>
    <row r="725" spans="45:60" x14ac:dyDescent="0.25">
      <c r="AS725">
        <f t="shared" si="132"/>
        <v>89</v>
      </c>
      <c r="AT725">
        <f t="shared" si="133"/>
        <v>7</v>
      </c>
      <c r="AU725">
        <f t="shared" ca="1" si="134"/>
        <v>-99</v>
      </c>
      <c r="AV725">
        <f t="shared" ca="1" si="135"/>
        <v>-99</v>
      </c>
      <c r="AW725">
        <f ca="1">IF(AND($AT725&lt;3,OFFSET(DATA!$C$14,$AS725,0)=AW$6),$AV725,dNULL)</f>
        <v>-99</v>
      </c>
      <c r="AX725">
        <f ca="1">IF(AND($AT725&lt;3,OFFSET(DATA!$C$14,$AS725,0)=AX$6),$AV725,dNULL)</f>
        <v>-99</v>
      </c>
      <c r="AY725">
        <f ca="1">IF(AND($AT725&lt;3,OFFSET(DATA!$C$14,$AS725,0)=AY$6),$AV725,dNULL)</f>
        <v>-99</v>
      </c>
      <c r="AZ725">
        <f ca="1">IF(AND($AT725&lt;3,OFFSET(DATA!$C$14,$AS725,0)=AZ$6),$AV725,dNULL)</f>
        <v>-99</v>
      </c>
      <c r="BA725">
        <f ca="1">IF(AND($AT725&lt;3,OFFSET(DATA!$C$14,$AS725,0)=BA$6),$AV725,dNULL)</f>
        <v>-99</v>
      </c>
      <c r="BB725">
        <f ca="1">IF(AND($AT725&lt;3,OFFSET(DATA!$C$14,$AS725,0)=BB$6),$AV725,dNULL)</f>
        <v>-99</v>
      </c>
      <c r="BC725">
        <f ca="1">IF(AND($AT725&lt;3,OFFSET(DATA!$C$14,$AS725,0)=BC$6),$AV725,dNULL)</f>
        <v>-99</v>
      </c>
      <c r="BD725">
        <f ca="1">IF(AND($AT725&lt;3,OFFSET(DATA!$C$14,$AS725,0)=BD$6),$AV725,dNULL)</f>
        <v>-99</v>
      </c>
      <c r="BE725">
        <f ca="1">IF(AND($AT725&lt;3,OFFSET(DATA!$C$14,$AS725,0)=BE$6),$AV725,dNULL)</f>
        <v>-99</v>
      </c>
      <c r="BF725">
        <f ca="1">IF(AND($AT725&lt;3,OFFSET(DATA!$C$14,$AS725,0)=BF$6),$AV725,dNULL)</f>
        <v>-99</v>
      </c>
      <c r="BG725">
        <f ca="1">IF(AND($AT725&lt;3,OFFSET(DATA!$C$14,$AS725,0)=BG$6),$AV725,dNULL)</f>
        <v>-99</v>
      </c>
      <c r="BH725">
        <f ca="1">IF(AND($AT725&lt;3,OFFSET(DATA!$C$14,$AS725,0)=BH$6),$AV725,dNULL)</f>
        <v>-99</v>
      </c>
    </row>
    <row r="726" spans="45:60" x14ac:dyDescent="0.25">
      <c r="AS726">
        <f t="shared" si="132"/>
        <v>90</v>
      </c>
      <c r="AT726">
        <f t="shared" si="133"/>
        <v>7</v>
      </c>
      <c r="AU726">
        <f t="shared" ca="1" si="134"/>
        <v>-99</v>
      </c>
      <c r="AV726">
        <f t="shared" ca="1" si="135"/>
        <v>-99</v>
      </c>
      <c r="AW726">
        <f ca="1">IF(AND($AT726&lt;3,OFFSET(DATA!$C$14,$AS726,0)=AW$6),$AV726,dNULL)</f>
        <v>-99</v>
      </c>
      <c r="AX726">
        <f ca="1">IF(AND($AT726&lt;3,OFFSET(DATA!$C$14,$AS726,0)=AX$6),$AV726,dNULL)</f>
        <v>-99</v>
      </c>
      <c r="AY726">
        <f ca="1">IF(AND($AT726&lt;3,OFFSET(DATA!$C$14,$AS726,0)=AY$6),$AV726,dNULL)</f>
        <v>-99</v>
      </c>
      <c r="AZ726">
        <f ca="1">IF(AND($AT726&lt;3,OFFSET(DATA!$C$14,$AS726,0)=AZ$6),$AV726,dNULL)</f>
        <v>-99</v>
      </c>
      <c r="BA726">
        <f ca="1">IF(AND($AT726&lt;3,OFFSET(DATA!$C$14,$AS726,0)=BA$6),$AV726,dNULL)</f>
        <v>-99</v>
      </c>
      <c r="BB726">
        <f ca="1">IF(AND($AT726&lt;3,OFFSET(DATA!$C$14,$AS726,0)=BB$6),$AV726,dNULL)</f>
        <v>-99</v>
      </c>
      <c r="BC726">
        <f ca="1">IF(AND($AT726&lt;3,OFFSET(DATA!$C$14,$AS726,0)=BC$6),$AV726,dNULL)</f>
        <v>-99</v>
      </c>
      <c r="BD726">
        <f ca="1">IF(AND($AT726&lt;3,OFFSET(DATA!$C$14,$AS726,0)=BD$6),$AV726,dNULL)</f>
        <v>-99</v>
      </c>
      <c r="BE726">
        <f ca="1">IF(AND($AT726&lt;3,OFFSET(DATA!$C$14,$AS726,0)=BE$6),$AV726,dNULL)</f>
        <v>-99</v>
      </c>
      <c r="BF726">
        <f ca="1">IF(AND($AT726&lt;3,OFFSET(DATA!$C$14,$AS726,0)=BF$6),$AV726,dNULL)</f>
        <v>-99</v>
      </c>
      <c r="BG726">
        <f ca="1">IF(AND($AT726&lt;3,OFFSET(DATA!$C$14,$AS726,0)=BG$6),$AV726,dNULL)</f>
        <v>-99</v>
      </c>
      <c r="BH726">
        <f ca="1">IF(AND($AT726&lt;3,OFFSET(DATA!$C$14,$AS726,0)=BH$6),$AV726,dNULL)</f>
        <v>-99</v>
      </c>
    </row>
    <row r="727" spans="45:60" x14ac:dyDescent="0.25">
      <c r="AS727">
        <f t="shared" si="132"/>
        <v>1</v>
      </c>
      <c r="AT727">
        <f t="shared" si="133"/>
        <v>8</v>
      </c>
      <c r="AU727">
        <f t="shared" ca="1" si="134"/>
        <v>-99</v>
      </c>
      <c r="AV727">
        <f t="shared" ca="1" si="135"/>
        <v>-99</v>
      </c>
      <c r="AW727">
        <f ca="1">IF(AND($AT727&lt;3,OFFSET(DATA!$C$14,$AS727,0)=AW$6),$AV727,dNULL)</f>
        <v>-99</v>
      </c>
      <c r="AX727">
        <f ca="1">IF(AND($AT727&lt;3,OFFSET(DATA!$C$14,$AS727,0)=AX$6),$AV727,dNULL)</f>
        <v>-99</v>
      </c>
      <c r="AY727">
        <f ca="1">IF(AND($AT727&lt;3,OFFSET(DATA!$C$14,$AS727,0)=AY$6),$AV727,dNULL)</f>
        <v>-99</v>
      </c>
      <c r="AZ727">
        <f ca="1">IF(AND($AT727&lt;3,OFFSET(DATA!$C$14,$AS727,0)=AZ$6),$AV727,dNULL)</f>
        <v>-99</v>
      </c>
      <c r="BA727">
        <f ca="1">IF(AND($AT727&lt;3,OFFSET(DATA!$C$14,$AS727,0)=BA$6),$AV727,dNULL)</f>
        <v>-99</v>
      </c>
      <c r="BB727">
        <f ca="1">IF(AND($AT727&lt;3,OFFSET(DATA!$C$14,$AS727,0)=BB$6),$AV727,dNULL)</f>
        <v>-99</v>
      </c>
      <c r="BC727">
        <f ca="1">IF(AND($AT727&lt;3,OFFSET(DATA!$C$14,$AS727,0)=BC$6),$AV727,dNULL)</f>
        <v>-99</v>
      </c>
      <c r="BD727">
        <f ca="1">IF(AND($AT727&lt;3,OFFSET(DATA!$C$14,$AS727,0)=BD$6),$AV727,dNULL)</f>
        <v>-99</v>
      </c>
      <c r="BE727">
        <f ca="1">IF(AND($AT727&lt;3,OFFSET(DATA!$C$14,$AS727,0)=BE$6),$AV727,dNULL)</f>
        <v>-99</v>
      </c>
      <c r="BF727">
        <f ca="1">IF(AND($AT727&lt;3,OFFSET(DATA!$C$14,$AS727,0)=BF$6),$AV727,dNULL)</f>
        <v>-99</v>
      </c>
      <c r="BG727">
        <f ca="1">IF(AND($AT727&lt;3,OFFSET(DATA!$C$14,$AS727,0)=BG$6),$AV727,dNULL)</f>
        <v>-99</v>
      </c>
      <c r="BH727">
        <f ca="1">IF(AND($AT727&lt;3,OFFSET(DATA!$C$14,$AS727,0)=BH$6),$AV727,dNULL)</f>
        <v>-99</v>
      </c>
    </row>
    <row r="728" spans="45:60" x14ac:dyDescent="0.25">
      <c r="AS728">
        <f t="shared" si="132"/>
        <v>2</v>
      </c>
      <c r="AT728">
        <f t="shared" si="133"/>
        <v>8</v>
      </c>
      <c r="AU728">
        <f t="shared" ca="1" si="134"/>
        <v>-99</v>
      </c>
      <c r="AV728">
        <f t="shared" ca="1" si="135"/>
        <v>-99</v>
      </c>
      <c r="AW728">
        <f ca="1">IF(AND($AT728&lt;3,OFFSET(DATA!$C$14,$AS728,0)=AW$6),$AV728,dNULL)</f>
        <v>-99</v>
      </c>
      <c r="AX728">
        <f ca="1">IF(AND($AT728&lt;3,OFFSET(DATA!$C$14,$AS728,0)=AX$6),$AV728,dNULL)</f>
        <v>-99</v>
      </c>
      <c r="AY728">
        <f ca="1">IF(AND($AT728&lt;3,OFFSET(DATA!$C$14,$AS728,0)=AY$6),$AV728,dNULL)</f>
        <v>-99</v>
      </c>
      <c r="AZ728">
        <f ca="1">IF(AND($AT728&lt;3,OFFSET(DATA!$C$14,$AS728,0)=AZ$6),$AV728,dNULL)</f>
        <v>-99</v>
      </c>
      <c r="BA728">
        <f ca="1">IF(AND($AT728&lt;3,OFFSET(DATA!$C$14,$AS728,0)=BA$6),$AV728,dNULL)</f>
        <v>-99</v>
      </c>
      <c r="BB728">
        <f ca="1">IF(AND($AT728&lt;3,OFFSET(DATA!$C$14,$AS728,0)=BB$6),$AV728,dNULL)</f>
        <v>-99</v>
      </c>
      <c r="BC728">
        <f ca="1">IF(AND($AT728&lt;3,OFFSET(DATA!$C$14,$AS728,0)=BC$6),$AV728,dNULL)</f>
        <v>-99</v>
      </c>
      <c r="BD728">
        <f ca="1">IF(AND($AT728&lt;3,OFFSET(DATA!$C$14,$AS728,0)=BD$6),$AV728,dNULL)</f>
        <v>-99</v>
      </c>
      <c r="BE728">
        <f ca="1">IF(AND($AT728&lt;3,OFFSET(DATA!$C$14,$AS728,0)=BE$6),$AV728,dNULL)</f>
        <v>-99</v>
      </c>
      <c r="BF728">
        <f ca="1">IF(AND($AT728&lt;3,OFFSET(DATA!$C$14,$AS728,0)=BF$6),$AV728,dNULL)</f>
        <v>-99</v>
      </c>
      <c r="BG728">
        <f ca="1">IF(AND($AT728&lt;3,OFFSET(DATA!$C$14,$AS728,0)=BG$6),$AV728,dNULL)</f>
        <v>-99</v>
      </c>
      <c r="BH728">
        <f ca="1">IF(AND($AT728&lt;3,OFFSET(DATA!$C$14,$AS728,0)=BH$6),$AV728,dNULL)</f>
        <v>-99</v>
      </c>
    </row>
    <row r="729" spans="45:60" x14ac:dyDescent="0.25">
      <c r="AS729">
        <f t="shared" si="132"/>
        <v>3</v>
      </c>
      <c r="AT729">
        <f t="shared" si="133"/>
        <v>8</v>
      </c>
      <c r="AU729">
        <f t="shared" ca="1" si="134"/>
        <v>-99</v>
      </c>
      <c r="AV729">
        <f t="shared" ca="1" si="135"/>
        <v>-99</v>
      </c>
      <c r="AW729">
        <f ca="1">IF(AND($AT729&lt;3,OFFSET(DATA!$C$14,$AS729,0)=AW$6),$AV729,dNULL)</f>
        <v>-99</v>
      </c>
      <c r="AX729">
        <f ca="1">IF(AND($AT729&lt;3,OFFSET(DATA!$C$14,$AS729,0)=AX$6),$AV729,dNULL)</f>
        <v>-99</v>
      </c>
      <c r="AY729">
        <f ca="1">IF(AND($AT729&lt;3,OFFSET(DATA!$C$14,$AS729,0)=AY$6),$AV729,dNULL)</f>
        <v>-99</v>
      </c>
      <c r="AZ729">
        <f ca="1">IF(AND($AT729&lt;3,OFFSET(DATA!$C$14,$AS729,0)=AZ$6),$AV729,dNULL)</f>
        <v>-99</v>
      </c>
      <c r="BA729">
        <f ca="1">IF(AND($AT729&lt;3,OFFSET(DATA!$C$14,$AS729,0)=BA$6),$AV729,dNULL)</f>
        <v>-99</v>
      </c>
      <c r="BB729">
        <f ca="1">IF(AND($AT729&lt;3,OFFSET(DATA!$C$14,$AS729,0)=BB$6),$AV729,dNULL)</f>
        <v>-99</v>
      </c>
      <c r="BC729">
        <f ca="1">IF(AND($AT729&lt;3,OFFSET(DATA!$C$14,$AS729,0)=BC$6),$AV729,dNULL)</f>
        <v>-99</v>
      </c>
      <c r="BD729">
        <f ca="1">IF(AND($AT729&lt;3,OFFSET(DATA!$C$14,$AS729,0)=BD$6),$AV729,dNULL)</f>
        <v>-99</v>
      </c>
      <c r="BE729">
        <f ca="1">IF(AND($AT729&lt;3,OFFSET(DATA!$C$14,$AS729,0)=BE$6),$AV729,dNULL)</f>
        <v>-99</v>
      </c>
      <c r="BF729">
        <f ca="1">IF(AND($AT729&lt;3,OFFSET(DATA!$C$14,$AS729,0)=BF$6),$AV729,dNULL)</f>
        <v>-99</v>
      </c>
      <c r="BG729">
        <f ca="1">IF(AND($AT729&lt;3,OFFSET(DATA!$C$14,$AS729,0)=BG$6),$AV729,dNULL)</f>
        <v>-99</v>
      </c>
      <c r="BH729">
        <f ca="1">IF(AND($AT729&lt;3,OFFSET(DATA!$C$14,$AS729,0)=BH$6),$AV729,dNULL)</f>
        <v>-99</v>
      </c>
    </row>
    <row r="730" spans="45:60" x14ac:dyDescent="0.25">
      <c r="AS730">
        <f t="shared" si="132"/>
        <v>4</v>
      </c>
      <c r="AT730">
        <f t="shared" si="133"/>
        <v>8</v>
      </c>
      <c r="AU730">
        <f t="shared" ca="1" si="134"/>
        <v>-99</v>
      </c>
      <c r="AV730">
        <f t="shared" ca="1" si="135"/>
        <v>-99</v>
      </c>
      <c r="AW730">
        <f ca="1">IF(AND($AT730&lt;3,OFFSET(DATA!$C$14,$AS730,0)=AW$6),$AV730,dNULL)</f>
        <v>-99</v>
      </c>
      <c r="AX730">
        <f ca="1">IF(AND($AT730&lt;3,OFFSET(DATA!$C$14,$AS730,0)=AX$6),$AV730,dNULL)</f>
        <v>-99</v>
      </c>
      <c r="AY730">
        <f ca="1">IF(AND($AT730&lt;3,OFFSET(DATA!$C$14,$AS730,0)=AY$6),$AV730,dNULL)</f>
        <v>-99</v>
      </c>
      <c r="AZ730">
        <f ca="1">IF(AND($AT730&lt;3,OFFSET(DATA!$C$14,$AS730,0)=AZ$6),$AV730,dNULL)</f>
        <v>-99</v>
      </c>
      <c r="BA730">
        <f ca="1">IF(AND($AT730&lt;3,OFFSET(DATA!$C$14,$AS730,0)=BA$6),$AV730,dNULL)</f>
        <v>-99</v>
      </c>
      <c r="BB730">
        <f ca="1">IF(AND($AT730&lt;3,OFFSET(DATA!$C$14,$AS730,0)=BB$6),$AV730,dNULL)</f>
        <v>-99</v>
      </c>
      <c r="BC730">
        <f ca="1">IF(AND($AT730&lt;3,OFFSET(DATA!$C$14,$AS730,0)=BC$6),$AV730,dNULL)</f>
        <v>-99</v>
      </c>
      <c r="BD730">
        <f ca="1">IF(AND($AT730&lt;3,OFFSET(DATA!$C$14,$AS730,0)=BD$6),$AV730,dNULL)</f>
        <v>-99</v>
      </c>
      <c r="BE730">
        <f ca="1">IF(AND($AT730&lt;3,OFFSET(DATA!$C$14,$AS730,0)=BE$6),$AV730,dNULL)</f>
        <v>-99</v>
      </c>
      <c r="BF730">
        <f ca="1">IF(AND($AT730&lt;3,OFFSET(DATA!$C$14,$AS730,0)=BF$6),$AV730,dNULL)</f>
        <v>-99</v>
      </c>
      <c r="BG730">
        <f ca="1">IF(AND($AT730&lt;3,OFFSET(DATA!$C$14,$AS730,0)=BG$6),$AV730,dNULL)</f>
        <v>-99</v>
      </c>
      <c r="BH730">
        <f ca="1">IF(AND($AT730&lt;3,OFFSET(DATA!$C$14,$AS730,0)=BH$6),$AV730,dNULL)</f>
        <v>-99</v>
      </c>
    </row>
    <row r="731" spans="45:60" x14ac:dyDescent="0.25">
      <c r="AS731">
        <f t="shared" si="132"/>
        <v>5</v>
      </c>
      <c r="AT731">
        <f t="shared" si="133"/>
        <v>8</v>
      </c>
      <c r="AU731">
        <f t="shared" ca="1" si="134"/>
        <v>-99</v>
      </c>
      <c r="AV731">
        <f t="shared" ca="1" si="135"/>
        <v>-99</v>
      </c>
      <c r="AW731">
        <f ca="1">IF(AND($AT731&lt;3,OFFSET(DATA!$C$14,$AS731,0)=AW$6),$AV731,dNULL)</f>
        <v>-99</v>
      </c>
      <c r="AX731">
        <f ca="1">IF(AND($AT731&lt;3,OFFSET(DATA!$C$14,$AS731,0)=AX$6),$AV731,dNULL)</f>
        <v>-99</v>
      </c>
      <c r="AY731">
        <f ca="1">IF(AND($AT731&lt;3,OFFSET(DATA!$C$14,$AS731,0)=AY$6),$AV731,dNULL)</f>
        <v>-99</v>
      </c>
      <c r="AZ731">
        <f ca="1">IF(AND($AT731&lt;3,OFFSET(DATA!$C$14,$AS731,0)=AZ$6),$AV731,dNULL)</f>
        <v>-99</v>
      </c>
      <c r="BA731">
        <f ca="1">IF(AND($AT731&lt;3,OFFSET(DATA!$C$14,$AS731,0)=BA$6),$AV731,dNULL)</f>
        <v>-99</v>
      </c>
      <c r="BB731">
        <f ca="1">IF(AND($AT731&lt;3,OFFSET(DATA!$C$14,$AS731,0)=BB$6),$AV731,dNULL)</f>
        <v>-99</v>
      </c>
      <c r="BC731">
        <f ca="1">IF(AND($AT731&lt;3,OFFSET(DATA!$C$14,$AS731,0)=BC$6),$AV731,dNULL)</f>
        <v>-99</v>
      </c>
      <c r="BD731">
        <f ca="1">IF(AND($AT731&lt;3,OFFSET(DATA!$C$14,$AS731,0)=BD$6),$AV731,dNULL)</f>
        <v>-99</v>
      </c>
      <c r="BE731">
        <f ca="1">IF(AND($AT731&lt;3,OFFSET(DATA!$C$14,$AS731,0)=BE$6),$AV731,dNULL)</f>
        <v>-99</v>
      </c>
      <c r="BF731">
        <f ca="1">IF(AND($AT731&lt;3,OFFSET(DATA!$C$14,$AS731,0)=BF$6),$AV731,dNULL)</f>
        <v>-99</v>
      </c>
      <c r="BG731">
        <f ca="1">IF(AND($AT731&lt;3,OFFSET(DATA!$C$14,$AS731,0)=BG$6),$AV731,dNULL)</f>
        <v>-99</v>
      </c>
      <c r="BH731">
        <f ca="1">IF(AND($AT731&lt;3,OFFSET(DATA!$C$14,$AS731,0)=BH$6),$AV731,dNULL)</f>
        <v>-99</v>
      </c>
    </row>
    <row r="732" spans="45:60" x14ac:dyDescent="0.25">
      <c r="AS732">
        <f t="shared" si="132"/>
        <v>6</v>
      </c>
      <c r="AT732">
        <f t="shared" si="133"/>
        <v>8</v>
      </c>
      <c r="AU732">
        <f t="shared" ca="1" si="134"/>
        <v>-99</v>
      </c>
      <c r="AV732">
        <f t="shared" ca="1" si="135"/>
        <v>-99</v>
      </c>
      <c r="AW732">
        <f ca="1">IF(AND($AT732&lt;3,OFFSET(DATA!$C$14,$AS732,0)=AW$6),$AV732,dNULL)</f>
        <v>-99</v>
      </c>
      <c r="AX732">
        <f ca="1">IF(AND($AT732&lt;3,OFFSET(DATA!$C$14,$AS732,0)=AX$6),$AV732,dNULL)</f>
        <v>-99</v>
      </c>
      <c r="AY732">
        <f ca="1">IF(AND($AT732&lt;3,OFFSET(DATA!$C$14,$AS732,0)=AY$6),$AV732,dNULL)</f>
        <v>-99</v>
      </c>
      <c r="AZ732">
        <f ca="1">IF(AND($AT732&lt;3,OFFSET(DATA!$C$14,$AS732,0)=AZ$6),$AV732,dNULL)</f>
        <v>-99</v>
      </c>
      <c r="BA732">
        <f ca="1">IF(AND($AT732&lt;3,OFFSET(DATA!$C$14,$AS732,0)=BA$6),$AV732,dNULL)</f>
        <v>-99</v>
      </c>
      <c r="BB732">
        <f ca="1">IF(AND($AT732&lt;3,OFFSET(DATA!$C$14,$AS732,0)=BB$6),$AV732,dNULL)</f>
        <v>-99</v>
      </c>
      <c r="BC732">
        <f ca="1">IF(AND($AT732&lt;3,OFFSET(DATA!$C$14,$AS732,0)=BC$6),$AV732,dNULL)</f>
        <v>-99</v>
      </c>
      <c r="BD732">
        <f ca="1">IF(AND($AT732&lt;3,OFFSET(DATA!$C$14,$AS732,0)=BD$6),$AV732,dNULL)</f>
        <v>-99</v>
      </c>
      <c r="BE732">
        <f ca="1">IF(AND($AT732&lt;3,OFFSET(DATA!$C$14,$AS732,0)=BE$6),$AV732,dNULL)</f>
        <v>-99</v>
      </c>
      <c r="BF732">
        <f ca="1">IF(AND($AT732&lt;3,OFFSET(DATA!$C$14,$AS732,0)=BF$6),$AV732,dNULL)</f>
        <v>-99</v>
      </c>
      <c r="BG732">
        <f ca="1">IF(AND($AT732&lt;3,OFFSET(DATA!$C$14,$AS732,0)=BG$6),$AV732,dNULL)</f>
        <v>-99</v>
      </c>
      <c r="BH732">
        <f ca="1">IF(AND($AT732&lt;3,OFFSET(DATA!$C$14,$AS732,0)=BH$6),$AV732,dNULL)</f>
        <v>-99</v>
      </c>
    </row>
    <row r="733" spans="45:60" x14ac:dyDescent="0.25">
      <c r="AS733">
        <f t="shared" si="132"/>
        <v>7</v>
      </c>
      <c r="AT733">
        <f t="shared" si="133"/>
        <v>8</v>
      </c>
      <c r="AU733">
        <f t="shared" ca="1" si="134"/>
        <v>-99</v>
      </c>
      <c r="AV733">
        <f t="shared" ca="1" si="135"/>
        <v>-99</v>
      </c>
      <c r="AW733">
        <f ca="1">IF(AND($AT733&lt;3,OFFSET(DATA!$C$14,$AS733,0)=AW$6),$AV733,dNULL)</f>
        <v>-99</v>
      </c>
      <c r="AX733">
        <f ca="1">IF(AND($AT733&lt;3,OFFSET(DATA!$C$14,$AS733,0)=AX$6),$AV733,dNULL)</f>
        <v>-99</v>
      </c>
      <c r="AY733">
        <f ca="1">IF(AND($AT733&lt;3,OFFSET(DATA!$C$14,$AS733,0)=AY$6),$AV733,dNULL)</f>
        <v>-99</v>
      </c>
      <c r="AZ733">
        <f ca="1">IF(AND($AT733&lt;3,OFFSET(DATA!$C$14,$AS733,0)=AZ$6),$AV733,dNULL)</f>
        <v>-99</v>
      </c>
      <c r="BA733">
        <f ca="1">IF(AND($AT733&lt;3,OFFSET(DATA!$C$14,$AS733,0)=BA$6),$AV733,dNULL)</f>
        <v>-99</v>
      </c>
      <c r="BB733">
        <f ca="1">IF(AND($AT733&lt;3,OFFSET(DATA!$C$14,$AS733,0)=BB$6),$AV733,dNULL)</f>
        <v>-99</v>
      </c>
      <c r="BC733">
        <f ca="1">IF(AND($AT733&lt;3,OFFSET(DATA!$C$14,$AS733,0)=BC$6),$AV733,dNULL)</f>
        <v>-99</v>
      </c>
      <c r="BD733">
        <f ca="1">IF(AND($AT733&lt;3,OFFSET(DATA!$C$14,$AS733,0)=BD$6),$AV733,dNULL)</f>
        <v>-99</v>
      </c>
      <c r="BE733">
        <f ca="1">IF(AND($AT733&lt;3,OFFSET(DATA!$C$14,$AS733,0)=BE$6),$AV733,dNULL)</f>
        <v>-99</v>
      </c>
      <c r="BF733">
        <f ca="1">IF(AND($AT733&lt;3,OFFSET(DATA!$C$14,$AS733,0)=BF$6),$AV733,dNULL)</f>
        <v>-99</v>
      </c>
      <c r="BG733">
        <f ca="1">IF(AND($AT733&lt;3,OFFSET(DATA!$C$14,$AS733,0)=BG$6),$AV733,dNULL)</f>
        <v>-99</v>
      </c>
      <c r="BH733">
        <f ca="1">IF(AND($AT733&lt;3,OFFSET(DATA!$C$14,$AS733,0)=BH$6),$AV733,dNULL)</f>
        <v>-99</v>
      </c>
    </row>
    <row r="734" spans="45:60" x14ac:dyDescent="0.25">
      <c r="AS734">
        <f t="shared" si="132"/>
        <v>8</v>
      </c>
      <c r="AT734">
        <f t="shared" si="133"/>
        <v>8</v>
      </c>
      <c r="AU734">
        <f t="shared" ca="1" si="134"/>
        <v>-99</v>
      </c>
      <c r="AV734">
        <f t="shared" ca="1" si="135"/>
        <v>-99</v>
      </c>
      <c r="AW734">
        <f ca="1">IF(AND($AT734&lt;3,OFFSET(DATA!$C$14,$AS734,0)=AW$6),$AV734,dNULL)</f>
        <v>-99</v>
      </c>
      <c r="AX734">
        <f ca="1">IF(AND($AT734&lt;3,OFFSET(DATA!$C$14,$AS734,0)=AX$6),$AV734,dNULL)</f>
        <v>-99</v>
      </c>
      <c r="AY734">
        <f ca="1">IF(AND($AT734&lt;3,OFFSET(DATA!$C$14,$AS734,0)=AY$6),$AV734,dNULL)</f>
        <v>-99</v>
      </c>
      <c r="AZ734">
        <f ca="1">IF(AND($AT734&lt;3,OFFSET(DATA!$C$14,$AS734,0)=AZ$6),$AV734,dNULL)</f>
        <v>-99</v>
      </c>
      <c r="BA734">
        <f ca="1">IF(AND($AT734&lt;3,OFFSET(DATA!$C$14,$AS734,0)=BA$6),$AV734,dNULL)</f>
        <v>-99</v>
      </c>
      <c r="BB734">
        <f ca="1">IF(AND($AT734&lt;3,OFFSET(DATA!$C$14,$AS734,0)=BB$6),$AV734,dNULL)</f>
        <v>-99</v>
      </c>
      <c r="BC734">
        <f ca="1">IF(AND($AT734&lt;3,OFFSET(DATA!$C$14,$AS734,0)=BC$6),$AV734,dNULL)</f>
        <v>-99</v>
      </c>
      <c r="BD734">
        <f ca="1">IF(AND($AT734&lt;3,OFFSET(DATA!$C$14,$AS734,0)=BD$6),$AV734,dNULL)</f>
        <v>-99</v>
      </c>
      <c r="BE734">
        <f ca="1">IF(AND($AT734&lt;3,OFFSET(DATA!$C$14,$AS734,0)=BE$6),$AV734,dNULL)</f>
        <v>-99</v>
      </c>
      <c r="BF734">
        <f ca="1">IF(AND($AT734&lt;3,OFFSET(DATA!$C$14,$AS734,0)=BF$6),$AV734,dNULL)</f>
        <v>-99</v>
      </c>
      <c r="BG734">
        <f ca="1">IF(AND($AT734&lt;3,OFFSET(DATA!$C$14,$AS734,0)=BG$6),$AV734,dNULL)</f>
        <v>-99</v>
      </c>
      <c r="BH734">
        <f ca="1">IF(AND($AT734&lt;3,OFFSET(DATA!$C$14,$AS734,0)=BH$6),$AV734,dNULL)</f>
        <v>-99</v>
      </c>
    </row>
    <row r="735" spans="45:60" x14ac:dyDescent="0.25">
      <c r="AS735">
        <f t="shared" si="132"/>
        <v>9</v>
      </c>
      <c r="AT735">
        <f t="shared" si="133"/>
        <v>8</v>
      </c>
      <c r="AU735">
        <f t="shared" ca="1" si="134"/>
        <v>-99</v>
      </c>
      <c r="AV735">
        <f t="shared" ca="1" si="135"/>
        <v>-99</v>
      </c>
      <c r="AW735">
        <f ca="1">IF(AND($AT735&lt;3,OFFSET(DATA!$C$14,$AS735,0)=AW$6),$AV735,dNULL)</f>
        <v>-99</v>
      </c>
      <c r="AX735">
        <f ca="1">IF(AND($AT735&lt;3,OFFSET(DATA!$C$14,$AS735,0)=AX$6),$AV735,dNULL)</f>
        <v>-99</v>
      </c>
      <c r="AY735">
        <f ca="1">IF(AND($AT735&lt;3,OFFSET(DATA!$C$14,$AS735,0)=AY$6),$AV735,dNULL)</f>
        <v>-99</v>
      </c>
      <c r="AZ735">
        <f ca="1">IF(AND($AT735&lt;3,OFFSET(DATA!$C$14,$AS735,0)=AZ$6),$AV735,dNULL)</f>
        <v>-99</v>
      </c>
      <c r="BA735">
        <f ca="1">IF(AND($AT735&lt;3,OFFSET(DATA!$C$14,$AS735,0)=BA$6),$AV735,dNULL)</f>
        <v>-99</v>
      </c>
      <c r="BB735">
        <f ca="1">IF(AND($AT735&lt;3,OFFSET(DATA!$C$14,$AS735,0)=BB$6),$AV735,dNULL)</f>
        <v>-99</v>
      </c>
      <c r="BC735">
        <f ca="1">IF(AND($AT735&lt;3,OFFSET(DATA!$C$14,$AS735,0)=BC$6),$AV735,dNULL)</f>
        <v>-99</v>
      </c>
      <c r="BD735">
        <f ca="1">IF(AND($AT735&lt;3,OFFSET(DATA!$C$14,$AS735,0)=BD$6),$AV735,dNULL)</f>
        <v>-99</v>
      </c>
      <c r="BE735">
        <f ca="1">IF(AND($AT735&lt;3,OFFSET(DATA!$C$14,$AS735,0)=BE$6),$AV735,dNULL)</f>
        <v>-99</v>
      </c>
      <c r="BF735">
        <f ca="1">IF(AND($AT735&lt;3,OFFSET(DATA!$C$14,$AS735,0)=BF$6),$AV735,dNULL)</f>
        <v>-99</v>
      </c>
      <c r="BG735">
        <f ca="1">IF(AND($AT735&lt;3,OFFSET(DATA!$C$14,$AS735,0)=BG$6),$AV735,dNULL)</f>
        <v>-99</v>
      </c>
      <c r="BH735">
        <f ca="1">IF(AND($AT735&lt;3,OFFSET(DATA!$C$14,$AS735,0)=BH$6),$AV735,dNULL)</f>
        <v>-99</v>
      </c>
    </row>
    <row r="736" spans="45:60" x14ac:dyDescent="0.25">
      <c r="AS736">
        <f t="shared" si="132"/>
        <v>10</v>
      </c>
      <c r="AT736">
        <f t="shared" si="133"/>
        <v>8</v>
      </c>
      <c r="AU736">
        <f t="shared" ca="1" si="134"/>
        <v>-99</v>
      </c>
      <c r="AV736">
        <f t="shared" ca="1" si="135"/>
        <v>-99</v>
      </c>
      <c r="AW736">
        <f ca="1">IF(AND($AT736&lt;3,OFFSET(DATA!$C$14,$AS736,0)=AW$6),$AV736,dNULL)</f>
        <v>-99</v>
      </c>
      <c r="AX736">
        <f ca="1">IF(AND($AT736&lt;3,OFFSET(DATA!$C$14,$AS736,0)=AX$6),$AV736,dNULL)</f>
        <v>-99</v>
      </c>
      <c r="AY736">
        <f ca="1">IF(AND($AT736&lt;3,OFFSET(DATA!$C$14,$AS736,0)=AY$6),$AV736,dNULL)</f>
        <v>-99</v>
      </c>
      <c r="AZ736">
        <f ca="1">IF(AND($AT736&lt;3,OFFSET(DATA!$C$14,$AS736,0)=AZ$6),$AV736,dNULL)</f>
        <v>-99</v>
      </c>
      <c r="BA736">
        <f ca="1">IF(AND($AT736&lt;3,OFFSET(DATA!$C$14,$AS736,0)=BA$6),$AV736,dNULL)</f>
        <v>-99</v>
      </c>
      <c r="BB736">
        <f ca="1">IF(AND($AT736&lt;3,OFFSET(DATA!$C$14,$AS736,0)=BB$6),$AV736,dNULL)</f>
        <v>-99</v>
      </c>
      <c r="BC736">
        <f ca="1">IF(AND($AT736&lt;3,OFFSET(DATA!$C$14,$AS736,0)=BC$6),$AV736,dNULL)</f>
        <v>-99</v>
      </c>
      <c r="BD736">
        <f ca="1">IF(AND($AT736&lt;3,OFFSET(DATA!$C$14,$AS736,0)=BD$6),$AV736,dNULL)</f>
        <v>-99</v>
      </c>
      <c r="BE736">
        <f ca="1">IF(AND($AT736&lt;3,OFFSET(DATA!$C$14,$AS736,0)=BE$6),$AV736,dNULL)</f>
        <v>-99</v>
      </c>
      <c r="BF736">
        <f ca="1">IF(AND($AT736&lt;3,OFFSET(DATA!$C$14,$AS736,0)=BF$6),$AV736,dNULL)</f>
        <v>-99</v>
      </c>
      <c r="BG736">
        <f ca="1">IF(AND($AT736&lt;3,OFFSET(DATA!$C$14,$AS736,0)=BG$6),$AV736,dNULL)</f>
        <v>-99</v>
      </c>
      <c r="BH736">
        <f ca="1">IF(AND($AT736&lt;3,OFFSET(DATA!$C$14,$AS736,0)=BH$6),$AV736,dNULL)</f>
        <v>-99</v>
      </c>
    </row>
    <row r="737" spans="45:60" x14ac:dyDescent="0.25">
      <c r="AS737">
        <f t="shared" si="132"/>
        <v>11</v>
      </c>
      <c r="AT737">
        <f t="shared" si="133"/>
        <v>8</v>
      </c>
      <c r="AU737">
        <f t="shared" ca="1" si="134"/>
        <v>-99</v>
      </c>
      <c r="AV737">
        <f t="shared" ca="1" si="135"/>
        <v>-99</v>
      </c>
      <c r="AW737">
        <f ca="1">IF(AND($AT737&lt;3,OFFSET(DATA!$C$14,$AS737,0)=AW$6),$AV737,dNULL)</f>
        <v>-99</v>
      </c>
      <c r="AX737">
        <f ca="1">IF(AND($AT737&lt;3,OFFSET(DATA!$C$14,$AS737,0)=AX$6),$AV737,dNULL)</f>
        <v>-99</v>
      </c>
      <c r="AY737">
        <f ca="1">IF(AND($AT737&lt;3,OFFSET(DATA!$C$14,$AS737,0)=AY$6),$AV737,dNULL)</f>
        <v>-99</v>
      </c>
      <c r="AZ737">
        <f ca="1">IF(AND($AT737&lt;3,OFFSET(DATA!$C$14,$AS737,0)=AZ$6),$AV737,dNULL)</f>
        <v>-99</v>
      </c>
      <c r="BA737">
        <f ca="1">IF(AND($AT737&lt;3,OFFSET(DATA!$C$14,$AS737,0)=BA$6),$AV737,dNULL)</f>
        <v>-99</v>
      </c>
      <c r="BB737">
        <f ca="1">IF(AND($AT737&lt;3,OFFSET(DATA!$C$14,$AS737,0)=BB$6),$AV737,dNULL)</f>
        <v>-99</v>
      </c>
      <c r="BC737">
        <f ca="1">IF(AND($AT737&lt;3,OFFSET(DATA!$C$14,$AS737,0)=BC$6),$AV737,dNULL)</f>
        <v>-99</v>
      </c>
      <c r="BD737">
        <f ca="1">IF(AND($AT737&lt;3,OFFSET(DATA!$C$14,$AS737,0)=BD$6),$AV737,dNULL)</f>
        <v>-99</v>
      </c>
      <c r="BE737">
        <f ca="1">IF(AND($AT737&lt;3,OFFSET(DATA!$C$14,$AS737,0)=BE$6),$AV737,dNULL)</f>
        <v>-99</v>
      </c>
      <c r="BF737">
        <f ca="1">IF(AND($AT737&lt;3,OFFSET(DATA!$C$14,$AS737,0)=BF$6),$AV737,dNULL)</f>
        <v>-99</v>
      </c>
      <c r="BG737">
        <f ca="1">IF(AND($AT737&lt;3,OFFSET(DATA!$C$14,$AS737,0)=BG$6),$AV737,dNULL)</f>
        <v>-99</v>
      </c>
      <c r="BH737">
        <f ca="1">IF(AND($AT737&lt;3,OFFSET(DATA!$C$14,$AS737,0)=BH$6),$AV737,dNULL)</f>
        <v>-99</v>
      </c>
    </row>
    <row r="738" spans="45:60" x14ac:dyDescent="0.25">
      <c r="AS738">
        <f t="shared" si="132"/>
        <v>12</v>
      </c>
      <c r="AT738">
        <f t="shared" si="133"/>
        <v>8</v>
      </c>
      <c r="AU738">
        <f t="shared" ca="1" si="134"/>
        <v>-99</v>
      </c>
      <c r="AV738">
        <f t="shared" ca="1" si="135"/>
        <v>-99</v>
      </c>
      <c r="AW738">
        <f ca="1">IF(AND($AT738&lt;3,OFFSET(DATA!$C$14,$AS738,0)=AW$6),$AV738,dNULL)</f>
        <v>-99</v>
      </c>
      <c r="AX738">
        <f ca="1">IF(AND($AT738&lt;3,OFFSET(DATA!$C$14,$AS738,0)=AX$6),$AV738,dNULL)</f>
        <v>-99</v>
      </c>
      <c r="AY738">
        <f ca="1">IF(AND($AT738&lt;3,OFFSET(DATA!$C$14,$AS738,0)=AY$6),$AV738,dNULL)</f>
        <v>-99</v>
      </c>
      <c r="AZ738">
        <f ca="1">IF(AND($AT738&lt;3,OFFSET(DATA!$C$14,$AS738,0)=AZ$6),$AV738,dNULL)</f>
        <v>-99</v>
      </c>
      <c r="BA738">
        <f ca="1">IF(AND($AT738&lt;3,OFFSET(DATA!$C$14,$AS738,0)=BA$6),$AV738,dNULL)</f>
        <v>-99</v>
      </c>
      <c r="BB738">
        <f ca="1">IF(AND($AT738&lt;3,OFFSET(DATA!$C$14,$AS738,0)=BB$6),$AV738,dNULL)</f>
        <v>-99</v>
      </c>
      <c r="BC738">
        <f ca="1">IF(AND($AT738&lt;3,OFFSET(DATA!$C$14,$AS738,0)=BC$6),$AV738,dNULL)</f>
        <v>-99</v>
      </c>
      <c r="BD738">
        <f ca="1">IF(AND($AT738&lt;3,OFFSET(DATA!$C$14,$AS738,0)=BD$6),$AV738,dNULL)</f>
        <v>-99</v>
      </c>
      <c r="BE738">
        <f ca="1">IF(AND($AT738&lt;3,OFFSET(DATA!$C$14,$AS738,0)=BE$6),$AV738,dNULL)</f>
        <v>-99</v>
      </c>
      <c r="BF738">
        <f ca="1">IF(AND($AT738&lt;3,OFFSET(DATA!$C$14,$AS738,0)=BF$6),$AV738,dNULL)</f>
        <v>-99</v>
      </c>
      <c r="BG738">
        <f ca="1">IF(AND($AT738&lt;3,OFFSET(DATA!$C$14,$AS738,0)=BG$6),$AV738,dNULL)</f>
        <v>-99</v>
      </c>
      <c r="BH738">
        <f ca="1">IF(AND($AT738&lt;3,OFFSET(DATA!$C$14,$AS738,0)=BH$6),$AV738,dNULL)</f>
        <v>-99</v>
      </c>
    </row>
    <row r="739" spans="45:60" x14ac:dyDescent="0.25">
      <c r="AS739">
        <f t="shared" si="132"/>
        <v>13</v>
      </c>
      <c r="AT739">
        <f t="shared" si="133"/>
        <v>8</v>
      </c>
      <c r="AU739">
        <f t="shared" ca="1" si="134"/>
        <v>-99</v>
      </c>
      <c r="AV739">
        <f t="shared" ca="1" si="135"/>
        <v>-99</v>
      </c>
      <c r="AW739">
        <f ca="1">IF(AND($AT739&lt;3,OFFSET(DATA!$C$14,$AS739,0)=AW$6),$AV739,dNULL)</f>
        <v>-99</v>
      </c>
      <c r="AX739">
        <f ca="1">IF(AND($AT739&lt;3,OFFSET(DATA!$C$14,$AS739,0)=AX$6),$AV739,dNULL)</f>
        <v>-99</v>
      </c>
      <c r="AY739">
        <f ca="1">IF(AND($AT739&lt;3,OFFSET(DATA!$C$14,$AS739,0)=AY$6),$AV739,dNULL)</f>
        <v>-99</v>
      </c>
      <c r="AZ739">
        <f ca="1">IF(AND($AT739&lt;3,OFFSET(DATA!$C$14,$AS739,0)=AZ$6),$AV739,dNULL)</f>
        <v>-99</v>
      </c>
      <c r="BA739">
        <f ca="1">IF(AND($AT739&lt;3,OFFSET(DATA!$C$14,$AS739,0)=BA$6),$AV739,dNULL)</f>
        <v>-99</v>
      </c>
      <c r="BB739">
        <f ca="1">IF(AND($AT739&lt;3,OFFSET(DATA!$C$14,$AS739,0)=BB$6),$AV739,dNULL)</f>
        <v>-99</v>
      </c>
      <c r="BC739">
        <f ca="1">IF(AND($AT739&lt;3,OFFSET(DATA!$C$14,$AS739,0)=BC$6),$AV739,dNULL)</f>
        <v>-99</v>
      </c>
      <c r="BD739">
        <f ca="1">IF(AND($AT739&lt;3,OFFSET(DATA!$C$14,$AS739,0)=BD$6),$AV739,dNULL)</f>
        <v>-99</v>
      </c>
      <c r="BE739">
        <f ca="1">IF(AND($AT739&lt;3,OFFSET(DATA!$C$14,$AS739,0)=BE$6),$AV739,dNULL)</f>
        <v>-99</v>
      </c>
      <c r="BF739">
        <f ca="1">IF(AND($AT739&lt;3,OFFSET(DATA!$C$14,$AS739,0)=BF$6),$AV739,dNULL)</f>
        <v>-99</v>
      </c>
      <c r="BG739">
        <f ca="1">IF(AND($AT739&lt;3,OFFSET(DATA!$C$14,$AS739,0)=BG$6),$AV739,dNULL)</f>
        <v>-99</v>
      </c>
      <c r="BH739">
        <f ca="1">IF(AND($AT739&lt;3,OFFSET(DATA!$C$14,$AS739,0)=BH$6),$AV739,dNULL)</f>
        <v>-99</v>
      </c>
    </row>
    <row r="740" spans="45:60" x14ac:dyDescent="0.25">
      <c r="AS740">
        <f t="shared" si="132"/>
        <v>14</v>
      </c>
      <c r="AT740">
        <f t="shared" si="133"/>
        <v>8</v>
      </c>
      <c r="AU740">
        <f t="shared" ca="1" si="134"/>
        <v>-99</v>
      </c>
      <c r="AV740">
        <f t="shared" ca="1" si="135"/>
        <v>-99</v>
      </c>
      <c r="AW740">
        <f ca="1">IF(AND($AT740&lt;3,OFFSET(DATA!$C$14,$AS740,0)=AW$6),$AV740,dNULL)</f>
        <v>-99</v>
      </c>
      <c r="AX740">
        <f ca="1">IF(AND($AT740&lt;3,OFFSET(DATA!$C$14,$AS740,0)=AX$6),$AV740,dNULL)</f>
        <v>-99</v>
      </c>
      <c r="AY740">
        <f ca="1">IF(AND($AT740&lt;3,OFFSET(DATA!$C$14,$AS740,0)=AY$6),$AV740,dNULL)</f>
        <v>-99</v>
      </c>
      <c r="AZ740">
        <f ca="1">IF(AND($AT740&lt;3,OFFSET(DATA!$C$14,$AS740,0)=AZ$6),$AV740,dNULL)</f>
        <v>-99</v>
      </c>
      <c r="BA740">
        <f ca="1">IF(AND($AT740&lt;3,OFFSET(DATA!$C$14,$AS740,0)=BA$6),$AV740,dNULL)</f>
        <v>-99</v>
      </c>
      <c r="BB740">
        <f ca="1">IF(AND($AT740&lt;3,OFFSET(DATA!$C$14,$AS740,0)=BB$6),$AV740,dNULL)</f>
        <v>-99</v>
      </c>
      <c r="BC740">
        <f ca="1">IF(AND($AT740&lt;3,OFFSET(DATA!$C$14,$AS740,0)=BC$6),$AV740,dNULL)</f>
        <v>-99</v>
      </c>
      <c r="BD740">
        <f ca="1">IF(AND($AT740&lt;3,OFFSET(DATA!$C$14,$AS740,0)=BD$6),$AV740,dNULL)</f>
        <v>-99</v>
      </c>
      <c r="BE740">
        <f ca="1">IF(AND($AT740&lt;3,OFFSET(DATA!$C$14,$AS740,0)=BE$6),$AV740,dNULL)</f>
        <v>-99</v>
      </c>
      <c r="BF740">
        <f ca="1">IF(AND($AT740&lt;3,OFFSET(DATA!$C$14,$AS740,0)=BF$6),$AV740,dNULL)</f>
        <v>-99</v>
      </c>
      <c r="BG740">
        <f ca="1">IF(AND($AT740&lt;3,OFFSET(DATA!$C$14,$AS740,0)=BG$6),$AV740,dNULL)</f>
        <v>-99</v>
      </c>
      <c r="BH740">
        <f ca="1">IF(AND($AT740&lt;3,OFFSET(DATA!$C$14,$AS740,0)=BH$6),$AV740,dNULL)</f>
        <v>-99</v>
      </c>
    </row>
    <row r="741" spans="45:60" x14ac:dyDescent="0.25">
      <c r="AS741">
        <f t="shared" si="132"/>
        <v>15</v>
      </c>
      <c r="AT741">
        <f t="shared" si="133"/>
        <v>8</v>
      </c>
      <c r="AU741">
        <f t="shared" ca="1" si="134"/>
        <v>-99</v>
      </c>
      <c r="AV741">
        <f t="shared" ca="1" si="135"/>
        <v>-99</v>
      </c>
      <c r="AW741">
        <f ca="1">IF(AND($AT741&lt;3,OFFSET(DATA!$C$14,$AS741,0)=AW$6),$AV741,dNULL)</f>
        <v>-99</v>
      </c>
      <c r="AX741">
        <f ca="1">IF(AND($AT741&lt;3,OFFSET(DATA!$C$14,$AS741,0)=AX$6),$AV741,dNULL)</f>
        <v>-99</v>
      </c>
      <c r="AY741">
        <f ca="1">IF(AND($AT741&lt;3,OFFSET(DATA!$C$14,$AS741,0)=AY$6),$AV741,dNULL)</f>
        <v>-99</v>
      </c>
      <c r="AZ741">
        <f ca="1">IF(AND($AT741&lt;3,OFFSET(DATA!$C$14,$AS741,0)=AZ$6),$AV741,dNULL)</f>
        <v>-99</v>
      </c>
      <c r="BA741">
        <f ca="1">IF(AND($AT741&lt;3,OFFSET(DATA!$C$14,$AS741,0)=BA$6),$AV741,dNULL)</f>
        <v>-99</v>
      </c>
      <c r="BB741">
        <f ca="1">IF(AND($AT741&lt;3,OFFSET(DATA!$C$14,$AS741,0)=BB$6),$AV741,dNULL)</f>
        <v>-99</v>
      </c>
      <c r="BC741">
        <f ca="1">IF(AND($AT741&lt;3,OFFSET(DATA!$C$14,$AS741,0)=BC$6),$AV741,dNULL)</f>
        <v>-99</v>
      </c>
      <c r="BD741">
        <f ca="1">IF(AND($AT741&lt;3,OFFSET(DATA!$C$14,$AS741,0)=BD$6),$AV741,dNULL)</f>
        <v>-99</v>
      </c>
      <c r="BE741">
        <f ca="1">IF(AND($AT741&lt;3,OFFSET(DATA!$C$14,$AS741,0)=BE$6),$AV741,dNULL)</f>
        <v>-99</v>
      </c>
      <c r="BF741">
        <f ca="1">IF(AND($AT741&lt;3,OFFSET(DATA!$C$14,$AS741,0)=BF$6),$AV741,dNULL)</f>
        <v>-99</v>
      </c>
      <c r="BG741">
        <f ca="1">IF(AND($AT741&lt;3,OFFSET(DATA!$C$14,$AS741,0)=BG$6),$AV741,dNULL)</f>
        <v>-99</v>
      </c>
      <c r="BH741">
        <f ca="1">IF(AND($AT741&lt;3,OFFSET(DATA!$C$14,$AS741,0)=BH$6),$AV741,dNULL)</f>
        <v>-99</v>
      </c>
    </row>
    <row r="742" spans="45:60" x14ac:dyDescent="0.25">
      <c r="AS742">
        <f t="shared" si="132"/>
        <v>16</v>
      </c>
      <c r="AT742">
        <f t="shared" si="133"/>
        <v>8</v>
      </c>
      <c r="AU742">
        <f t="shared" ca="1" si="134"/>
        <v>-99</v>
      </c>
      <c r="AV742">
        <f t="shared" ca="1" si="135"/>
        <v>-99</v>
      </c>
      <c r="AW742">
        <f ca="1">IF(AND($AT742&lt;3,OFFSET(DATA!$C$14,$AS742,0)=AW$6),$AV742,dNULL)</f>
        <v>-99</v>
      </c>
      <c r="AX742">
        <f ca="1">IF(AND($AT742&lt;3,OFFSET(DATA!$C$14,$AS742,0)=AX$6),$AV742,dNULL)</f>
        <v>-99</v>
      </c>
      <c r="AY742">
        <f ca="1">IF(AND($AT742&lt;3,OFFSET(DATA!$C$14,$AS742,0)=AY$6),$AV742,dNULL)</f>
        <v>-99</v>
      </c>
      <c r="AZ742">
        <f ca="1">IF(AND($AT742&lt;3,OFFSET(DATA!$C$14,$AS742,0)=AZ$6),$AV742,dNULL)</f>
        <v>-99</v>
      </c>
      <c r="BA742">
        <f ca="1">IF(AND($AT742&lt;3,OFFSET(DATA!$C$14,$AS742,0)=BA$6),$AV742,dNULL)</f>
        <v>-99</v>
      </c>
      <c r="BB742">
        <f ca="1">IF(AND($AT742&lt;3,OFFSET(DATA!$C$14,$AS742,0)=BB$6),$AV742,dNULL)</f>
        <v>-99</v>
      </c>
      <c r="BC742">
        <f ca="1">IF(AND($AT742&lt;3,OFFSET(DATA!$C$14,$AS742,0)=BC$6),$AV742,dNULL)</f>
        <v>-99</v>
      </c>
      <c r="BD742">
        <f ca="1">IF(AND($AT742&lt;3,OFFSET(DATA!$C$14,$AS742,0)=BD$6),$AV742,dNULL)</f>
        <v>-99</v>
      </c>
      <c r="BE742">
        <f ca="1">IF(AND($AT742&lt;3,OFFSET(DATA!$C$14,$AS742,0)=BE$6),$AV742,dNULL)</f>
        <v>-99</v>
      </c>
      <c r="BF742">
        <f ca="1">IF(AND($AT742&lt;3,OFFSET(DATA!$C$14,$AS742,0)=BF$6),$AV742,dNULL)</f>
        <v>-99</v>
      </c>
      <c r="BG742">
        <f ca="1">IF(AND($AT742&lt;3,OFFSET(DATA!$C$14,$AS742,0)=BG$6),$AV742,dNULL)</f>
        <v>-99</v>
      </c>
      <c r="BH742">
        <f ca="1">IF(AND($AT742&lt;3,OFFSET(DATA!$C$14,$AS742,0)=BH$6),$AV742,dNULL)</f>
        <v>-99</v>
      </c>
    </row>
    <row r="743" spans="45:60" x14ac:dyDescent="0.25">
      <c r="AS743">
        <f t="shared" si="132"/>
        <v>17</v>
      </c>
      <c r="AT743">
        <f t="shared" si="133"/>
        <v>8</v>
      </c>
      <c r="AU743">
        <f t="shared" ca="1" si="134"/>
        <v>-99</v>
      </c>
      <c r="AV743">
        <f t="shared" ca="1" si="135"/>
        <v>-99</v>
      </c>
      <c r="AW743">
        <f ca="1">IF(AND($AT743&lt;3,OFFSET(DATA!$C$14,$AS743,0)=AW$6),$AV743,dNULL)</f>
        <v>-99</v>
      </c>
      <c r="AX743">
        <f ca="1">IF(AND($AT743&lt;3,OFFSET(DATA!$C$14,$AS743,0)=AX$6),$AV743,dNULL)</f>
        <v>-99</v>
      </c>
      <c r="AY743">
        <f ca="1">IF(AND($AT743&lt;3,OFFSET(DATA!$C$14,$AS743,0)=AY$6),$AV743,dNULL)</f>
        <v>-99</v>
      </c>
      <c r="AZ743">
        <f ca="1">IF(AND($AT743&lt;3,OFFSET(DATA!$C$14,$AS743,0)=AZ$6),$AV743,dNULL)</f>
        <v>-99</v>
      </c>
      <c r="BA743">
        <f ca="1">IF(AND($AT743&lt;3,OFFSET(DATA!$C$14,$AS743,0)=BA$6),$AV743,dNULL)</f>
        <v>-99</v>
      </c>
      <c r="BB743">
        <f ca="1">IF(AND($AT743&lt;3,OFFSET(DATA!$C$14,$AS743,0)=BB$6),$AV743,dNULL)</f>
        <v>-99</v>
      </c>
      <c r="BC743">
        <f ca="1">IF(AND($AT743&lt;3,OFFSET(DATA!$C$14,$AS743,0)=BC$6),$AV743,dNULL)</f>
        <v>-99</v>
      </c>
      <c r="BD743">
        <f ca="1">IF(AND($AT743&lt;3,OFFSET(DATA!$C$14,$AS743,0)=BD$6),$AV743,dNULL)</f>
        <v>-99</v>
      </c>
      <c r="BE743">
        <f ca="1">IF(AND($AT743&lt;3,OFFSET(DATA!$C$14,$AS743,0)=BE$6),$AV743,dNULL)</f>
        <v>-99</v>
      </c>
      <c r="BF743">
        <f ca="1">IF(AND($AT743&lt;3,OFFSET(DATA!$C$14,$AS743,0)=BF$6),$AV743,dNULL)</f>
        <v>-99</v>
      </c>
      <c r="BG743">
        <f ca="1">IF(AND($AT743&lt;3,OFFSET(DATA!$C$14,$AS743,0)=BG$6),$AV743,dNULL)</f>
        <v>-99</v>
      </c>
      <c r="BH743">
        <f ca="1">IF(AND($AT743&lt;3,OFFSET(DATA!$C$14,$AS743,0)=BH$6),$AV743,dNULL)</f>
        <v>-99</v>
      </c>
    </row>
    <row r="744" spans="45:60" x14ac:dyDescent="0.25">
      <c r="AS744">
        <f t="shared" si="132"/>
        <v>18</v>
      </c>
      <c r="AT744">
        <f t="shared" si="133"/>
        <v>8</v>
      </c>
      <c r="AU744">
        <f t="shared" ca="1" si="134"/>
        <v>-99</v>
      </c>
      <c r="AV744">
        <f t="shared" ca="1" si="135"/>
        <v>-99</v>
      </c>
      <c r="AW744">
        <f ca="1">IF(AND($AT744&lt;3,OFFSET(DATA!$C$14,$AS744,0)=AW$6),$AV744,dNULL)</f>
        <v>-99</v>
      </c>
      <c r="AX744">
        <f ca="1">IF(AND($AT744&lt;3,OFFSET(DATA!$C$14,$AS744,0)=AX$6),$AV744,dNULL)</f>
        <v>-99</v>
      </c>
      <c r="AY744">
        <f ca="1">IF(AND($AT744&lt;3,OFFSET(DATA!$C$14,$AS744,0)=AY$6),$AV744,dNULL)</f>
        <v>-99</v>
      </c>
      <c r="AZ744">
        <f ca="1">IF(AND($AT744&lt;3,OFFSET(DATA!$C$14,$AS744,0)=AZ$6),$AV744,dNULL)</f>
        <v>-99</v>
      </c>
      <c r="BA744">
        <f ca="1">IF(AND($AT744&lt;3,OFFSET(DATA!$C$14,$AS744,0)=BA$6),$AV744,dNULL)</f>
        <v>-99</v>
      </c>
      <c r="BB744">
        <f ca="1">IF(AND($AT744&lt;3,OFFSET(DATA!$C$14,$AS744,0)=BB$6),$AV744,dNULL)</f>
        <v>-99</v>
      </c>
      <c r="BC744">
        <f ca="1">IF(AND($AT744&lt;3,OFFSET(DATA!$C$14,$AS744,0)=BC$6),$AV744,dNULL)</f>
        <v>-99</v>
      </c>
      <c r="BD744">
        <f ca="1">IF(AND($AT744&lt;3,OFFSET(DATA!$C$14,$AS744,0)=BD$6),$AV744,dNULL)</f>
        <v>-99</v>
      </c>
      <c r="BE744">
        <f ca="1">IF(AND($AT744&lt;3,OFFSET(DATA!$C$14,$AS744,0)=BE$6),$AV744,dNULL)</f>
        <v>-99</v>
      </c>
      <c r="BF744">
        <f ca="1">IF(AND($AT744&lt;3,OFFSET(DATA!$C$14,$AS744,0)=BF$6),$AV744,dNULL)</f>
        <v>-99</v>
      </c>
      <c r="BG744">
        <f ca="1">IF(AND($AT744&lt;3,OFFSET(DATA!$C$14,$AS744,0)=BG$6),$AV744,dNULL)</f>
        <v>-99</v>
      </c>
      <c r="BH744">
        <f ca="1">IF(AND($AT744&lt;3,OFFSET(DATA!$C$14,$AS744,0)=BH$6),$AV744,dNULL)</f>
        <v>-99</v>
      </c>
    </row>
    <row r="745" spans="45:60" x14ac:dyDescent="0.25">
      <c r="AS745">
        <f t="shared" si="132"/>
        <v>19</v>
      </c>
      <c r="AT745">
        <f t="shared" si="133"/>
        <v>8</v>
      </c>
      <c r="AU745">
        <f t="shared" ca="1" si="134"/>
        <v>-99</v>
      </c>
      <c r="AV745">
        <f t="shared" ca="1" si="135"/>
        <v>-99</v>
      </c>
      <c r="AW745">
        <f ca="1">IF(AND($AT745&lt;3,OFFSET(DATA!$C$14,$AS745,0)=AW$6),$AV745,dNULL)</f>
        <v>-99</v>
      </c>
      <c r="AX745">
        <f ca="1">IF(AND($AT745&lt;3,OFFSET(DATA!$C$14,$AS745,0)=AX$6),$AV745,dNULL)</f>
        <v>-99</v>
      </c>
      <c r="AY745">
        <f ca="1">IF(AND($AT745&lt;3,OFFSET(DATA!$C$14,$AS745,0)=AY$6),$AV745,dNULL)</f>
        <v>-99</v>
      </c>
      <c r="AZ745">
        <f ca="1">IF(AND($AT745&lt;3,OFFSET(DATA!$C$14,$AS745,0)=AZ$6),$AV745,dNULL)</f>
        <v>-99</v>
      </c>
      <c r="BA745">
        <f ca="1">IF(AND($AT745&lt;3,OFFSET(DATA!$C$14,$AS745,0)=BA$6),$AV745,dNULL)</f>
        <v>-99</v>
      </c>
      <c r="BB745">
        <f ca="1">IF(AND($AT745&lt;3,OFFSET(DATA!$C$14,$AS745,0)=BB$6),$AV745,dNULL)</f>
        <v>-99</v>
      </c>
      <c r="BC745">
        <f ca="1">IF(AND($AT745&lt;3,OFFSET(DATA!$C$14,$AS745,0)=BC$6),$AV745,dNULL)</f>
        <v>-99</v>
      </c>
      <c r="BD745">
        <f ca="1">IF(AND($AT745&lt;3,OFFSET(DATA!$C$14,$AS745,0)=BD$6),$AV745,dNULL)</f>
        <v>-99</v>
      </c>
      <c r="BE745">
        <f ca="1">IF(AND($AT745&lt;3,OFFSET(DATA!$C$14,$AS745,0)=BE$6),$AV745,dNULL)</f>
        <v>-99</v>
      </c>
      <c r="BF745">
        <f ca="1">IF(AND($AT745&lt;3,OFFSET(DATA!$C$14,$AS745,0)=BF$6),$AV745,dNULL)</f>
        <v>-99</v>
      </c>
      <c r="BG745">
        <f ca="1">IF(AND($AT745&lt;3,OFFSET(DATA!$C$14,$AS745,0)=BG$6),$AV745,dNULL)</f>
        <v>-99</v>
      </c>
      <c r="BH745">
        <f ca="1">IF(AND($AT745&lt;3,OFFSET(DATA!$C$14,$AS745,0)=BH$6),$AV745,dNULL)</f>
        <v>-99</v>
      </c>
    </row>
    <row r="746" spans="45:60" x14ac:dyDescent="0.25">
      <c r="AS746">
        <f t="shared" si="132"/>
        <v>20</v>
      </c>
      <c r="AT746">
        <f t="shared" si="133"/>
        <v>8</v>
      </c>
      <c r="AU746">
        <f t="shared" ca="1" si="134"/>
        <v>-99</v>
      </c>
      <c r="AV746">
        <f t="shared" ca="1" si="135"/>
        <v>-99</v>
      </c>
      <c r="AW746">
        <f ca="1">IF(AND($AT746&lt;3,OFFSET(DATA!$C$14,$AS746,0)=AW$6),$AV746,dNULL)</f>
        <v>-99</v>
      </c>
      <c r="AX746">
        <f ca="1">IF(AND($AT746&lt;3,OFFSET(DATA!$C$14,$AS746,0)=AX$6),$AV746,dNULL)</f>
        <v>-99</v>
      </c>
      <c r="AY746">
        <f ca="1">IF(AND($AT746&lt;3,OFFSET(DATA!$C$14,$AS746,0)=AY$6),$AV746,dNULL)</f>
        <v>-99</v>
      </c>
      <c r="AZ746">
        <f ca="1">IF(AND($AT746&lt;3,OFFSET(DATA!$C$14,$AS746,0)=AZ$6),$AV746,dNULL)</f>
        <v>-99</v>
      </c>
      <c r="BA746">
        <f ca="1">IF(AND($AT746&lt;3,OFFSET(DATA!$C$14,$AS746,0)=BA$6),$AV746,dNULL)</f>
        <v>-99</v>
      </c>
      <c r="BB746">
        <f ca="1">IF(AND($AT746&lt;3,OFFSET(DATA!$C$14,$AS746,0)=BB$6),$AV746,dNULL)</f>
        <v>-99</v>
      </c>
      <c r="BC746">
        <f ca="1">IF(AND($AT746&lt;3,OFFSET(DATA!$C$14,$AS746,0)=BC$6),$AV746,dNULL)</f>
        <v>-99</v>
      </c>
      <c r="BD746">
        <f ca="1">IF(AND($AT746&lt;3,OFFSET(DATA!$C$14,$AS746,0)=BD$6),$AV746,dNULL)</f>
        <v>-99</v>
      </c>
      <c r="BE746">
        <f ca="1">IF(AND($AT746&lt;3,OFFSET(DATA!$C$14,$AS746,0)=BE$6),$AV746,dNULL)</f>
        <v>-99</v>
      </c>
      <c r="BF746">
        <f ca="1">IF(AND($AT746&lt;3,OFFSET(DATA!$C$14,$AS746,0)=BF$6),$AV746,dNULL)</f>
        <v>-99</v>
      </c>
      <c r="BG746">
        <f ca="1">IF(AND($AT746&lt;3,OFFSET(DATA!$C$14,$AS746,0)=BG$6),$AV746,dNULL)</f>
        <v>-99</v>
      </c>
      <c r="BH746">
        <f ca="1">IF(AND($AT746&lt;3,OFFSET(DATA!$C$14,$AS746,0)=BH$6),$AV746,dNULL)</f>
        <v>-99</v>
      </c>
    </row>
    <row r="747" spans="45:60" x14ac:dyDescent="0.25">
      <c r="AS747">
        <f t="shared" si="132"/>
        <v>21</v>
      </c>
      <c r="AT747">
        <f t="shared" si="133"/>
        <v>8</v>
      </c>
      <c r="AU747">
        <f t="shared" ca="1" si="134"/>
        <v>-99</v>
      </c>
      <c r="AV747">
        <f t="shared" ca="1" si="135"/>
        <v>-99</v>
      </c>
      <c r="AW747">
        <f ca="1">IF(AND($AT747&lt;3,OFFSET(DATA!$C$14,$AS747,0)=AW$6),$AV747,dNULL)</f>
        <v>-99</v>
      </c>
      <c r="AX747">
        <f ca="1">IF(AND($AT747&lt;3,OFFSET(DATA!$C$14,$AS747,0)=AX$6),$AV747,dNULL)</f>
        <v>-99</v>
      </c>
      <c r="AY747">
        <f ca="1">IF(AND($AT747&lt;3,OFFSET(DATA!$C$14,$AS747,0)=AY$6),$AV747,dNULL)</f>
        <v>-99</v>
      </c>
      <c r="AZ747">
        <f ca="1">IF(AND($AT747&lt;3,OFFSET(DATA!$C$14,$AS747,0)=AZ$6),$AV747,dNULL)</f>
        <v>-99</v>
      </c>
      <c r="BA747">
        <f ca="1">IF(AND($AT747&lt;3,OFFSET(DATA!$C$14,$AS747,0)=BA$6),$AV747,dNULL)</f>
        <v>-99</v>
      </c>
      <c r="BB747">
        <f ca="1">IF(AND($AT747&lt;3,OFFSET(DATA!$C$14,$AS747,0)=BB$6),$AV747,dNULL)</f>
        <v>-99</v>
      </c>
      <c r="BC747">
        <f ca="1">IF(AND($AT747&lt;3,OFFSET(DATA!$C$14,$AS747,0)=BC$6),$AV747,dNULL)</f>
        <v>-99</v>
      </c>
      <c r="BD747">
        <f ca="1">IF(AND($AT747&lt;3,OFFSET(DATA!$C$14,$AS747,0)=BD$6),$AV747,dNULL)</f>
        <v>-99</v>
      </c>
      <c r="BE747">
        <f ca="1">IF(AND($AT747&lt;3,OFFSET(DATA!$C$14,$AS747,0)=BE$6),$AV747,dNULL)</f>
        <v>-99</v>
      </c>
      <c r="BF747">
        <f ca="1">IF(AND($AT747&lt;3,OFFSET(DATA!$C$14,$AS747,0)=BF$6),$AV747,dNULL)</f>
        <v>-99</v>
      </c>
      <c r="BG747">
        <f ca="1">IF(AND($AT747&lt;3,OFFSET(DATA!$C$14,$AS747,0)=BG$6),$AV747,dNULL)</f>
        <v>-99</v>
      </c>
      <c r="BH747">
        <f ca="1">IF(AND($AT747&lt;3,OFFSET(DATA!$C$14,$AS747,0)=BH$6),$AV747,dNULL)</f>
        <v>-99</v>
      </c>
    </row>
    <row r="748" spans="45:60" x14ac:dyDescent="0.25">
      <c r="AS748">
        <f t="shared" si="132"/>
        <v>22</v>
      </c>
      <c r="AT748">
        <f t="shared" si="133"/>
        <v>8</v>
      </c>
      <c r="AU748">
        <f t="shared" ca="1" si="134"/>
        <v>-99</v>
      </c>
      <c r="AV748">
        <f t="shared" ca="1" si="135"/>
        <v>-99</v>
      </c>
      <c r="AW748">
        <f ca="1">IF(AND($AT748&lt;3,OFFSET(DATA!$C$14,$AS748,0)=AW$6),$AV748,dNULL)</f>
        <v>-99</v>
      </c>
      <c r="AX748">
        <f ca="1">IF(AND($AT748&lt;3,OFFSET(DATA!$C$14,$AS748,0)=AX$6),$AV748,dNULL)</f>
        <v>-99</v>
      </c>
      <c r="AY748">
        <f ca="1">IF(AND($AT748&lt;3,OFFSET(DATA!$C$14,$AS748,0)=AY$6),$AV748,dNULL)</f>
        <v>-99</v>
      </c>
      <c r="AZ748">
        <f ca="1">IF(AND($AT748&lt;3,OFFSET(DATA!$C$14,$AS748,0)=AZ$6),$AV748,dNULL)</f>
        <v>-99</v>
      </c>
      <c r="BA748">
        <f ca="1">IF(AND($AT748&lt;3,OFFSET(DATA!$C$14,$AS748,0)=BA$6),$AV748,dNULL)</f>
        <v>-99</v>
      </c>
      <c r="BB748">
        <f ca="1">IF(AND($AT748&lt;3,OFFSET(DATA!$C$14,$AS748,0)=BB$6),$AV748,dNULL)</f>
        <v>-99</v>
      </c>
      <c r="BC748">
        <f ca="1">IF(AND($AT748&lt;3,OFFSET(DATA!$C$14,$AS748,0)=BC$6),$AV748,dNULL)</f>
        <v>-99</v>
      </c>
      <c r="BD748">
        <f ca="1">IF(AND($AT748&lt;3,OFFSET(DATA!$C$14,$AS748,0)=BD$6),$AV748,dNULL)</f>
        <v>-99</v>
      </c>
      <c r="BE748">
        <f ca="1">IF(AND($AT748&lt;3,OFFSET(DATA!$C$14,$AS748,0)=BE$6),$AV748,dNULL)</f>
        <v>-99</v>
      </c>
      <c r="BF748">
        <f ca="1">IF(AND($AT748&lt;3,OFFSET(DATA!$C$14,$AS748,0)=BF$6),$AV748,dNULL)</f>
        <v>-99</v>
      </c>
      <c r="BG748">
        <f ca="1">IF(AND($AT748&lt;3,OFFSET(DATA!$C$14,$AS748,0)=BG$6),$AV748,dNULL)</f>
        <v>-99</v>
      </c>
      <c r="BH748">
        <f ca="1">IF(AND($AT748&lt;3,OFFSET(DATA!$C$14,$AS748,0)=BH$6),$AV748,dNULL)</f>
        <v>-99</v>
      </c>
    </row>
    <row r="749" spans="45:60" x14ac:dyDescent="0.25">
      <c r="AS749">
        <f t="shared" si="132"/>
        <v>23</v>
      </c>
      <c r="AT749">
        <f t="shared" si="133"/>
        <v>8</v>
      </c>
      <c r="AU749">
        <f t="shared" ca="1" si="134"/>
        <v>-99</v>
      </c>
      <c r="AV749">
        <f t="shared" ca="1" si="135"/>
        <v>-99</v>
      </c>
      <c r="AW749">
        <f ca="1">IF(AND($AT749&lt;3,OFFSET(DATA!$C$14,$AS749,0)=AW$6),$AV749,dNULL)</f>
        <v>-99</v>
      </c>
      <c r="AX749">
        <f ca="1">IF(AND($AT749&lt;3,OFFSET(DATA!$C$14,$AS749,0)=AX$6),$AV749,dNULL)</f>
        <v>-99</v>
      </c>
      <c r="AY749">
        <f ca="1">IF(AND($AT749&lt;3,OFFSET(DATA!$C$14,$AS749,0)=AY$6),$AV749,dNULL)</f>
        <v>-99</v>
      </c>
      <c r="AZ749">
        <f ca="1">IF(AND($AT749&lt;3,OFFSET(DATA!$C$14,$AS749,0)=AZ$6),$AV749,dNULL)</f>
        <v>-99</v>
      </c>
      <c r="BA749">
        <f ca="1">IF(AND($AT749&lt;3,OFFSET(DATA!$C$14,$AS749,0)=BA$6),$AV749,dNULL)</f>
        <v>-99</v>
      </c>
      <c r="BB749">
        <f ca="1">IF(AND($AT749&lt;3,OFFSET(DATA!$C$14,$AS749,0)=BB$6),$AV749,dNULL)</f>
        <v>-99</v>
      </c>
      <c r="BC749">
        <f ca="1">IF(AND($AT749&lt;3,OFFSET(DATA!$C$14,$AS749,0)=BC$6),$AV749,dNULL)</f>
        <v>-99</v>
      </c>
      <c r="BD749">
        <f ca="1">IF(AND($AT749&lt;3,OFFSET(DATA!$C$14,$AS749,0)=BD$6),$AV749,dNULL)</f>
        <v>-99</v>
      </c>
      <c r="BE749">
        <f ca="1">IF(AND($AT749&lt;3,OFFSET(DATA!$C$14,$AS749,0)=BE$6),$AV749,dNULL)</f>
        <v>-99</v>
      </c>
      <c r="BF749">
        <f ca="1">IF(AND($AT749&lt;3,OFFSET(DATA!$C$14,$AS749,0)=BF$6),$AV749,dNULL)</f>
        <v>-99</v>
      </c>
      <c r="BG749">
        <f ca="1">IF(AND($AT749&lt;3,OFFSET(DATA!$C$14,$AS749,0)=BG$6),$AV749,dNULL)</f>
        <v>-99</v>
      </c>
      <c r="BH749">
        <f ca="1">IF(AND($AT749&lt;3,OFFSET(DATA!$C$14,$AS749,0)=BH$6),$AV749,dNULL)</f>
        <v>-99</v>
      </c>
    </row>
    <row r="750" spans="45:60" x14ac:dyDescent="0.25">
      <c r="AS750">
        <f t="shared" si="132"/>
        <v>24</v>
      </c>
      <c r="AT750">
        <f t="shared" si="133"/>
        <v>8</v>
      </c>
      <c r="AU750">
        <f t="shared" ca="1" si="134"/>
        <v>-99</v>
      </c>
      <c r="AV750">
        <f t="shared" ca="1" si="135"/>
        <v>-99</v>
      </c>
      <c r="AW750">
        <f ca="1">IF(AND($AT750&lt;3,OFFSET(DATA!$C$14,$AS750,0)=AW$6),$AV750,dNULL)</f>
        <v>-99</v>
      </c>
      <c r="AX750">
        <f ca="1">IF(AND($AT750&lt;3,OFFSET(DATA!$C$14,$AS750,0)=AX$6),$AV750,dNULL)</f>
        <v>-99</v>
      </c>
      <c r="AY750">
        <f ca="1">IF(AND($AT750&lt;3,OFFSET(DATA!$C$14,$AS750,0)=AY$6),$AV750,dNULL)</f>
        <v>-99</v>
      </c>
      <c r="AZ750">
        <f ca="1">IF(AND($AT750&lt;3,OFFSET(DATA!$C$14,$AS750,0)=AZ$6),$AV750,dNULL)</f>
        <v>-99</v>
      </c>
      <c r="BA750">
        <f ca="1">IF(AND($AT750&lt;3,OFFSET(DATA!$C$14,$AS750,0)=BA$6),$AV750,dNULL)</f>
        <v>-99</v>
      </c>
      <c r="BB750">
        <f ca="1">IF(AND($AT750&lt;3,OFFSET(DATA!$C$14,$AS750,0)=BB$6),$AV750,dNULL)</f>
        <v>-99</v>
      </c>
      <c r="BC750">
        <f ca="1">IF(AND($AT750&lt;3,OFFSET(DATA!$C$14,$AS750,0)=BC$6),$AV750,dNULL)</f>
        <v>-99</v>
      </c>
      <c r="BD750">
        <f ca="1">IF(AND($AT750&lt;3,OFFSET(DATA!$C$14,$AS750,0)=BD$6),$AV750,dNULL)</f>
        <v>-99</v>
      </c>
      <c r="BE750">
        <f ca="1">IF(AND($AT750&lt;3,OFFSET(DATA!$C$14,$AS750,0)=BE$6),$AV750,dNULL)</f>
        <v>-99</v>
      </c>
      <c r="BF750">
        <f ca="1">IF(AND($AT750&lt;3,OFFSET(DATA!$C$14,$AS750,0)=BF$6),$AV750,dNULL)</f>
        <v>-99</v>
      </c>
      <c r="BG750">
        <f ca="1">IF(AND($AT750&lt;3,OFFSET(DATA!$C$14,$AS750,0)=BG$6),$AV750,dNULL)</f>
        <v>-99</v>
      </c>
      <c r="BH750">
        <f ca="1">IF(AND($AT750&lt;3,OFFSET(DATA!$C$14,$AS750,0)=BH$6),$AV750,dNULL)</f>
        <v>-99</v>
      </c>
    </row>
    <row r="751" spans="45:60" x14ac:dyDescent="0.25">
      <c r="AS751">
        <f t="shared" si="132"/>
        <v>25</v>
      </c>
      <c r="AT751">
        <f t="shared" si="133"/>
        <v>8</v>
      </c>
      <c r="AU751">
        <f t="shared" ca="1" si="134"/>
        <v>-99</v>
      </c>
      <c r="AV751">
        <f t="shared" ca="1" si="135"/>
        <v>-99</v>
      </c>
      <c r="AW751">
        <f ca="1">IF(AND($AT751&lt;3,OFFSET(DATA!$C$14,$AS751,0)=AW$6),$AV751,dNULL)</f>
        <v>-99</v>
      </c>
      <c r="AX751">
        <f ca="1">IF(AND($AT751&lt;3,OFFSET(DATA!$C$14,$AS751,0)=AX$6),$AV751,dNULL)</f>
        <v>-99</v>
      </c>
      <c r="AY751">
        <f ca="1">IF(AND($AT751&lt;3,OFFSET(DATA!$C$14,$AS751,0)=AY$6),$AV751,dNULL)</f>
        <v>-99</v>
      </c>
      <c r="AZ751">
        <f ca="1">IF(AND($AT751&lt;3,OFFSET(DATA!$C$14,$AS751,0)=AZ$6),$AV751,dNULL)</f>
        <v>-99</v>
      </c>
      <c r="BA751">
        <f ca="1">IF(AND($AT751&lt;3,OFFSET(DATA!$C$14,$AS751,0)=BA$6),$AV751,dNULL)</f>
        <v>-99</v>
      </c>
      <c r="BB751">
        <f ca="1">IF(AND($AT751&lt;3,OFFSET(DATA!$C$14,$AS751,0)=BB$6),$AV751,dNULL)</f>
        <v>-99</v>
      </c>
      <c r="BC751">
        <f ca="1">IF(AND($AT751&lt;3,OFFSET(DATA!$C$14,$AS751,0)=BC$6),$AV751,dNULL)</f>
        <v>-99</v>
      </c>
      <c r="BD751">
        <f ca="1">IF(AND($AT751&lt;3,OFFSET(DATA!$C$14,$AS751,0)=BD$6),$AV751,dNULL)</f>
        <v>-99</v>
      </c>
      <c r="BE751">
        <f ca="1">IF(AND($AT751&lt;3,OFFSET(DATA!$C$14,$AS751,0)=BE$6),$AV751,dNULL)</f>
        <v>-99</v>
      </c>
      <c r="BF751">
        <f ca="1">IF(AND($AT751&lt;3,OFFSET(DATA!$C$14,$AS751,0)=BF$6),$AV751,dNULL)</f>
        <v>-99</v>
      </c>
      <c r="BG751">
        <f ca="1">IF(AND($AT751&lt;3,OFFSET(DATA!$C$14,$AS751,0)=BG$6),$AV751,dNULL)</f>
        <v>-99</v>
      </c>
      <c r="BH751">
        <f ca="1">IF(AND($AT751&lt;3,OFFSET(DATA!$C$14,$AS751,0)=BH$6),$AV751,dNULL)</f>
        <v>-99</v>
      </c>
    </row>
    <row r="752" spans="45:60" x14ac:dyDescent="0.25">
      <c r="AS752">
        <f t="shared" si="132"/>
        <v>26</v>
      </c>
      <c r="AT752">
        <f t="shared" si="133"/>
        <v>8</v>
      </c>
      <c r="AU752">
        <f t="shared" ca="1" si="134"/>
        <v>-99</v>
      </c>
      <c r="AV752">
        <f t="shared" ca="1" si="135"/>
        <v>-99</v>
      </c>
      <c r="AW752">
        <f ca="1">IF(AND($AT752&lt;3,OFFSET(DATA!$C$14,$AS752,0)=AW$6),$AV752,dNULL)</f>
        <v>-99</v>
      </c>
      <c r="AX752">
        <f ca="1">IF(AND($AT752&lt;3,OFFSET(DATA!$C$14,$AS752,0)=AX$6),$AV752,dNULL)</f>
        <v>-99</v>
      </c>
      <c r="AY752">
        <f ca="1">IF(AND($AT752&lt;3,OFFSET(DATA!$C$14,$AS752,0)=AY$6),$AV752,dNULL)</f>
        <v>-99</v>
      </c>
      <c r="AZ752">
        <f ca="1">IF(AND($AT752&lt;3,OFFSET(DATA!$C$14,$AS752,0)=AZ$6),$AV752,dNULL)</f>
        <v>-99</v>
      </c>
      <c r="BA752">
        <f ca="1">IF(AND($AT752&lt;3,OFFSET(DATA!$C$14,$AS752,0)=BA$6),$AV752,dNULL)</f>
        <v>-99</v>
      </c>
      <c r="BB752">
        <f ca="1">IF(AND($AT752&lt;3,OFFSET(DATA!$C$14,$AS752,0)=BB$6),$AV752,dNULL)</f>
        <v>-99</v>
      </c>
      <c r="BC752">
        <f ca="1">IF(AND($AT752&lt;3,OFFSET(DATA!$C$14,$AS752,0)=BC$6),$AV752,dNULL)</f>
        <v>-99</v>
      </c>
      <c r="BD752">
        <f ca="1">IF(AND($AT752&lt;3,OFFSET(DATA!$C$14,$AS752,0)=BD$6),$AV752,dNULL)</f>
        <v>-99</v>
      </c>
      <c r="BE752">
        <f ca="1">IF(AND($AT752&lt;3,OFFSET(DATA!$C$14,$AS752,0)=BE$6),$AV752,dNULL)</f>
        <v>-99</v>
      </c>
      <c r="BF752">
        <f ca="1">IF(AND($AT752&lt;3,OFFSET(DATA!$C$14,$AS752,0)=BF$6),$AV752,dNULL)</f>
        <v>-99</v>
      </c>
      <c r="BG752">
        <f ca="1">IF(AND($AT752&lt;3,OFFSET(DATA!$C$14,$AS752,0)=BG$6),$AV752,dNULL)</f>
        <v>-99</v>
      </c>
      <c r="BH752">
        <f ca="1">IF(AND($AT752&lt;3,OFFSET(DATA!$C$14,$AS752,0)=BH$6),$AV752,dNULL)</f>
        <v>-99</v>
      </c>
    </row>
    <row r="753" spans="45:60" x14ac:dyDescent="0.25">
      <c r="AS753">
        <f t="shared" si="132"/>
        <v>27</v>
      </c>
      <c r="AT753">
        <f t="shared" si="133"/>
        <v>8</v>
      </c>
      <c r="AU753">
        <f t="shared" ca="1" si="134"/>
        <v>-99</v>
      </c>
      <c r="AV753">
        <f t="shared" ca="1" si="135"/>
        <v>-99</v>
      </c>
      <c r="AW753">
        <f ca="1">IF(AND($AT753&lt;3,OFFSET(DATA!$C$14,$AS753,0)=AW$6),$AV753,dNULL)</f>
        <v>-99</v>
      </c>
      <c r="AX753">
        <f ca="1">IF(AND($AT753&lt;3,OFFSET(DATA!$C$14,$AS753,0)=AX$6),$AV753,dNULL)</f>
        <v>-99</v>
      </c>
      <c r="AY753">
        <f ca="1">IF(AND($AT753&lt;3,OFFSET(DATA!$C$14,$AS753,0)=AY$6),$AV753,dNULL)</f>
        <v>-99</v>
      </c>
      <c r="AZ753">
        <f ca="1">IF(AND($AT753&lt;3,OFFSET(DATA!$C$14,$AS753,0)=AZ$6),$AV753,dNULL)</f>
        <v>-99</v>
      </c>
      <c r="BA753">
        <f ca="1">IF(AND($AT753&lt;3,OFFSET(DATA!$C$14,$AS753,0)=BA$6),$AV753,dNULL)</f>
        <v>-99</v>
      </c>
      <c r="BB753">
        <f ca="1">IF(AND($AT753&lt;3,OFFSET(DATA!$C$14,$AS753,0)=BB$6),$AV753,dNULL)</f>
        <v>-99</v>
      </c>
      <c r="BC753">
        <f ca="1">IF(AND($AT753&lt;3,OFFSET(DATA!$C$14,$AS753,0)=BC$6),$AV753,dNULL)</f>
        <v>-99</v>
      </c>
      <c r="BD753">
        <f ca="1">IF(AND($AT753&lt;3,OFFSET(DATA!$C$14,$AS753,0)=BD$6),$AV753,dNULL)</f>
        <v>-99</v>
      </c>
      <c r="BE753">
        <f ca="1">IF(AND($AT753&lt;3,OFFSET(DATA!$C$14,$AS753,0)=BE$6),$AV753,dNULL)</f>
        <v>-99</v>
      </c>
      <c r="BF753">
        <f ca="1">IF(AND($AT753&lt;3,OFFSET(DATA!$C$14,$AS753,0)=BF$6),$AV753,dNULL)</f>
        <v>-99</v>
      </c>
      <c r="BG753">
        <f ca="1">IF(AND($AT753&lt;3,OFFSET(DATA!$C$14,$AS753,0)=BG$6),$AV753,dNULL)</f>
        <v>-99</v>
      </c>
      <c r="BH753">
        <f ca="1">IF(AND($AT753&lt;3,OFFSET(DATA!$C$14,$AS753,0)=BH$6),$AV753,dNULL)</f>
        <v>-99</v>
      </c>
    </row>
    <row r="754" spans="45:60" x14ac:dyDescent="0.25">
      <c r="AS754">
        <f t="shared" si="132"/>
        <v>28</v>
      </c>
      <c r="AT754">
        <f t="shared" si="133"/>
        <v>8</v>
      </c>
      <c r="AU754">
        <f t="shared" ca="1" si="134"/>
        <v>-99</v>
      </c>
      <c r="AV754">
        <f t="shared" ca="1" si="135"/>
        <v>-99</v>
      </c>
      <c r="AW754">
        <f ca="1">IF(AND($AT754&lt;3,OFFSET(DATA!$C$14,$AS754,0)=AW$6),$AV754,dNULL)</f>
        <v>-99</v>
      </c>
      <c r="AX754">
        <f ca="1">IF(AND($AT754&lt;3,OFFSET(DATA!$C$14,$AS754,0)=AX$6),$AV754,dNULL)</f>
        <v>-99</v>
      </c>
      <c r="AY754">
        <f ca="1">IF(AND($AT754&lt;3,OFFSET(DATA!$C$14,$AS754,0)=AY$6),$AV754,dNULL)</f>
        <v>-99</v>
      </c>
      <c r="AZ754">
        <f ca="1">IF(AND($AT754&lt;3,OFFSET(DATA!$C$14,$AS754,0)=AZ$6),$AV754,dNULL)</f>
        <v>-99</v>
      </c>
      <c r="BA754">
        <f ca="1">IF(AND($AT754&lt;3,OFFSET(DATA!$C$14,$AS754,0)=BA$6),$AV754,dNULL)</f>
        <v>-99</v>
      </c>
      <c r="BB754">
        <f ca="1">IF(AND($AT754&lt;3,OFFSET(DATA!$C$14,$AS754,0)=BB$6),$AV754,dNULL)</f>
        <v>-99</v>
      </c>
      <c r="BC754">
        <f ca="1">IF(AND($AT754&lt;3,OFFSET(DATA!$C$14,$AS754,0)=BC$6),$AV754,dNULL)</f>
        <v>-99</v>
      </c>
      <c r="BD754">
        <f ca="1">IF(AND($AT754&lt;3,OFFSET(DATA!$C$14,$AS754,0)=BD$6),$AV754,dNULL)</f>
        <v>-99</v>
      </c>
      <c r="BE754">
        <f ca="1">IF(AND($AT754&lt;3,OFFSET(DATA!$C$14,$AS754,0)=BE$6),$AV754,dNULL)</f>
        <v>-99</v>
      </c>
      <c r="BF754">
        <f ca="1">IF(AND($AT754&lt;3,OFFSET(DATA!$C$14,$AS754,0)=BF$6),$AV754,dNULL)</f>
        <v>-99</v>
      </c>
      <c r="BG754">
        <f ca="1">IF(AND($AT754&lt;3,OFFSET(DATA!$C$14,$AS754,0)=BG$6),$AV754,dNULL)</f>
        <v>-99</v>
      </c>
      <c r="BH754">
        <f ca="1">IF(AND($AT754&lt;3,OFFSET(DATA!$C$14,$AS754,0)=BH$6),$AV754,dNULL)</f>
        <v>-99</v>
      </c>
    </row>
    <row r="755" spans="45:60" x14ac:dyDescent="0.25">
      <c r="AS755">
        <f t="shared" si="132"/>
        <v>29</v>
      </c>
      <c r="AT755">
        <f t="shared" si="133"/>
        <v>8</v>
      </c>
      <c r="AU755">
        <f t="shared" ca="1" si="134"/>
        <v>-99</v>
      </c>
      <c r="AV755">
        <f t="shared" ca="1" si="135"/>
        <v>-99</v>
      </c>
      <c r="AW755">
        <f ca="1">IF(AND($AT755&lt;3,OFFSET(DATA!$C$14,$AS755,0)=AW$6),$AV755,dNULL)</f>
        <v>-99</v>
      </c>
      <c r="AX755">
        <f ca="1">IF(AND($AT755&lt;3,OFFSET(DATA!$C$14,$AS755,0)=AX$6),$AV755,dNULL)</f>
        <v>-99</v>
      </c>
      <c r="AY755">
        <f ca="1">IF(AND($AT755&lt;3,OFFSET(DATA!$C$14,$AS755,0)=AY$6),$AV755,dNULL)</f>
        <v>-99</v>
      </c>
      <c r="AZ755">
        <f ca="1">IF(AND($AT755&lt;3,OFFSET(DATA!$C$14,$AS755,0)=AZ$6),$AV755,dNULL)</f>
        <v>-99</v>
      </c>
      <c r="BA755">
        <f ca="1">IF(AND($AT755&lt;3,OFFSET(DATA!$C$14,$AS755,0)=BA$6),$AV755,dNULL)</f>
        <v>-99</v>
      </c>
      <c r="BB755">
        <f ca="1">IF(AND($AT755&lt;3,OFFSET(DATA!$C$14,$AS755,0)=BB$6),$AV755,dNULL)</f>
        <v>-99</v>
      </c>
      <c r="BC755">
        <f ca="1">IF(AND($AT755&lt;3,OFFSET(DATA!$C$14,$AS755,0)=BC$6),$AV755,dNULL)</f>
        <v>-99</v>
      </c>
      <c r="BD755">
        <f ca="1">IF(AND($AT755&lt;3,OFFSET(DATA!$C$14,$AS755,0)=BD$6),$AV755,dNULL)</f>
        <v>-99</v>
      </c>
      <c r="BE755">
        <f ca="1">IF(AND($AT755&lt;3,OFFSET(DATA!$C$14,$AS755,0)=BE$6),$AV755,dNULL)</f>
        <v>-99</v>
      </c>
      <c r="BF755">
        <f ca="1">IF(AND($AT755&lt;3,OFFSET(DATA!$C$14,$AS755,0)=BF$6),$AV755,dNULL)</f>
        <v>-99</v>
      </c>
      <c r="BG755">
        <f ca="1">IF(AND($AT755&lt;3,OFFSET(DATA!$C$14,$AS755,0)=BG$6),$AV755,dNULL)</f>
        <v>-99</v>
      </c>
      <c r="BH755">
        <f ca="1">IF(AND($AT755&lt;3,OFFSET(DATA!$C$14,$AS755,0)=BH$6),$AV755,dNULL)</f>
        <v>-99</v>
      </c>
    </row>
    <row r="756" spans="45:60" x14ac:dyDescent="0.25">
      <c r="AS756">
        <f t="shared" si="132"/>
        <v>30</v>
      </c>
      <c r="AT756">
        <f t="shared" si="133"/>
        <v>8</v>
      </c>
      <c r="AU756">
        <f t="shared" ca="1" si="134"/>
        <v>-99</v>
      </c>
      <c r="AV756">
        <f t="shared" ca="1" si="135"/>
        <v>-99</v>
      </c>
      <c r="AW756">
        <f ca="1">IF(AND($AT756&lt;3,OFFSET(DATA!$C$14,$AS756,0)=AW$6),$AV756,dNULL)</f>
        <v>-99</v>
      </c>
      <c r="AX756">
        <f ca="1">IF(AND($AT756&lt;3,OFFSET(DATA!$C$14,$AS756,0)=AX$6),$AV756,dNULL)</f>
        <v>-99</v>
      </c>
      <c r="AY756">
        <f ca="1">IF(AND($AT756&lt;3,OFFSET(DATA!$C$14,$AS756,0)=AY$6),$AV756,dNULL)</f>
        <v>-99</v>
      </c>
      <c r="AZ756">
        <f ca="1">IF(AND($AT756&lt;3,OFFSET(DATA!$C$14,$AS756,0)=AZ$6),$AV756,dNULL)</f>
        <v>-99</v>
      </c>
      <c r="BA756">
        <f ca="1">IF(AND($AT756&lt;3,OFFSET(DATA!$C$14,$AS756,0)=BA$6),$AV756,dNULL)</f>
        <v>-99</v>
      </c>
      <c r="BB756">
        <f ca="1">IF(AND($AT756&lt;3,OFFSET(DATA!$C$14,$AS756,0)=BB$6),$AV756,dNULL)</f>
        <v>-99</v>
      </c>
      <c r="BC756">
        <f ca="1">IF(AND($AT756&lt;3,OFFSET(DATA!$C$14,$AS756,0)=BC$6),$AV756,dNULL)</f>
        <v>-99</v>
      </c>
      <c r="BD756">
        <f ca="1">IF(AND($AT756&lt;3,OFFSET(DATA!$C$14,$AS756,0)=BD$6),$AV756,dNULL)</f>
        <v>-99</v>
      </c>
      <c r="BE756">
        <f ca="1">IF(AND($AT756&lt;3,OFFSET(DATA!$C$14,$AS756,0)=BE$6),$AV756,dNULL)</f>
        <v>-99</v>
      </c>
      <c r="BF756">
        <f ca="1">IF(AND($AT756&lt;3,OFFSET(DATA!$C$14,$AS756,0)=BF$6),$AV756,dNULL)</f>
        <v>-99</v>
      </c>
      <c r="BG756">
        <f ca="1">IF(AND($AT756&lt;3,OFFSET(DATA!$C$14,$AS756,0)=BG$6),$AV756,dNULL)</f>
        <v>-99</v>
      </c>
      <c r="BH756">
        <f ca="1">IF(AND($AT756&lt;3,OFFSET(DATA!$C$14,$AS756,0)=BH$6),$AV756,dNULL)</f>
        <v>-99</v>
      </c>
    </row>
    <row r="757" spans="45:60" x14ac:dyDescent="0.25">
      <c r="AS757">
        <f t="shared" si="132"/>
        <v>31</v>
      </c>
      <c r="AT757">
        <f t="shared" si="133"/>
        <v>8</v>
      </c>
      <c r="AU757">
        <f t="shared" ca="1" si="134"/>
        <v>-99</v>
      </c>
      <c r="AV757">
        <f t="shared" ca="1" si="135"/>
        <v>-99</v>
      </c>
      <c r="AW757">
        <f ca="1">IF(AND($AT757&lt;3,OFFSET(DATA!$C$14,$AS757,0)=AW$6),$AV757,dNULL)</f>
        <v>-99</v>
      </c>
      <c r="AX757">
        <f ca="1">IF(AND($AT757&lt;3,OFFSET(DATA!$C$14,$AS757,0)=AX$6),$AV757,dNULL)</f>
        <v>-99</v>
      </c>
      <c r="AY757">
        <f ca="1">IF(AND($AT757&lt;3,OFFSET(DATA!$C$14,$AS757,0)=AY$6),$AV757,dNULL)</f>
        <v>-99</v>
      </c>
      <c r="AZ757">
        <f ca="1">IF(AND($AT757&lt;3,OFFSET(DATA!$C$14,$AS757,0)=AZ$6),$AV757,dNULL)</f>
        <v>-99</v>
      </c>
      <c r="BA757">
        <f ca="1">IF(AND($AT757&lt;3,OFFSET(DATA!$C$14,$AS757,0)=BA$6),$AV757,dNULL)</f>
        <v>-99</v>
      </c>
      <c r="BB757">
        <f ca="1">IF(AND($AT757&lt;3,OFFSET(DATA!$C$14,$AS757,0)=BB$6),$AV757,dNULL)</f>
        <v>-99</v>
      </c>
      <c r="BC757">
        <f ca="1">IF(AND($AT757&lt;3,OFFSET(DATA!$C$14,$AS757,0)=BC$6),$AV757,dNULL)</f>
        <v>-99</v>
      </c>
      <c r="BD757">
        <f ca="1">IF(AND($AT757&lt;3,OFFSET(DATA!$C$14,$AS757,0)=BD$6),$AV757,dNULL)</f>
        <v>-99</v>
      </c>
      <c r="BE757">
        <f ca="1">IF(AND($AT757&lt;3,OFFSET(DATA!$C$14,$AS757,0)=BE$6),$AV757,dNULL)</f>
        <v>-99</v>
      </c>
      <c r="BF757">
        <f ca="1">IF(AND($AT757&lt;3,OFFSET(DATA!$C$14,$AS757,0)=BF$6),$AV757,dNULL)</f>
        <v>-99</v>
      </c>
      <c r="BG757">
        <f ca="1">IF(AND($AT757&lt;3,OFFSET(DATA!$C$14,$AS757,0)=BG$6),$AV757,dNULL)</f>
        <v>-99</v>
      </c>
      <c r="BH757">
        <f ca="1">IF(AND($AT757&lt;3,OFFSET(DATA!$C$14,$AS757,0)=BH$6),$AV757,dNULL)</f>
        <v>-99</v>
      </c>
    </row>
    <row r="758" spans="45:60" x14ac:dyDescent="0.25">
      <c r="AS758">
        <f t="shared" si="132"/>
        <v>32</v>
      </c>
      <c r="AT758">
        <f t="shared" si="133"/>
        <v>8</v>
      </c>
      <c r="AU758">
        <f t="shared" ca="1" si="134"/>
        <v>-99</v>
      </c>
      <c r="AV758">
        <f t="shared" ca="1" si="135"/>
        <v>-99</v>
      </c>
      <c r="AW758">
        <f ca="1">IF(AND($AT758&lt;3,OFFSET(DATA!$C$14,$AS758,0)=AW$6),$AV758,dNULL)</f>
        <v>-99</v>
      </c>
      <c r="AX758">
        <f ca="1">IF(AND($AT758&lt;3,OFFSET(DATA!$C$14,$AS758,0)=AX$6),$AV758,dNULL)</f>
        <v>-99</v>
      </c>
      <c r="AY758">
        <f ca="1">IF(AND($AT758&lt;3,OFFSET(DATA!$C$14,$AS758,0)=AY$6),$AV758,dNULL)</f>
        <v>-99</v>
      </c>
      <c r="AZ758">
        <f ca="1">IF(AND($AT758&lt;3,OFFSET(DATA!$C$14,$AS758,0)=AZ$6),$AV758,dNULL)</f>
        <v>-99</v>
      </c>
      <c r="BA758">
        <f ca="1">IF(AND($AT758&lt;3,OFFSET(DATA!$C$14,$AS758,0)=BA$6),$AV758,dNULL)</f>
        <v>-99</v>
      </c>
      <c r="BB758">
        <f ca="1">IF(AND($AT758&lt;3,OFFSET(DATA!$C$14,$AS758,0)=BB$6),$AV758,dNULL)</f>
        <v>-99</v>
      </c>
      <c r="BC758">
        <f ca="1">IF(AND($AT758&lt;3,OFFSET(DATA!$C$14,$AS758,0)=BC$6),$AV758,dNULL)</f>
        <v>-99</v>
      </c>
      <c r="BD758">
        <f ca="1">IF(AND($AT758&lt;3,OFFSET(DATA!$C$14,$AS758,0)=BD$6),$AV758,dNULL)</f>
        <v>-99</v>
      </c>
      <c r="BE758">
        <f ca="1">IF(AND($AT758&lt;3,OFFSET(DATA!$C$14,$AS758,0)=BE$6),$AV758,dNULL)</f>
        <v>-99</v>
      </c>
      <c r="BF758">
        <f ca="1">IF(AND($AT758&lt;3,OFFSET(DATA!$C$14,$AS758,0)=BF$6),$AV758,dNULL)</f>
        <v>-99</v>
      </c>
      <c r="BG758">
        <f ca="1">IF(AND($AT758&lt;3,OFFSET(DATA!$C$14,$AS758,0)=BG$6),$AV758,dNULL)</f>
        <v>-99</v>
      </c>
      <c r="BH758">
        <f ca="1">IF(AND($AT758&lt;3,OFFSET(DATA!$C$14,$AS758,0)=BH$6),$AV758,dNULL)</f>
        <v>-99</v>
      </c>
    </row>
    <row r="759" spans="45:60" x14ac:dyDescent="0.25">
      <c r="AS759">
        <f t="shared" si="132"/>
        <v>33</v>
      </c>
      <c r="AT759">
        <f t="shared" si="133"/>
        <v>8</v>
      </c>
      <c r="AU759">
        <f t="shared" ca="1" si="134"/>
        <v>-99</v>
      </c>
      <c r="AV759">
        <f t="shared" ca="1" si="135"/>
        <v>-99</v>
      </c>
      <c r="AW759">
        <f ca="1">IF(AND($AT759&lt;3,OFFSET(DATA!$C$14,$AS759,0)=AW$6),$AV759,dNULL)</f>
        <v>-99</v>
      </c>
      <c r="AX759">
        <f ca="1">IF(AND($AT759&lt;3,OFFSET(DATA!$C$14,$AS759,0)=AX$6),$AV759,dNULL)</f>
        <v>-99</v>
      </c>
      <c r="AY759">
        <f ca="1">IF(AND($AT759&lt;3,OFFSET(DATA!$C$14,$AS759,0)=AY$6),$AV759,dNULL)</f>
        <v>-99</v>
      </c>
      <c r="AZ759">
        <f ca="1">IF(AND($AT759&lt;3,OFFSET(DATA!$C$14,$AS759,0)=AZ$6),$AV759,dNULL)</f>
        <v>-99</v>
      </c>
      <c r="BA759">
        <f ca="1">IF(AND($AT759&lt;3,OFFSET(DATA!$C$14,$AS759,0)=BA$6),$AV759,dNULL)</f>
        <v>-99</v>
      </c>
      <c r="BB759">
        <f ca="1">IF(AND($AT759&lt;3,OFFSET(DATA!$C$14,$AS759,0)=BB$6),$AV759,dNULL)</f>
        <v>-99</v>
      </c>
      <c r="BC759">
        <f ca="1">IF(AND($AT759&lt;3,OFFSET(DATA!$C$14,$AS759,0)=BC$6),$AV759,dNULL)</f>
        <v>-99</v>
      </c>
      <c r="BD759">
        <f ca="1">IF(AND($AT759&lt;3,OFFSET(DATA!$C$14,$AS759,0)=BD$6),$AV759,dNULL)</f>
        <v>-99</v>
      </c>
      <c r="BE759">
        <f ca="1">IF(AND($AT759&lt;3,OFFSET(DATA!$C$14,$AS759,0)=BE$6),$AV759,dNULL)</f>
        <v>-99</v>
      </c>
      <c r="BF759">
        <f ca="1">IF(AND($AT759&lt;3,OFFSET(DATA!$C$14,$AS759,0)=BF$6),$AV759,dNULL)</f>
        <v>-99</v>
      </c>
      <c r="BG759">
        <f ca="1">IF(AND($AT759&lt;3,OFFSET(DATA!$C$14,$AS759,0)=BG$6),$AV759,dNULL)</f>
        <v>-99</v>
      </c>
      <c r="BH759">
        <f ca="1">IF(AND($AT759&lt;3,OFFSET(DATA!$C$14,$AS759,0)=BH$6),$AV759,dNULL)</f>
        <v>-99</v>
      </c>
    </row>
    <row r="760" spans="45:60" x14ac:dyDescent="0.25">
      <c r="AS760">
        <f t="shared" si="132"/>
        <v>34</v>
      </c>
      <c r="AT760">
        <f t="shared" si="133"/>
        <v>8</v>
      </c>
      <c r="AU760">
        <f t="shared" ca="1" si="134"/>
        <v>-99</v>
      </c>
      <c r="AV760">
        <f t="shared" ca="1" si="135"/>
        <v>-99</v>
      </c>
      <c r="AW760">
        <f ca="1">IF(AND($AT760&lt;3,OFFSET(DATA!$C$14,$AS760,0)=AW$6),$AV760,dNULL)</f>
        <v>-99</v>
      </c>
      <c r="AX760">
        <f ca="1">IF(AND($AT760&lt;3,OFFSET(DATA!$C$14,$AS760,0)=AX$6),$AV760,dNULL)</f>
        <v>-99</v>
      </c>
      <c r="AY760">
        <f ca="1">IF(AND($AT760&lt;3,OFFSET(DATA!$C$14,$AS760,0)=AY$6),$AV760,dNULL)</f>
        <v>-99</v>
      </c>
      <c r="AZ760">
        <f ca="1">IF(AND($AT760&lt;3,OFFSET(DATA!$C$14,$AS760,0)=AZ$6),$AV760,dNULL)</f>
        <v>-99</v>
      </c>
      <c r="BA760">
        <f ca="1">IF(AND($AT760&lt;3,OFFSET(DATA!$C$14,$AS760,0)=BA$6),$AV760,dNULL)</f>
        <v>-99</v>
      </c>
      <c r="BB760">
        <f ca="1">IF(AND($AT760&lt;3,OFFSET(DATA!$C$14,$AS760,0)=BB$6),$AV760,dNULL)</f>
        <v>-99</v>
      </c>
      <c r="BC760">
        <f ca="1">IF(AND($AT760&lt;3,OFFSET(DATA!$C$14,$AS760,0)=BC$6),$AV760,dNULL)</f>
        <v>-99</v>
      </c>
      <c r="BD760">
        <f ca="1">IF(AND($AT760&lt;3,OFFSET(DATA!$C$14,$AS760,0)=BD$6),$AV760,dNULL)</f>
        <v>-99</v>
      </c>
      <c r="BE760">
        <f ca="1">IF(AND($AT760&lt;3,OFFSET(DATA!$C$14,$AS760,0)=BE$6),$AV760,dNULL)</f>
        <v>-99</v>
      </c>
      <c r="BF760">
        <f ca="1">IF(AND($AT760&lt;3,OFFSET(DATA!$C$14,$AS760,0)=BF$6),$AV760,dNULL)</f>
        <v>-99</v>
      </c>
      <c r="BG760">
        <f ca="1">IF(AND($AT760&lt;3,OFFSET(DATA!$C$14,$AS760,0)=BG$6),$AV760,dNULL)</f>
        <v>-99</v>
      </c>
      <c r="BH760">
        <f ca="1">IF(AND($AT760&lt;3,OFFSET(DATA!$C$14,$AS760,0)=BH$6),$AV760,dNULL)</f>
        <v>-99</v>
      </c>
    </row>
    <row r="761" spans="45:60" x14ac:dyDescent="0.25">
      <c r="AS761">
        <f t="shared" si="132"/>
        <v>35</v>
      </c>
      <c r="AT761">
        <f t="shared" si="133"/>
        <v>8</v>
      </c>
      <c r="AU761">
        <f t="shared" ca="1" si="134"/>
        <v>-99</v>
      </c>
      <c r="AV761">
        <f t="shared" ca="1" si="135"/>
        <v>-99</v>
      </c>
      <c r="AW761">
        <f ca="1">IF(AND($AT761&lt;3,OFFSET(DATA!$C$14,$AS761,0)=AW$6),$AV761,dNULL)</f>
        <v>-99</v>
      </c>
      <c r="AX761">
        <f ca="1">IF(AND($AT761&lt;3,OFFSET(DATA!$C$14,$AS761,0)=AX$6),$AV761,dNULL)</f>
        <v>-99</v>
      </c>
      <c r="AY761">
        <f ca="1">IF(AND($AT761&lt;3,OFFSET(DATA!$C$14,$AS761,0)=AY$6),$AV761,dNULL)</f>
        <v>-99</v>
      </c>
      <c r="AZ761">
        <f ca="1">IF(AND($AT761&lt;3,OFFSET(DATA!$C$14,$AS761,0)=AZ$6),$AV761,dNULL)</f>
        <v>-99</v>
      </c>
      <c r="BA761">
        <f ca="1">IF(AND($AT761&lt;3,OFFSET(DATA!$C$14,$AS761,0)=BA$6),$AV761,dNULL)</f>
        <v>-99</v>
      </c>
      <c r="BB761">
        <f ca="1">IF(AND($AT761&lt;3,OFFSET(DATA!$C$14,$AS761,0)=BB$6),$AV761,dNULL)</f>
        <v>-99</v>
      </c>
      <c r="BC761">
        <f ca="1">IF(AND($AT761&lt;3,OFFSET(DATA!$C$14,$AS761,0)=BC$6),$AV761,dNULL)</f>
        <v>-99</v>
      </c>
      <c r="BD761">
        <f ca="1">IF(AND($AT761&lt;3,OFFSET(DATA!$C$14,$AS761,0)=BD$6),$AV761,dNULL)</f>
        <v>-99</v>
      </c>
      <c r="BE761">
        <f ca="1">IF(AND($AT761&lt;3,OFFSET(DATA!$C$14,$AS761,0)=BE$6),$AV761,dNULL)</f>
        <v>-99</v>
      </c>
      <c r="BF761">
        <f ca="1">IF(AND($AT761&lt;3,OFFSET(DATA!$C$14,$AS761,0)=BF$6),$AV761,dNULL)</f>
        <v>-99</v>
      </c>
      <c r="BG761">
        <f ca="1">IF(AND($AT761&lt;3,OFFSET(DATA!$C$14,$AS761,0)=BG$6),$AV761,dNULL)</f>
        <v>-99</v>
      </c>
      <c r="BH761">
        <f ca="1">IF(AND($AT761&lt;3,OFFSET(DATA!$C$14,$AS761,0)=BH$6),$AV761,dNULL)</f>
        <v>-99</v>
      </c>
    </row>
    <row r="762" spans="45:60" x14ac:dyDescent="0.25">
      <c r="AS762">
        <f t="shared" si="132"/>
        <v>36</v>
      </c>
      <c r="AT762">
        <f t="shared" si="133"/>
        <v>8</v>
      </c>
      <c r="AU762">
        <f t="shared" ca="1" si="134"/>
        <v>-99</v>
      </c>
      <c r="AV762">
        <f t="shared" ca="1" si="135"/>
        <v>-99</v>
      </c>
      <c r="AW762">
        <f ca="1">IF(AND($AT762&lt;3,OFFSET(DATA!$C$14,$AS762,0)=AW$6),$AV762,dNULL)</f>
        <v>-99</v>
      </c>
      <c r="AX762">
        <f ca="1">IF(AND($AT762&lt;3,OFFSET(DATA!$C$14,$AS762,0)=AX$6),$AV762,dNULL)</f>
        <v>-99</v>
      </c>
      <c r="AY762">
        <f ca="1">IF(AND($AT762&lt;3,OFFSET(DATA!$C$14,$AS762,0)=AY$6),$AV762,dNULL)</f>
        <v>-99</v>
      </c>
      <c r="AZ762">
        <f ca="1">IF(AND($AT762&lt;3,OFFSET(DATA!$C$14,$AS762,0)=AZ$6),$AV762,dNULL)</f>
        <v>-99</v>
      </c>
      <c r="BA762">
        <f ca="1">IF(AND($AT762&lt;3,OFFSET(DATA!$C$14,$AS762,0)=BA$6),$AV762,dNULL)</f>
        <v>-99</v>
      </c>
      <c r="BB762">
        <f ca="1">IF(AND($AT762&lt;3,OFFSET(DATA!$C$14,$AS762,0)=BB$6),$AV762,dNULL)</f>
        <v>-99</v>
      </c>
      <c r="BC762">
        <f ca="1">IF(AND($AT762&lt;3,OFFSET(DATA!$C$14,$AS762,0)=BC$6),$AV762,dNULL)</f>
        <v>-99</v>
      </c>
      <c r="BD762">
        <f ca="1">IF(AND($AT762&lt;3,OFFSET(DATA!$C$14,$AS762,0)=BD$6),$AV762,dNULL)</f>
        <v>-99</v>
      </c>
      <c r="BE762">
        <f ca="1">IF(AND($AT762&lt;3,OFFSET(DATA!$C$14,$AS762,0)=BE$6),$AV762,dNULL)</f>
        <v>-99</v>
      </c>
      <c r="BF762">
        <f ca="1">IF(AND($AT762&lt;3,OFFSET(DATA!$C$14,$AS762,0)=BF$6),$AV762,dNULL)</f>
        <v>-99</v>
      </c>
      <c r="BG762">
        <f ca="1">IF(AND($AT762&lt;3,OFFSET(DATA!$C$14,$AS762,0)=BG$6),$AV762,dNULL)</f>
        <v>-99</v>
      </c>
      <c r="BH762">
        <f ca="1">IF(AND($AT762&lt;3,OFFSET(DATA!$C$14,$AS762,0)=BH$6),$AV762,dNULL)</f>
        <v>-99</v>
      </c>
    </row>
    <row r="763" spans="45:60" x14ac:dyDescent="0.25">
      <c r="AS763">
        <f t="shared" si="132"/>
        <v>37</v>
      </c>
      <c r="AT763">
        <f t="shared" si="133"/>
        <v>8</v>
      </c>
      <c r="AU763">
        <f t="shared" ca="1" si="134"/>
        <v>-99</v>
      </c>
      <c r="AV763">
        <f t="shared" ca="1" si="135"/>
        <v>-99</v>
      </c>
      <c r="AW763">
        <f ca="1">IF(AND($AT763&lt;3,OFFSET(DATA!$C$14,$AS763,0)=AW$6),$AV763,dNULL)</f>
        <v>-99</v>
      </c>
      <c r="AX763">
        <f ca="1">IF(AND($AT763&lt;3,OFFSET(DATA!$C$14,$AS763,0)=AX$6),$AV763,dNULL)</f>
        <v>-99</v>
      </c>
      <c r="AY763">
        <f ca="1">IF(AND($AT763&lt;3,OFFSET(DATA!$C$14,$AS763,0)=AY$6),$AV763,dNULL)</f>
        <v>-99</v>
      </c>
      <c r="AZ763">
        <f ca="1">IF(AND($AT763&lt;3,OFFSET(DATA!$C$14,$AS763,0)=AZ$6),$AV763,dNULL)</f>
        <v>-99</v>
      </c>
      <c r="BA763">
        <f ca="1">IF(AND($AT763&lt;3,OFFSET(DATA!$C$14,$AS763,0)=BA$6),$AV763,dNULL)</f>
        <v>-99</v>
      </c>
      <c r="BB763">
        <f ca="1">IF(AND($AT763&lt;3,OFFSET(DATA!$C$14,$AS763,0)=BB$6),$AV763,dNULL)</f>
        <v>-99</v>
      </c>
      <c r="BC763">
        <f ca="1">IF(AND($AT763&lt;3,OFFSET(DATA!$C$14,$AS763,0)=BC$6),$AV763,dNULL)</f>
        <v>-99</v>
      </c>
      <c r="BD763">
        <f ca="1">IF(AND($AT763&lt;3,OFFSET(DATA!$C$14,$AS763,0)=BD$6),$AV763,dNULL)</f>
        <v>-99</v>
      </c>
      <c r="BE763">
        <f ca="1">IF(AND($AT763&lt;3,OFFSET(DATA!$C$14,$AS763,0)=BE$6),$AV763,dNULL)</f>
        <v>-99</v>
      </c>
      <c r="BF763">
        <f ca="1">IF(AND($AT763&lt;3,OFFSET(DATA!$C$14,$AS763,0)=BF$6),$AV763,dNULL)</f>
        <v>-99</v>
      </c>
      <c r="BG763">
        <f ca="1">IF(AND($AT763&lt;3,OFFSET(DATA!$C$14,$AS763,0)=BG$6),$AV763,dNULL)</f>
        <v>-99</v>
      </c>
      <c r="BH763">
        <f ca="1">IF(AND($AT763&lt;3,OFFSET(DATA!$C$14,$AS763,0)=BH$6),$AV763,dNULL)</f>
        <v>-99</v>
      </c>
    </row>
    <row r="764" spans="45:60" x14ac:dyDescent="0.25">
      <c r="AS764">
        <f t="shared" si="132"/>
        <v>38</v>
      </c>
      <c r="AT764">
        <f t="shared" si="133"/>
        <v>8</v>
      </c>
      <c r="AU764">
        <f t="shared" ca="1" si="134"/>
        <v>-99</v>
      </c>
      <c r="AV764">
        <f t="shared" ca="1" si="135"/>
        <v>-99</v>
      </c>
      <c r="AW764">
        <f ca="1">IF(AND($AT764&lt;3,OFFSET(DATA!$C$14,$AS764,0)=AW$6),$AV764,dNULL)</f>
        <v>-99</v>
      </c>
      <c r="AX764">
        <f ca="1">IF(AND($AT764&lt;3,OFFSET(DATA!$C$14,$AS764,0)=AX$6),$AV764,dNULL)</f>
        <v>-99</v>
      </c>
      <c r="AY764">
        <f ca="1">IF(AND($AT764&lt;3,OFFSET(DATA!$C$14,$AS764,0)=AY$6),$AV764,dNULL)</f>
        <v>-99</v>
      </c>
      <c r="AZ764">
        <f ca="1">IF(AND($AT764&lt;3,OFFSET(DATA!$C$14,$AS764,0)=AZ$6),$AV764,dNULL)</f>
        <v>-99</v>
      </c>
      <c r="BA764">
        <f ca="1">IF(AND($AT764&lt;3,OFFSET(DATA!$C$14,$AS764,0)=BA$6),$AV764,dNULL)</f>
        <v>-99</v>
      </c>
      <c r="BB764">
        <f ca="1">IF(AND($AT764&lt;3,OFFSET(DATA!$C$14,$AS764,0)=BB$6),$AV764,dNULL)</f>
        <v>-99</v>
      </c>
      <c r="BC764">
        <f ca="1">IF(AND($AT764&lt;3,OFFSET(DATA!$C$14,$AS764,0)=BC$6),$AV764,dNULL)</f>
        <v>-99</v>
      </c>
      <c r="BD764">
        <f ca="1">IF(AND($AT764&lt;3,OFFSET(DATA!$C$14,$AS764,0)=BD$6),$AV764,dNULL)</f>
        <v>-99</v>
      </c>
      <c r="BE764">
        <f ca="1">IF(AND($AT764&lt;3,OFFSET(DATA!$C$14,$AS764,0)=BE$6),$AV764,dNULL)</f>
        <v>-99</v>
      </c>
      <c r="BF764">
        <f ca="1">IF(AND($AT764&lt;3,OFFSET(DATA!$C$14,$AS764,0)=BF$6),$AV764,dNULL)</f>
        <v>-99</v>
      </c>
      <c r="BG764">
        <f ca="1">IF(AND($AT764&lt;3,OFFSET(DATA!$C$14,$AS764,0)=BG$6),$AV764,dNULL)</f>
        <v>-99</v>
      </c>
      <c r="BH764">
        <f ca="1">IF(AND($AT764&lt;3,OFFSET(DATA!$C$14,$AS764,0)=BH$6),$AV764,dNULL)</f>
        <v>-99</v>
      </c>
    </row>
    <row r="765" spans="45:60" x14ac:dyDescent="0.25">
      <c r="AS765">
        <f t="shared" si="132"/>
        <v>39</v>
      </c>
      <c r="AT765">
        <f t="shared" si="133"/>
        <v>8</v>
      </c>
      <c r="AU765">
        <f t="shared" ca="1" si="134"/>
        <v>-99</v>
      </c>
      <c r="AV765">
        <f t="shared" ca="1" si="135"/>
        <v>-99</v>
      </c>
      <c r="AW765">
        <f ca="1">IF(AND($AT765&lt;3,OFFSET(DATA!$C$14,$AS765,0)=AW$6),$AV765,dNULL)</f>
        <v>-99</v>
      </c>
      <c r="AX765">
        <f ca="1">IF(AND($AT765&lt;3,OFFSET(DATA!$C$14,$AS765,0)=AX$6),$AV765,dNULL)</f>
        <v>-99</v>
      </c>
      <c r="AY765">
        <f ca="1">IF(AND($AT765&lt;3,OFFSET(DATA!$C$14,$AS765,0)=AY$6),$AV765,dNULL)</f>
        <v>-99</v>
      </c>
      <c r="AZ765">
        <f ca="1">IF(AND($AT765&lt;3,OFFSET(DATA!$C$14,$AS765,0)=AZ$6),$AV765,dNULL)</f>
        <v>-99</v>
      </c>
      <c r="BA765">
        <f ca="1">IF(AND($AT765&lt;3,OFFSET(DATA!$C$14,$AS765,0)=BA$6),$AV765,dNULL)</f>
        <v>-99</v>
      </c>
      <c r="BB765">
        <f ca="1">IF(AND($AT765&lt;3,OFFSET(DATA!$C$14,$AS765,0)=BB$6),$AV765,dNULL)</f>
        <v>-99</v>
      </c>
      <c r="BC765">
        <f ca="1">IF(AND($AT765&lt;3,OFFSET(DATA!$C$14,$AS765,0)=BC$6),$AV765,dNULL)</f>
        <v>-99</v>
      </c>
      <c r="BD765">
        <f ca="1">IF(AND($AT765&lt;3,OFFSET(DATA!$C$14,$AS765,0)=BD$6),$AV765,dNULL)</f>
        <v>-99</v>
      </c>
      <c r="BE765">
        <f ca="1">IF(AND($AT765&lt;3,OFFSET(DATA!$C$14,$AS765,0)=BE$6),$AV765,dNULL)</f>
        <v>-99</v>
      </c>
      <c r="BF765">
        <f ca="1">IF(AND($AT765&lt;3,OFFSET(DATA!$C$14,$AS765,0)=BF$6),$AV765,dNULL)</f>
        <v>-99</v>
      </c>
      <c r="BG765">
        <f ca="1">IF(AND($AT765&lt;3,OFFSET(DATA!$C$14,$AS765,0)=BG$6),$AV765,dNULL)</f>
        <v>-99</v>
      </c>
      <c r="BH765">
        <f ca="1">IF(AND($AT765&lt;3,OFFSET(DATA!$C$14,$AS765,0)=BH$6),$AV765,dNULL)</f>
        <v>-99</v>
      </c>
    </row>
    <row r="766" spans="45:60" x14ac:dyDescent="0.25">
      <c r="AS766">
        <f t="shared" si="132"/>
        <v>40</v>
      </c>
      <c r="AT766">
        <f t="shared" si="133"/>
        <v>8</v>
      </c>
      <c r="AU766">
        <f t="shared" ca="1" si="134"/>
        <v>-99</v>
      </c>
      <c r="AV766">
        <f t="shared" ca="1" si="135"/>
        <v>-99</v>
      </c>
      <c r="AW766">
        <f ca="1">IF(AND($AT766&lt;3,OFFSET(DATA!$C$14,$AS766,0)=AW$6),$AV766,dNULL)</f>
        <v>-99</v>
      </c>
      <c r="AX766">
        <f ca="1">IF(AND($AT766&lt;3,OFFSET(DATA!$C$14,$AS766,0)=AX$6),$AV766,dNULL)</f>
        <v>-99</v>
      </c>
      <c r="AY766">
        <f ca="1">IF(AND($AT766&lt;3,OFFSET(DATA!$C$14,$AS766,0)=AY$6),$AV766,dNULL)</f>
        <v>-99</v>
      </c>
      <c r="AZ766">
        <f ca="1">IF(AND($AT766&lt;3,OFFSET(DATA!$C$14,$AS766,0)=AZ$6),$AV766,dNULL)</f>
        <v>-99</v>
      </c>
      <c r="BA766">
        <f ca="1">IF(AND($AT766&lt;3,OFFSET(DATA!$C$14,$AS766,0)=BA$6),$AV766,dNULL)</f>
        <v>-99</v>
      </c>
      <c r="BB766">
        <f ca="1">IF(AND($AT766&lt;3,OFFSET(DATA!$C$14,$AS766,0)=BB$6),$AV766,dNULL)</f>
        <v>-99</v>
      </c>
      <c r="BC766">
        <f ca="1">IF(AND($AT766&lt;3,OFFSET(DATA!$C$14,$AS766,0)=BC$6),$AV766,dNULL)</f>
        <v>-99</v>
      </c>
      <c r="BD766">
        <f ca="1">IF(AND($AT766&lt;3,OFFSET(DATA!$C$14,$AS766,0)=BD$6),$AV766,dNULL)</f>
        <v>-99</v>
      </c>
      <c r="BE766">
        <f ca="1">IF(AND($AT766&lt;3,OFFSET(DATA!$C$14,$AS766,0)=BE$6),$AV766,dNULL)</f>
        <v>-99</v>
      </c>
      <c r="BF766">
        <f ca="1">IF(AND($AT766&lt;3,OFFSET(DATA!$C$14,$AS766,0)=BF$6),$AV766,dNULL)</f>
        <v>-99</v>
      </c>
      <c r="BG766">
        <f ca="1">IF(AND($AT766&lt;3,OFFSET(DATA!$C$14,$AS766,0)=BG$6),$AV766,dNULL)</f>
        <v>-99</v>
      </c>
      <c r="BH766">
        <f ca="1">IF(AND($AT766&lt;3,OFFSET(DATA!$C$14,$AS766,0)=BH$6),$AV766,dNULL)</f>
        <v>-99</v>
      </c>
    </row>
    <row r="767" spans="45:60" x14ac:dyDescent="0.25">
      <c r="AS767">
        <f t="shared" si="132"/>
        <v>41</v>
      </c>
      <c r="AT767">
        <f t="shared" si="133"/>
        <v>8</v>
      </c>
      <c r="AU767">
        <f t="shared" ca="1" si="134"/>
        <v>-99</v>
      </c>
      <c r="AV767">
        <f t="shared" ca="1" si="135"/>
        <v>-99</v>
      </c>
      <c r="AW767">
        <f ca="1">IF(AND($AT767&lt;3,OFFSET(DATA!$C$14,$AS767,0)=AW$6),$AV767,dNULL)</f>
        <v>-99</v>
      </c>
      <c r="AX767">
        <f ca="1">IF(AND($AT767&lt;3,OFFSET(DATA!$C$14,$AS767,0)=AX$6),$AV767,dNULL)</f>
        <v>-99</v>
      </c>
      <c r="AY767">
        <f ca="1">IF(AND($AT767&lt;3,OFFSET(DATA!$C$14,$AS767,0)=AY$6),$AV767,dNULL)</f>
        <v>-99</v>
      </c>
      <c r="AZ767">
        <f ca="1">IF(AND($AT767&lt;3,OFFSET(DATA!$C$14,$AS767,0)=AZ$6),$AV767,dNULL)</f>
        <v>-99</v>
      </c>
      <c r="BA767">
        <f ca="1">IF(AND($AT767&lt;3,OFFSET(DATA!$C$14,$AS767,0)=BA$6),$AV767,dNULL)</f>
        <v>-99</v>
      </c>
      <c r="BB767">
        <f ca="1">IF(AND($AT767&lt;3,OFFSET(DATA!$C$14,$AS767,0)=BB$6),$AV767,dNULL)</f>
        <v>-99</v>
      </c>
      <c r="BC767">
        <f ca="1">IF(AND($AT767&lt;3,OFFSET(DATA!$C$14,$AS767,0)=BC$6),$AV767,dNULL)</f>
        <v>-99</v>
      </c>
      <c r="BD767">
        <f ca="1">IF(AND($AT767&lt;3,OFFSET(DATA!$C$14,$AS767,0)=BD$6),$AV767,dNULL)</f>
        <v>-99</v>
      </c>
      <c r="BE767">
        <f ca="1">IF(AND($AT767&lt;3,OFFSET(DATA!$C$14,$AS767,0)=BE$6),$AV767,dNULL)</f>
        <v>-99</v>
      </c>
      <c r="BF767">
        <f ca="1">IF(AND($AT767&lt;3,OFFSET(DATA!$C$14,$AS767,0)=BF$6),$AV767,dNULL)</f>
        <v>-99</v>
      </c>
      <c r="BG767">
        <f ca="1">IF(AND($AT767&lt;3,OFFSET(DATA!$C$14,$AS767,0)=BG$6),$AV767,dNULL)</f>
        <v>-99</v>
      </c>
      <c r="BH767">
        <f ca="1">IF(AND($AT767&lt;3,OFFSET(DATA!$C$14,$AS767,0)=BH$6),$AV767,dNULL)</f>
        <v>-99</v>
      </c>
    </row>
    <row r="768" spans="45:60" x14ac:dyDescent="0.25">
      <c r="AS768">
        <f t="shared" si="132"/>
        <v>42</v>
      </c>
      <c r="AT768">
        <f t="shared" si="133"/>
        <v>8</v>
      </c>
      <c r="AU768">
        <f t="shared" ca="1" si="134"/>
        <v>-99</v>
      </c>
      <c r="AV768">
        <f t="shared" ca="1" si="135"/>
        <v>-99</v>
      </c>
      <c r="AW768">
        <f ca="1">IF(AND($AT768&lt;3,OFFSET(DATA!$C$14,$AS768,0)=AW$6),$AV768,dNULL)</f>
        <v>-99</v>
      </c>
      <c r="AX768">
        <f ca="1">IF(AND($AT768&lt;3,OFFSET(DATA!$C$14,$AS768,0)=AX$6),$AV768,dNULL)</f>
        <v>-99</v>
      </c>
      <c r="AY768">
        <f ca="1">IF(AND($AT768&lt;3,OFFSET(DATA!$C$14,$AS768,0)=AY$6),$AV768,dNULL)</f>
        <v>-99</v>
      </c>
      <c r="AZ768">
        <f ca="1">IF(AND($AT768&lt;3,OFFSET(DATA!$C$14,$AS768,0)=AZ$6),$AV768,dNULL)</f>
        <v>-99</v>
      </c>
      <c r="BA768">
        <f ca="1">IF(AND($AT768&lt;3,OFFSET(DATA!$C$14,$AS768,0)=BA$6),$AV768,dNULL)</f>
        <v>-99</v>
      </c>
      <c r="BB768">
        <f ca="1">IF(AND($AT768&lt;3,OFFSET(DATA!$C$14,$AS768,0)=BB$6),$AV768,dNULL)</f>
        <v>-99</v>
      </c>
      <c r="BC768">
        <f ca="1">IF(AND($AT768&lt;3,OFFSET(DATA!$C$14,$AS768,0)=BC$6),$AV768,dNULL)</f>
        <v>-99</v>
      </c>
      <c r="BD768">
        <f ca="1">IF(AND($AT768&lt;3,OFFSET(DATA!$C$14,$AS768,0)=BD$6),$AV768,dNULL)</f>
        <v>-99</v>
      </c>
      <c r="BE768">
        <f ca="1">IF(AND($AT768&lt;3,OFFSET(DATA!$C$14,$AS768,0)=BE$6),$AV768,dNULL)</f>
        <v>-99</v>
      </c>
      <c r="BF768">
        <f ca="1">IF(AND($AT768&lt;3,OFFSET(DATA!$C$14,$AS768,0)=BF$6),$AV768,dNULL)</f>
        <v>-99</v>
      </c>
      <c r="BG768">
        <f ca="1">IF(AND($AT768&lt;3,OFFSET(DATA!$C$14,$AS768,0)=BG$6),$AV768,dNULL)</f>
        <v>-99</v>
      </c>
      <c r="BH768">
        <f ca="1">IF(AND($AT768&lt;3,OFFSET(DATA!$C$14,$AS768,0)=BH$6),$AV768,dNULL)</f>
        <v>-99</v>
      </c>
    </row>
    <row r="769" spans="45:60" x14ac:dyDescent="0.25">
      <c r="AS769">
        <f t="shared" si="132"/>
        <v>43</v>
      </c>
      <c r="AT769">
        <f t="shared" si="133"/>
        <v>8</v>
      </c>
      <c r="AU769">
        <f t="shared" ca="1" si="134"/>
        <v>-99</v>
      </c>
      <c r="AV769">
        <f t="shared" ca="1" si="135"/>
        <v>-99</v>
      </c>
      <c r="AW769">
        <f ca="1">IF(AND($AT769&lt;3,OFFSET(DATA!$C$14,$AS769,0)=AW$6),$AV769,dNULL)</f>
        <v>-99</v>
      </c>
      <c r="AX769">
        <f ca="1">IF(AND($AT769&lt;3,OFFSET(DATA!$C$14,$AS769,0)=AX$6),$AV769,dNULL)</f>
        <v>-99</v>
      </c>
      <c r="AY769">
        <f ca="1">IF(AND($AT769&lt;3,OFFSET(DATA!$C$14,$AS769,0)=AY$6),$AV769,dNULL)</f>
        <v>-99</v>
      </c>
      <c r="AZ769">
        <f ca="1">IF(AND($AT769&lt;3,OFFSET(DATA!$C$14,$AS769,0)=AZ$6),$AV769,dNULL)</f>
        <v>-99</v>
      </c>
      <c r="BA769">
        <f ca="1">IF(AND($AT769&lt;3,OFFSET(DATA!$C$14,$AS769,0)=BA$6),$AV769,dNULL)</f>
        <v>-99</v>
      </c>
      <c r="BB769">
        <f ca="1">IF(AND($AT769&lt;3,OFFSET(DATA!$C$14,$AS769,0)=BB$6),$AV769,dNULL)</f>
        <v>-99</v>
      </c>
      <c r="BC769">
        <f ca="1">IF(AND($AT769&lt;3,OFFSET(DATA!$C$14,$AS769,0)=BC$6),$AV769,dNULL)</f>
        <v>-99</v>
      </c>
      <c r="BD769">
        <f ca="1">IF(AND($AT769&lt;3,OFFSET(DATA!$C$14,$AS769,0)=BD$6),$AV769,dNULL)</f>
        <v>-99</v>
      </c>
      <c r="BE769">
        <f ca="1">IF(AND($AT769&lt;3,OFFSET(DATA!$C$14,$AS769,0)=BE$6),$AV769,dNULL)</f>
        <v>-99</v>
      </c>
      <c r="BF769">
        <f ca="1">IF(AND($AT769&lt;3,OFFSET(DATA!$C$14,$AS769,0)=BF$6),$AV769,dNULL)</f>
        <v>-99</v>
      </c>
      <c r="BG769">
        <f ca="1">IF(AND($AT769&lt;3,OFFSET(DATA!$C$14,$AS769,0)=BG$6),$AV769,dNULL)</f>
        <v>-99</v>
      </c>
      <c r="BH769">
        <f ca="1">IF(AND($AT769&lt;3,OFFSET(DATA!$C$14,$AS769,0)=BH$6),$AV769,dNULL)</f>
        <v>-99</v>
      </c>
    </row>
    <row r="770" spans="45:60" x14ac:dyDescent="0.25">
      <c r="AS770">
        <f t="shared" si="132"/>
        <v>44</v>
      </c>
      <c r="AT770">
        <f t="shared" si="133"/>
        <v>8</v>
      </c>
      <c r="AU770">
        <f t="shared" ca="1" si="134"/>
        <v>-99</v>
      </c>
      <c r="AV770">
        <f t="shared" ca="1" si="135"/>
        <v>-99</v>
      </c>
      <c r="AW770">
        <f ca="1">IF(AND($AT770&lt;3,OFFSET(DATA!$C$14,$AS770,0)=AW$6),$AV770,dNULL)</f>
        <v>-99</v>
      </c>
      <c r="AX770">
        <f ca="1">IF(AND($AT770&lt;3,OFFSET(DATA!$C$14,$AS770,0)=AX$6),$AV770,dNULL)</f>
        <v>-99</v>
      </c>
      <c r="AY770">
        <f ca="1">IF(AND($AT770&lt;3,OFFSET(DATA!$C$14,$AS770,0)=AY$6),$AV770,dNULL)</f>
        <v>-99</v>
      </c>
      <c r="AZ770">
        <f ca="1">IF(AND($AT770&lt;3,OFFSET(DATA!$C$14,$AS770,0)=AZ$6),$AV770,dNULL)</f>
        <v>-99</v>
      </c>
      <c r="BA770">
        <f ca="1">IF(AND($AT770&lt;3,OFFSET(DATA!$C$14,$AS770,0)=BA$6),$AV770,dNULL)</f>
        <v>-99</v>
      </c>
      <c r="BB770">
        <f ca="1">IF(AND($AT770&lt;3,OFFSET(DATA!$C$14,$AS770,0)=BB$6),$AV770,dNULL)</f>
        <v>-99</v>
      </c>
      <c r="BC770">
        <f ca="1">IF(AND($AT770&lt;3,OFFSET(DATA!$C$14,$AS770,0)=BC$6),$AV770,dNULL)</f>
        <v>-99</v>
      </c>
      <c r="BD770">
        <f ca="1">IF(AND($AT770&lt;3,OFFSET(DATA!$C$14,$AS770,0)=BD$6),$AV770,dNULL)</f>
        <v>-99</v>
      </c>
      <c r="BE770">
        <f ca="1">IF(AND($AT770&lt;3,OFFSET(DATA!$C$14,$AS770,0)=BE$6),$AV770,dNULL)</f>
        <v>-99</v>
      </c>
      <c r="BF770">
        <f ca="1">IF(AND($AT770&lt;3,OFFSET(DATA!$C$14,$AS770,0)=BF$6),$AV770,dNULL)</f>
        <v>-99</v>
      </c>
      <c r="BG770">
        <f ca="1">IF(AND($AT770&lt;3,OFFSET(DATA!$C$14,$AS770,0)=BG$6),$AV770,dNULL)</f>
        <v>-99</v>
      </c>
      <c r="BH770">
        <f ca="1">IF(AND($AT770&lt;3,OFFSET(DATA!$C$14,$AS770,0)=BH$6),$AV770,dNULL)</f>
        <v>-99</v>
      </c>
    </row>
    <row r="771" spans="45:60" x14ac:dyDescent="0.25">
      <c r="AS771">
        <f t="shared" si="132"/>
        <v>45</v>
      </c>
      <c r="AT771">
        <f t="shared" si="133"/>
        <v>8</v>
      </c>
      <c r="AU771">
        <f t="shared" ca="1" si="134"/>
        <v>-99</v>
      </c>
      <c r="AV771">
        <f t="shared" ca="1" si="135"/>
        <v>-99</v>
      </c>
      <c r="AW771">
        <f ca="1">IF(AND($AT771&lt;3,OFFSET(DATA!$C$14,$AS771,0)=AW$6),$AV771,dNULL)</f>
        <v>-99</v>
      </c>
      <c r="AX771">
        <f ca="1">IF(AND($AT771&lt;3,OFFSET(DATA!$C$14,$AS771,0)=AX$6),$AV771,dNULL)</f>
        <v>-99</v>
      </c>
      <c r="AY771">
        <f ca="1">IF(AND($AT771&lt;3,OFFSET(DATA!$C$14,$AS771,0)=AY$6),$AV771,dNULL)</f>
        <v>-99</v>
      </c>
      <c r="AZ771">
        <f ca="1">IF(AND($AT771&lt;3,OFFSET(DATA!$C$14,$AS771,0)=AZ$6),$AV771,dNULL)</f>
        <v>-99</v>
      </c>
      <c r="BA771">
        <f ca="1">IF(AND($AT771&lt;3,OFFSET(DATA!$C$14,$AS771,0)=BA$6),$AV771,dNULL)</f>
        <v>-99</v>
      </c>
      <c r="BB771">
        <f ca="1">IF(AND($AT771&lt;3,OFFSET(DATA!$C$14,$AS771,0)=BB$6),$AV771,dNULL)</f>
        <v>-99</v>
      </c>
      <c r="BC771">
        <f ca="1">IF(AND($AT771&lt;3,OFFSET(DATA!$C$14,$AS771,0)=BC$6),$AV771,dNULL)</f>
        <v>-99</v>
      </c>
      <c r="BD771">
        <f ca="1">IF(AND($AT771&lt;3,OFFSET(DATA!$C$14,$AS771,0)=BD$6),$AV771,dNULL)</f>
        <v>-99</v>
      </c>
      <c r="BE771">
        <f ca="1">IF(AND($AT771&lt;3,OFFSET(DATA!$C$14,$AS771,0)=BE$6),$AV771,dNULL)</f>
        <v>-99</v>
      </c>
      <c r="BF771">
        <f ca="1">IF(AND($AT771&lt;3,OFFSET(DATA!$C$14,$AS771,0)=BF$6),$AV771,dNULL)</f>
        <v>-99</v>
      </c>
      <c r="BG771">
        <f ca="1">IF(AND($AT771&lt;3,OFFSET(DATA!$C$14,$AS771,0)=BG$6),$AV771,dNULL)</f>
        <v>-99</v>
      </c>
      <c r="BH771">
        <f ca="1">IF(AND($AT771&lt;3,OFFSET(DATA!$C$14,$AS771,0)=BH$6),$AV771,dNULL)</f>
        <v>-99</v>
      </c>
    </row>
    <row r="772" spans="45:60" x14ac:dyDescent="0.25">
      <c r="AS772">
        <f t="shared" si="132"/>
        <v>46</v>
      </c>
      <c r="AT772">
        <f t="shared" si="133"/>
        <v>8</v>
      </c>
      <c r="AU772">
        <f t="shared" ca="1" si="134"/>
        <v>-99</v>
      </c>
      <c r="AV772">
        <f t="shared" ca="1" si="135"/>
        <v>-99</v>
      </c>
      <c r="AW772">
        <f ca="1">IF(AND($AT772&lt;3,OFFSET(DATA!$C$14,$AS772,0)=AW$6),$AV772,dNULL)</f>
        <v>-99</v>
      </c>
      <c r="AX772">
        <f ca="1">IF(AND($AT772&lt;3,OFFSET(DATA!$C$14,$AS772,0)=AX$6),$AV772,dNULL)</f>
        <v>-99</v>
      </c>
      <c r="AY772">
        <f ca="1">IF(AND($AT772&lt;3,OFFSET(DATA!$C$14,$AS772,0)=AY$6),$AV772,dNULL)</f>
        <v>-99</v>
      </c>
      <c r="AZ772">
        <f ca="1">IF(AND($AT772&lt;3,OFFSET(DATA!$C$14,$AS772,0)=AZ$6),$AV772,dNULL)</f>
        <v>-99</v>
      </c>
      <c r="BA772">
        <f ca="1">IF(AND($AT772&lt;3,OFFSET(DATA!$C$14,$AS772,0)=BA$6),$AV772,dNULL)</f>
        <v>-99</v>
      </c>
      <c r="BB772">
        <f ca="1">IF(AND($AT772&lt;3,OFFSET(DATA!$C$14,$AS772,0)=BB$6),$AV772,dNULL)</f>
        <v>-99</v>
      </c>
      <c r="BC772">
        <f ca="1">IF(AND($AT772&lt;3,OFFSET(DATA!$C$14,$AS772,0)=BC$6),$AV772,dNULL)</f>
        <v>-99</v>
      </c>
      <c r="BD772">
        <f ca="1">IF(AND($AT772&lt;3,OFFSET(DATA!$C$14,$AS772,0)=BD$6),$AV772,dNULL)</f>
        <v>-99</v>
      </c>
      <c r="BE772">
        <f ca="1">IF(AND($AT772&lt;3,OFFSET(DATA!$C$14,$AS772,0)=BE$6),$AV772,dNULL)</f>
        <v>-99</v>
      </c>
      <c r="BF772">
        <f ca="1">IF(AND($AT772&lt;3,OFFSET(DATA!$C$14,$AS772,0)=BF$6),$AV772,dNULL)</f>
        <v>-99</v>
      </c>
      <c r="BG772">
        <f ca="1">IF(AND($AT772&lt;3,OFFSET(DATA!$C$14,$AS772,0)=BG$6),$AV772,dNULL)</f>
        <v>-99</v>
      </c>
      <c r="BH772">
        <f ca="1">IF(AND($AT772&lt;3,OFFSET(DATA!$C$14,$AS772,0)=BH$6),$AV772,dNULL)</f>
        <v>-99</v>
      </c>
    </row>
    <row r="773" spans="45:60" x14ac:dyDescent="0.25">
      <c r="AS773">
        <f t="shared" si="132"/>
        <v>47</v>
      </c>
      <c r="AT773">
        <f t="shared" si="133"/>
        <v>8</v>
      </c>
      <c r="AU773">
        <f t="shared" ca="1" si="134"/>
        <v>-99</v>
      </c>
      <c r="AV773">
        <f t="shared" ca="1" si="135"/>
        <v>-99</v>
      </c>
      <c r="AW773">
        <f ca="1">IF(AND($AT773&lt;3,OFFSET(DATA!$C$14,$AS773,0)=AW$6),$AV773,dNULL)</f>
        <v>-99</v>
      </c>
      <c r="AX773">
        <f ca="1">IF(AND($AT773&lt;3,OFFSET(DATA!$C$14,$AS773,0)=AX$6),$AV773,dNULL)</f>
        <v>-99</v>
      </c>
      <c r="AY773">
        <f ca="1">IF(AND($AT773&lt;3,OFFSET(DATA!$C$14,$AS773,0)=AY$6),$AV773,dNULL)</f>
        <v>-99</v>
      </c>
      <c r="AZ773">
        <f ca="1">IF(AND($AT773&lt;3,OFFSET(DATA!$C$14,$AS773,0)=AZ$6),$AV773,dNULL)</f>
        <v>-99</v>
      </c>
      <c r="BA773">
        <f ca="1">IF(AND($AT773&lt;3,OFFSET(DATA!$C$14,$AS773,0)=BA$6),$AV773,dNULL)</f>
        <v>-99</v>
      </c>
      <c r="BB773">
        <f ca="1">IF(AND($AT773&lt;3,OFFSET(DATA!$C$14,$AS773,0)=BB$6),$AV773,dNULL)</f>
        <v>-99</v>
      </c>
      <c r="BC773">
        <f ca="1">IF(AND($AT773&lt;3,OFFSET(DATA!$C$14,$AS773,0)=BC$6),$AV773,dNULL)</f>
        <v>-99</v>
      </c>
      <c r="BD773">
        <f ca="1">IF(AND($AT773&lt;3,OFFSET(DATA!$C$14,$AS773,0)=BD$6),$AV773,dNULL)</f>
        <v>-99</v>
      </c>
      <c r="BE773">
        <f ca="1">IF(AND($AT773&lt;3,OFFSET(DATA!$C$14,$AS773,0)=BE$6),$AV773,dNULL)</f>
        <v>-99</v>
      </c>
      <c r="BF773">
        <f ca="1">IF(AND($AT773&lt;3,OFFSET(DATA!$C$14,$AS773,0)=BF$6),$AV773,dNULL)</f>
        <v>-99</v>
      </c>
      <c r="BG773">
        <f ca="1">IF(AND($AT773&lt;3,OFFSET(DATA!$C$14,$AS773,0)=BG$6),$AV773,dNULL)</f>
        <v>-99</v>
      </c>
      <c r="BH773">
        <f ca="1">IF(AND($AT773&lt;3,OFFSET(DATA!$C$14,$AS773,0)=BH$6),$AV773,dNULL)</f>
        <v>-99</v>
      </c>
    </row>
    <row r="774" spans="45:60" x14ac:dyDescent="0.25">
      <c r="AS774">
        <f t="shared" si="132"/>
        <v>48</v>
      </c>
      <c r="AT774">
        <f t="shared" si="133"/>
        <v>8</v>
      </c>
      <c r="AU774">
        <f t="shared" ca="1" si="134"/>
        <v>-99</v>
      </c>
      <c r="AV774">
        <f t="shared" ca="1" si="135"/>
        <v>-99</v>
      </c>
      <c r="AW774">
        <f ca="1">IF(AND($AT774&lt;3,OFFSET(DATA!$C$14,$AS774,0)=AW$6),$AV774,dNULL)</f>
        <v>-99</v>
      </c>
      <c r="AX774">
        <f ca="1">IF(AND($AT774&lt;3,OFFSET(DATA!$C$14,$AS774,0)=AX$6),$AV774,dNULL)</f>
        <v>-99</v>
      </c>
      <c r="AY774">
        <f ca="1">IF(AND($AT774&lt;3,OFFSET(DATA!$C$14,$AS774,0)=AY$6),$AV774,dNULL)</f>
        <v>-99</v>
      </c>
      <c r="AZ774">
        <f ca="1">IF(AND($AT774&lt;3,OFFSET(DATA!$C$14,$AS774,0)=AZ$6),$AV774,dNULL)</f>
        <v>-99</v>
      </c>
      <c r="BA774">
        <f ca="1">IF(AND($AT774&lt;3,OFFSET(DATA!$C$14,$AS774,0)=BA$6),$AV774,dNULL)</f>
        <v>-99</v>
      </c>
      <c r="BB774">
        <f ca="1">IF(AND($AT774&lt;3,OFFSET(DATA!$C$14,$AS774,0)=BB$6),$AV774,dNULL)</f>
        <v>-99</v>
      </c>
      <c r="BC774">
        <f ca="1">IF(AND($AT774&lt;3,OFFSET(DATA!$C$14,$AS774,0)=BC$6),$AV774,dNULL)</f>
        <v>-99</v>
      </c>
      <c r="BD774">
        <f ca="1">IF(AND($AT774&lt;3,OFFSET(DATA!$C$14,$AS774,0)=BD$6),$AV774,dNULL)</f>
        <v>-99</v>
      </c>
      <c r="BE774">
        <f ca="1">IF(AND($AT774&lt;3,OFFSET(DATA!$C$14,$AS774,0)=BE$6),$AV774,dNULL)</f>
        <v>-99</v>
      </c>
      <c r="BF774">
        <f ca="1">IF(AND($AT774&lt;3,OFFSET(DATA!$C$14,$AS774,0)=BF$6),$AV774,dNULL)</f>
        <v>-99</v>
      </c>
      <c r="BG774">
        <f ca="1">IF(AND($AT774&lt;3,OFFSET(DATA!$C$14,$AS774,0)=BG$6),$AV774,dNULL)</f>
        <v>-99</v>
      </c>
      <c r="BH774">
        <f ca="1">IF(AND($AT774&lt;3,OFFSET(DATA!$C$14,$AS774,0)=BH$6),$AV774,dNULL)</f>
        <v>-99</v>
      </c>
    </row>
    <row r="775" spans="45:60" x14ac:dyDescent="0.25">
      <c r="AS775">
        <f t="shared" ref="AS775:AS838" si="136">MOD(ROW(AT775)-ROW($AT$7),lCNTsites)+1</f>
        <v>49</v>
      </c>
      <c r="AT775">
        <f t="shared" ref="AT775:AT838" si="137">INT((ROW(AT775)-ROW($AT$7))/lCNTsites)</f>
        <v>8</v>
      </c>
      <c r="AU775">
        <f t="shared" ref="AU775:AU838" ca="1" si="138">IF($AT775=0,(1-OFFSET($AL$6,$AS775,$AT775*2))-OFFSET($AL$6,$AS775,$AT775*2+1)*$K$8,IF($AT775=1,dAnionOFF+1+OFFSET($AL$6,$AS775,$AT775*2)+OFFSET($AL$6,$AS775,$AT775*2+1)/2,IF($AT775=2,$K$17-(1-OFFSET($AL$6,$AS775,$AT775*2))*0.5+(1-OFFSET($AL$6,$AS775,$AT775*2+1))*0.5,dNULL)))</f>
        <v>-99</v>
      </c>
      <c r="AV775">
        <f t="shared" ref="AV775:AV838" ca="1" si="139">IF($AT775=0,OFFSET($AL$6,$AS775,$AT775*2+1)*$L$8,IF($AT775=1,OFFSET($AL$6,$AS775,$AT775*2+1)*3^0.5/2,IF($AT775=2,$L$17+(2-OFFSET($AL$6,$AS775,$AT775*2)-OFFSET($AL$6,$AS775,$AT775*2+1))*$L$8,dNULL)))</f>
        <v>-99</v>
      </c>
      <c r="AW775">
        <f ca="1">IF(AND($AT775&lt;3,OFFSET(DATA!$C$14,$AS775,0)=AW$6),$AV775,dNULL)</f>
        <v>-99</v>
      </c>
      <c r="AX775">
        <f ca="1">IF(AND($AT775&lt;3,OFFSET(DATA!$C$14,$AS775,0)=AX$6),$AV775,dNULL)</f>
        <v>-99</v>
      </c>
      <c r="AY775">
        <f ca="1">IF(AND($AT775&lt;3,OFFSET(DATA!$C$14,$AS775,0)=AY$6),$AV775,dNULL)</f>
        <v>-99</v>
      </c>
      <c r="AZ775">
        <f ca="1">IF(AND($AT775&lt;3,OFFSET(DATA!$C$14,$AS775,0)=AZ$6),$AV775,dNULL)</f>
        <v>-99</v>
      </c>
      <c r="BA775">
        <f ca="1">IF(AND($AT775&lt;3,OFFSET(DATA!$C$14,$AS775,0)=BA$6),$AV775,dNULL)</f>
        <v>-99</v>
      </c>
      <c r="BB775">
        <f ca="1">IF(AND($AT775&lt;3,OFFSET(DATA!$C$14,$AS775,0)=BB$6),$AV775,dNULL)</f>
        <v>-99</v>
      </c>
      <c r="BC775">
        <f ca="1">IF(AND($AT775&lt;3,OFFSET(DATA!$C$14,$AS775,0)=BC$6),$AV775,dNULL)</f>
        <v>-99</v>
      </c>
      <c r="BD775">
        <f ca="1">IF(AND($AT775&lt;3,OFFSET(DATA!$C$14,$AS775,0)=BD$6),$AV775,dNULL)</f>
        <v>-99</v>
      </c>
      <c r="BE775">
        <f ca="1">IF(AND($AT775&lt;3,OFFSET(DATA!$C$14,$AS775,0)=BE$6),$AV775,dNULL)</f>
        <v>-99</v>
      </c>
      <c r="BF775">
        <f ca="1">IF(AND($AT775&lt;3,OFFSET(DATA!$C$14,$AS775,0)=BF$6),$AV775,dNULL)</f>
        <v>-99</v>
      </c>
      <c r="BG775">
        <f ca="1">IF(AND($AT775&lt;3,OFFSET(DATA!$C$14,$AS775,0)=BG$6),$AV775,dNULL)</f>
        <v>-99</v>
      </c>
      <c r="BH775">
        <f ca="1">IF(AND($AT775&lt;3,OFFSET(DATA!$C$14,$AS775,0)=BH$6),$AV775,dNULL)</f>
        <v>-99</v>
      </c>
    </row>
    <row r="776" spans="45:60" x14ac:dyDescent="0.25">
      <c r="AS776">
        <f t="shared" si="136"/>
        <v>50</v>
      </c>
      <c r="AT776">
        <f t="shared" si="137"/>
        <v>8</v>
      </c>
      <c r="AU776">
        <f t="shared" ca="1" si="138"/>
        <v>-99</v>
      </c>
      <c r="AV776">
        <f t="shared" ca="1" si="139"/>
        <v>-99</v>
      </c>
      <c r="AW776">
        <f ca="1">IF(AND($AT776&lt;3,OFFSET(DATA!$C$14,$AS776,0)=AW$6),$AV776,dNULL)</f>
        <v>-99</v>
      </c>
      <c r="AX776">
        <f ca="1">IF(AND($AT776&lt;3,OFFSET(DATA!$C$14,$AS776,0)=AX$6),$AV776,dNULL)</f>
        <v>-99</v>
      </c>
      <c r="AY776">
        <f ca="1">IF(AND($AT776&lt;3,OFFSET(DATA!$C$14,$AS776,0)=AY$6),$AV776,dNULL)</f>
        <v>-99</v>
      </c>
      <c r="AZ776">
        <f ca="1">IF(AND($AT776&lt;3,OFFSET(DATA!$C$14,$AS776,0)=AZ$6),$AV776,dNULL)</f>
        <v>-99</v>
      </c>
      <c r="BA776">
        <f ca="1">IF(AND($AT776&lt;3,OFFSET(DATA!$C$14,$AS776,0)=BA$6),$AV776,dNULL)</f>
        <v>-99</v>
      </c>
      <c r="BB776">
        <f ca="1">IF(AND($AT776&lt;3,OFFSET(DATA!$C$14,$AS776,0)=BB$6),$AV776,dNULL)</f>
        <v>-99</v>
      </c>
      <c r="BC776">
        <f ca="1">IF(AND($AT776&lt;3,OFFSET(DATA!$C$14,$AS776,0)=BC$6),$AV776,dNULL)</f>
        <v>-99</v>
      </c>
      <c r="BD776">
        <f ca="1">IF(AND($AT776&lt;3,OFFSET(DATA!$C$14,$AS776,0)=BD$6),$AV776,dNULL)</f>
        <v>-99</v>
      </c>
      <c r="BE776">
        <f ca="1">IF(AND($AT776&lt;3,OFFSET(DATA!$C$14,$AS776,0)=BE$6),$AV776,dNULL)</f>
        <v>-99</v>
      </c>
      <c r="BF776">
        <f ca="1">IF(AND($AT776&lt;3,OFFSET(DATA!$C$14,$AS776,0)=BF$6),$AV776,dNULL)</f>
        <v>-99</v>
      </c>
      <c r="BG776">
        <f ca="1">IF(AND($AT776&lt;3,OFFSET(DATA!$C$14,$AS776,0)=BG$6),$AV776,dNULL)</f>
        <v>-99</v>
      </c>
      <c r="BH776">
        <f ca="1">IF(AND($AT776&lt;3,OFFSET(DATA!$C$14,$AS776,0)=BH$6),$AV776,dNULL)</f>
        <v>-99</v>
      </c>
    </row>
    <row r="777" spans="45:60" x14ac:dyDescent="0.25">
      <c r="AS777">
        <f t="shared" si="136"/>
        <v>51</v>
      </c>
      <c r="AT777">
        <f t="shared" si="137"/>
        <v>8</v>
      </c>
      <c r="AU777">
        <f t="shared" ca="1" si="138"/>
        <v>-99</v>
      </c>
      <c r="AV777">
        <f t="shared" ca="1" si="139"/>
        <v>-99</v>
      </c>
      <c r="AW777">
        <f ca="1">IF(AND($AT777&lt;3,OFFSET(DATA!$C$14,$AS777,0)=AW$6),$AV777,dNULL)</f>
        <v>-99</v>
      </c>
      <c r="AX777">
        <f ca="1">IF(AND($AT777&lt;3,OFFSET(DATA!$C$14,$AS777,0)=AX$6),$AV777,dNULL)</f>
        <v>-99</v>
      </c>
      <c r="AY777">
        <f ca="1">IF(AND($AT777&lt;3,OFFSET(DATA!$C$14,$AS777,0)=AY$6),$AV777,dNULL)</f>
        <v>-99</v>
      </c>
      <c r="AZ777">
        <f ca="1">IF(AND($AT777&lt;3,OFFSET(DATA!$C$14,$AS777,0)=AZ$6),$AV777,dNULL)</f>
        <v>-99</v>
      </c>
      <c r="BA777">
        <f ca="1">IF(AND($AT777&lt;3,OFFSET(DATA!$C$14,$AS777,0)=BA$6),$AV777,dNULL)</f>
        <v>-99</v>
      </c>
      <c r="BB777">
        <f ca="1">IF(AND($AT777&lt;3,OFFSET(DATA!$C$14,$AS777,0)=BB$6),$AV777,dNULL)</f>
        <v>-99</v>
      </c>
      <c r="BC777">
        <f ca="1">IF(AND($AT777&lt;3,OFFSET(DATA!$C$14,$AS777,0)=BC$6),$AV777,dNULL)</f>
        <v>-99</v>
      </c>
      <c r="BD777">
        <f ca="1">IF(AND($AT777&lt;3,OFFSET(DATA!$C$14,$AS777,0)=BD$6),$AV777,dNULL)</f>
        <v>-99</v>
      </c>
      <c r="BE777">
        <f ca="1">IF(AND($AT777&lt;3,OFFSET(DATA!$C$14,$AS777,0)=BE$6),$AV777,dNULL)</f>
        <v>-99</v>
      </c>
      <c r="BF777">
        <f ca="1">IF(AND($AT777&lt;3,OFFSET(DATA!$C$14,$AS777,0)=BF$6),$AV777,dNULL)</f>
        <v>-99</v>
      </c>
      <c r="BG777">
        <f ca="1">IF(AND($AT777&lt;3,OFFSET(DATA!$C$14,$AS777,0)=BG$6),$AV777,dNULL)</f>
        <v>-99</v>
      </c>
      <c r="BH777">
        <f ca="1">IF(AND($AT777&lt;3,OFFSET(DATA!$C$14,$AS777,0)=BH$6),$AV777,dNULL)</f>
        <v>-99</v>
      </c>
    </row>
    <row r="778" spans="45:60" x14ac:dyDescent="0.25">
      <c r="AS778">
        <f t="shared" si="136"/>
        <v>52</v>
      </c>
      <c r="AT778">
        <f t="shared" si="137"/>
        <v>8</v>
      </c>
      <c r="AU778">
        <f t="shared" ca="1" si="138"/>
        <v>-99</v>
      </c>
      <c r="AV778">
        <f t="shared" ca="1" si="139"/>
        <v>-99</v>
      </c>
      <c r="AW778">
        <f ca="1">IF(AND($AT778&lt;3,OFFSET(DATA!$C$14,$AS778,0)=AW$6),$AV778,dNULL)</f>
        <v>-99</v>
      </c>
      <c r="AX778">
        <f ca="1">IF(AND($AT778&lt;3,OFFSET(DATA!$C$14,$AS778,0)=AX$6),$AV778,dNULL)</f>
        <v>-99</v>
      </c>
      <c r="AY778">
        <f ca="1">IF(AND($AT778&lt;3,OFFSET(DATA!$C$14,$AS778,0)=AY$6),$AV778,dNULL)</f>
        <v>-99</v>
      </c>
      <c r="AZ778">
        <f ca="1">IF(AND($AT778&lt;3,OFFSET(DATA!$C$14,$AS778,0)=AZ$6),$AV778,dNULL)</f>
        <v>-99</v>
      </c>
      <c r="BA778">
        <f ca="1">IF(AND($AT778&lt;3,OFFSET(DATA!$C$14,$AS778,0)=BA$6),$AV778,dNULL)</f>
        <v>-99</v>
      </c>
      <c r="BB778">
        <f ca="1">IF(AND($AT778&lt;3,OFFSET(DATA!$C$14,$AS778,0)=BB$6),$AV778,dNULL)</f>
        <v>-99</v>
      </c>
      <c r="BC778">
        <f ca="1">IF(AND($AT778&lt;3,OFFSET(DATA!$C$14,$AS778,0)=BC$6),$AV778,dNULL)</f>
        <v>-99</v>
      </c>
      <c r="BD778">
        <f ca="1">IF(AND($AT778&lt;3,OFFSET(DATA!$C$14,$AS778,0)=BD$6),$AV778,dNULL)</f>
        <v>-99</v>
      </c>
      <c r="BE778">
        <f ca="1">IF(AND($AT778&lt;3,OFFSET(DATA!$C$14,$AS778,0)=BE$6),$AV778,dNULL)</f>
        <v>-99</v>
      </c>
      <c r="BF778">
        <f ca="1">IF(AND($AT778&lt;3,OFFSET(DATA!$C$14,$AS778,0)=BF$6),$AV778,dNULL)</f>
        <v>-99</v>
      </c>
      <c r="BG778">
        <f ca="1">IF(AND($AT778&lt;3,OFFSET(DATA!$C$14,$AS778,0)=BG$6),$AV778,dNULL)</f>
        <v>-99</v>
      </c>
      <c r="BH778">
        <f ca="1">IF(AND($AT778&lt;3,OFFSET(DATA!$C$14,$AS778,0)=BH$6),$AV778,dNULL)</f>
        <v>-99</v>
      </c>
    </row>
    <row r="779" spans="45:60" x14ac:dyDescent="0.25">
      <c r="AS779">
        <f t="shared" si="136"/>
        <v>53</v>
      </c>
      <c r="AT779">
        <f t="shared" si="137"/>
        <v>8</v>
      </c>
      <c r="AU779">
        <f t="shared" ca="1" si="138"/>
        <v>-99</v>
      </c>
      <c r="AV779">
        <f t="shared" ca="1" si="139"/>
        <v>-99</v>
      </c>
      <c r="AW779">
        <f ca="1">IF(AND($AT779&lt;3,OFFSET(DATA!$C$14,$AS779,0)=AW$6),$AV779,dNULL)</f>
        <v>-99</v>
      </c>
      <c r="AX779">
        <f ca="1">IF(AND($AT779&lt;3,OFFSET(DATA!$C$14,$AS779,0)=AX$6),$AV779,dNULL)</f>
        <v>-99</v>
      </c>
      <c r="AY779">
        <f ca="1">IF(AND($AT779&lt;3,OFFSET(DATA!$C$14,$AS779,0)=AY$6),$AV779,dNULL)</f>
        <v>-99</v>
      </c>
      <c r="AZ779">
        <f ca="1">IF(AND($AT779&lt;3,OFFSET(DATA!$C$14,$AS779,0)=AZ$6),$AV779,dNULL)</f>
        <v>-99</v>
      </c>
      <c r="BA779">
        <f ca="1">IF(AND($AT779&lt;3,OFFSET(DATA!$C$14,$AS779,0)=BA$6),$AV779,dNULL)</f>
        <v>-99</v>
      </c>
      <c r="BB779">
        <f ca="1">IF(AND($AT779&lt;3,OFFSET(DATA!$C$14,$AS779,0)=BB$6),$AV779,dNULL)</f>
        <v>-99</v>
      </c>
      <c r="BC779">
        <f ca="1">IF(AND($AT779&lt;3,OFFSET(DATA!$C$14,$AS779,0)=BC$6),$AV779,dNULL)</f>
        <v>-99</v>
      </c>
      <c r="BD779">
        <f ca="1">IF(AND($AT779&lt;3,OFFSET(DATA!$C$14,$AS779,0)=BD$6),$AV779,dNULL)</f>
        <v>-99</v>
      </c>
      <c r="BE779">
        <f ca="1">IF(AND($AT779&lt;3,OFFSET(DATA!$C$14,$AS779,0)=BE$6),$AV779,dNULL)</f>
        <v>-99</v>
      </c>
      <c r="BF779">
        <f ca="1">IF(AND($AT779&lt;3,OFFSET(DATA!$C$14,$AS779,0)=BF$6),$AV779,dNULL)</f>
        <v>-99</v>
      </c>
      <c r="BG779">
        <f ca="1">IF(AND($AT779&lt;3,OFFSET(DATA!$C$14,$AS779,0)=BG$6),$AV779,dNULL)</f>
        <v>-99</v>
      </c>
      <c r="BH779">
        <f ca="1">IF(AND($AT779&lt;3,OFFSET(DATA!$C$14,$AS779,0)=BH$6),$AV779,dNULL)</f>
        <v>-99</v>
      </c>
    </row>
    <row r="780" spans="45:60" x14ac:dyDescent="0.25">
      <c r="AS780">
        <f t="shared" si="136"/>
        <v>54</v>
      </c>
      <c r="AT780">
        <f t="shared" si="137"/>
        <v>8</v>
      </c>
      <c r="AU780">
        <f t="shared" ca="1" si="138"/>
        <v>-99</v>
      </c>
      <c r="AV780">
        <f t="shared" ca="1" si="139"/>
        <v>-99</v>
      </c>
      <c r="AW780">
        <f ca="1">IF(AND($AT780&lt;3,OFFSET(DATA!$C$14,$AS780,0)=AW$6),$AV780,dNULL)</f>
        <v>-99</v>
      </c>
      <c r="AX780">
        <f ca="1">IF(AND($AT780&lt;3,OFFSET(DATA!$C$14,$AS780,0)=AX$6),$AV780,dNULL)</f>
        <v>-99</v>
      </c>
      <c r="AY780">
        <f ca="1">IF(AND($AT780&lt;3,OFFSET(DATA!$C$14,$AS780,0)=AY$6),$AV780,dNULL)</f>
        <v>-99</v>
      </c>
      <c r="AZ780">
        <f ca="1">IF(AND($AT780&lt;3,OFFSET(DATA!$C$14,$AS780,0)=AZ$6),$AV780,dNULL)</f>
        <v>-99</v>
      </c>
      <c r="BA780">
        <f ca="1">IF(AND($AT780&lt;3,OFFSET(DATA!$C$14,$AS780,0)=BA$6),$AV780,dNULL)</f>
        <v>-99</v>
      </c>
      <c r="BB780">
        <f ca="1">IF(AND($AT780&lt;3,OFFSET(DATA!$C$14,$AS780,0)=BB$6),$AV780,dNULL)</f>
        <v>-99</v>
      </c>
      <c r="BC780">
        <f ca="1">IF(AND($AT780&lt;3,OFFSET(DATA!$C$14,$AS780,0)=BC$6),$AV780,dNULL)</f>
        <v>-99</v>
      </c>
      <c r="BD780">
        <f ca="1">IF(AND($AT780&lt;3,OFFSET(DATA!$C$14,$AS780,0)=BD$6),$AV780,dNULL)</f>
        <v>-99</v>
      </c>
      <c r="BE780">
        <f ca="1">IF(AND($AT780&lt;3,OFFSET(DATA!$C$14,$AS780,0)=BE$6),$AV780,dNULL)</f>
        <v>-99</v>
      </c>
      <c r="BF780">
        <f ca="1">IF(AND($AT780&lt;3,OFFSET(DATA!$C$14,$AS780,0)=BF$6),$AV780,dNULL)</f>
        <v>-99</v>
      </c>
      <c r="BG780">
        <f ca="1">IF(AND($AT780&lt;3,OFFSET(DATA!$C$14,$AS780,0)=BG$6),$AV780,dNULL)</f>
        <v>-99</v>
      </c>
      <c r="BH780">
        <f ca="1">IF(AND($AT780&lt;3,OFFSET(DATA!$C$14,$AS780,0)=BH$6),$AV780,dNULL)</f>
        <v>-99</v>
      </c>
    </row>
    <row r="781" spans="45:60" x14ac:dyDescent="0.25">
      <c r="AS781">
        <f t="shared" si="136"/>
        <v>55</v>
      </c>
      <c r="AT781">
        <f t="shared" si="137"/>
        <v>8</v>
      </c>
      <c r="AU781">
        <f t="shared" ca="1" si="138"/>
        <v>-99</v>
      </c>
      <c r="AV781">
        <f t="shared" ca="1" si="139"/>
        <v>-99</v>
      </c>
      <c r="AW781">
        <f ca="1">IF(AND($AT781&lt;3,OFFSET(DATA!$C$14,$AS781,0)=AW$6),$AV781,dNULL)</f>
        <v>-99</v>
      </c>
      <c r="AX781">
        <f ca="1">IF(AND($AT781&lt;3,OFFSET(DATA!$C$14,$AS781,0)=AX$6),$AV781,dNULL)</f>
        <v>-99</v>
      </c>
      <c r="AY781">
        <f ca="1">IF(AND($AT781&lt;3,OFFSET(DATA!$C$14,$AS781,0)=AY$6),$AV781,dNULL)</f>
        <v>-99</v>
      </c>
      <c r="AZ781">
        <f ca="1">IF(AND($AT781&lt;3,OFFSET(DATA!$C$14,$AS781,0)=AZ$6),$AV781,dNULL)</f>
        <v>-99</v>
      </c>
      <c r="BA781">
        <f ca="1">IF(AND($AT781&lt;3,OFFSET(DATA!$C$14,$AS781,0)=BA$6),$AV781,dNULL)</f>
        <v>-99</v>
      </c>
      <c r="BB781">
        <f ca="1">IF(AND($AT781&lt;3,OFFSET(DATA!$C$14,$AS781,0)=BB$6),$AV781,dNULL)</f>
        <v>-99</v>
      </c>
      <c r="BC781">
        <f ca="1">IF(AND($AT781&lt;3,OFFSET(DATA!$C$14,$AS781,0)=BC$6),$AV781,dNULL)</f>
        <v>-99</v>
      </c>
      <c r="BD781">
        <f ca="1">IF(AND($AT781&lt;3,OFFSET(DATA!$C$14,$AS781,0)=BD$6),$AV781,dNULL)</f>
        <v>-99</v>
      </c>
      <c r="BE781">
        <f ca="1">IF(AND($AT781&lt;3,OFFSET(DATA!$C$14,$AS781,0)=BE$6),$AV781,dNULL)</f>
        <v>-99</v>
      </c>
      <c r="BF781">
        <f ca="1">IF(AND($AT781&lt;3,OFFSET(DATA!$C$14,$AS781,0)=BF$6),$AV781,dNULL)</f>
        <v>-99</v>
      </c>
      <c r="BG781">
        <f ca="1">IF(AND($AT781&lt;3,OFFSET(DATA!$C$14,$AS781,0)=BG$6),$AV781,dNULL)</f>
        <v>-99</v>
      </c>
      <c r="BH781">
        <f ca="1">IF(AND($AT781&lt;3,OFFSET(DATA!$C$14,$AS781,0)=BH$6),$AV781,dNULL)</f>
        <v>-99</v>
      </c>
    </row>
    <row r="782" spans="45:60" x14ac:dyDescent="0.25">
      <c r="AS782">
        <f t="shared" si="136"/>
        <v>56</v>
      </c>
      <c r="AT782">
        <f t="shared" si="137"/>
        <v>8</v>
      </c>
      <c r="AU782">
        <f t="shared" ca="1" si="138"/>
        <v>-99</v>
      </c>
      <c r="AV782">
        <f t="shared" ca="1" si="139"/>
        <v>-99</v>
      </c>
      <c r="AW782">
        <f ca="1">IF(AND($AT782&lt;3,OFFSET(DATA!$C$14,$AS782,0)=AW$6),$AV782,dNULL)</f>
        <v>-99</v>
      </c>
      <c r="AX782">
        <f ca="1">IF(AND($AT782&lt;3,OFFSET(DATA!$C$14,$AS782,0)=AX$6),$AV782,dNULL)</f>
        <v>-99</v>
      </c>
      <c r="AY782">
        <f ca="1">IF(AND($AT782&lt;3,OFFSET(DATA!$C$14,$AS782,0)=AY$6),$AV782,dNULL)</f>
        <v>-99</v>
      </c>
      <c r="AZ782">
        <f ca="1">IF(AND($AT782&lt;3,OFFSET(DATA!$C$14,$AS782,0)=AZ$6),$AV782,dNULL)</f>
        <v>-99</v>
      </c>
      <c r="BA782">
        <f ca="1">IF(AND($AT782&lt;3,OFFSET(DATA!$C$14,$AS782,0)=BA$6),$AV782,dNULL)</f>
        <v>-99</v>
      </c>
      <c r="BB782">
        <f ca="1">IF(AND($AT782&lt;3,OFFSET(DATA!$C$14,$AS782,0)=BB$6),$AV782,dNULL)</f>
        <v>-99</v>
      </c>
      <c r="BC782">
        <f ca="1">IF(AND($AT782&lt;3,OFFSET(DATA!$C$14,$AS782,0)=BC$6),$AV782,dNULL)</f>
        <v>-99</v>
      </c>
      <c r="BD782">
        <f ca="1">IF(AND($AT782&lt;3,OFFSET(DATA!$C$14,$AS782,0)=BD$6),$AV782,dNULL)</f>
        <v>-99</v>
      </c>
      <c r="BE782">
        <f ca="1">IF(AND($AT782&lt;3,OFFSET(DATA!$C$14,$AS782,0)=BE$6),$AV782,dNULL)</f>
        <v>-99</v>
      </c>
      <c r="BF782">
        <f ca="1">IF(AND($AT782&lt;3,OFFSET(DATA!$C$14,$AS782,0)=BF$6),$AV782,dNULL)</f>
        <v>-99</v>
      </c>
      <c r="BG782">
        <f ca="1">IF(AND($AT782&lt;3,OFFSET(DATA!$C$14,$AS782,0)=BG$6),$AV782,dNULL)</f>
        <v>-99</v>
      </c>
      <c r="BH782">
        <f ca="1">IF(AND($AT782&lt;3,OFFSET(DATA!$C$14,$AS782,0)=BH$6),$AV782,dNULL)</f>
        <v>-99</v>
      </c>
    </row>
    <row r="783" spans="45:60" x14ac:dyDescent="0.25">
      <c r="AS783">
        <f t="shared" si="136"/>
        <v>57</v>
      </c>
      <c r="AT783">
        <f t="shared" si="137"/>
        <v>8</v>
      </c>
      <c r="AU783">
        <f t="shared" ca="1" si="138"/>
        <v>-99</v>
      </c>
      <c r="AV783">
        <f t="shared" ca="1" si="139"/>
        <v>-99</v>
      </c>
      <c r="AW783">
        <f ca="1">IF(AND($AT783&lt;3,OFFSET(DATA!$C$14,$AS783,0)=AW$6),$AV783,dNULL)</f>
        <v>-99</v>
      </c>
      <c r="AX783">
        <f ca="1">IF(AND($AT783&lt;3,OFFSET(DATA!$C$14,$AS783,0)=AX$6),$AV783,dNULL)</f>
        <v>-99</v>
      </c>
      <c r="AY783">
        <f ca="1">IF(AND($AT783&lt;3,OFFSET(DATA!$C$14,$AS783,0)=AY$6),$AV783,dNULL)</f>
        <v>-99</v>
      </c>
      <c r="AZ783">
        <f ca="1">IF(AND($AT783&lt;3,OFFSET(DATA!$C$14,$AS783,0)=AZ$6),$AV783,dNULL)</f>
        <v>-99</v>
      </c>
      <c r="BA783">
        <f ca="1">IF(AND($AT783&lt;3,OFFSET(DATA!$C$14,$AS783,0)=BA$6),$AV783,dNULL)</f>
        <v>-99</v>
      </c>
      <c r="BB783">
        <f ca="1">IF(AND($AT783&lt;3,OFFSET(DATA!$C$14,$AS783,0)=BB$6),$AV783,dNULL)</f>
        <v>-99</v>
      </c>
      <c r="BC783">
        <f ca="1">IF(AND($AT783&lt;3,OFFSET(DATA!$C$14,$AS783,0)=BC$6),$AV783,dNULL)</f>
        <v>-99</v>
      </c>
      <c r="BD783">
        <f ca="1">IF(AND($AT783&lt;3,OFFSET(DATA!$C$14,$AS783,0)=BD$6),$AV783,dNULL)</f>
        <v>-99</v>
      </c>
      <c r="BE783">
        <f ca="1">IF(AND($AT783&lt;3,OFFSET(DATA!$C$14,$AS783,0)=BE$6),$AV783,dNULL)</f>
        <v>-99</v>
      </c>
      <c r="BF783">
        <f ca="1">IF(AND($AT783&lt;3,OFFSET(DATA!$C$14,$AS783,0)=BF$6),$AV783,dNULL)</f>
        <v>-99</v>
      </c>
      <c r="BG783">
        <f ca="1">IF(AND($AT783&lt;3,OFFSET(DATA!$C$14,$AS783,0)=BG$6),$AV783,dNULL)</f>
        <v>-99</v>
      </c>
      <c r="BH783">
        <f ca="1">IF(AND($AT783&lt;3,OFFSET(DATA!$C$14,$AS783,0)=BH$6),$AV783,dNULL)</f>
        <v>-99</v>
      </c>
    </row>
    <row r="784" spans="45:60" x14ac:dyDescent="0.25">
      <c r="AS784">
        <f t="shared" si="136"/>
        <v>58</v>
      </c>
      <c r="AT784">
        <f t="shared" si="137"/>
        <v>8</v>
      </c>
      <c r="AU784">
        <f t="shared" ca="1" si="138"/>
        <v>-99</v>
      </c>
      <c r="AV784">
        <f t="shared" ca="1" si="139"/>
        <v>-99</v>
      </c>
      <c r="AW784">
        <f ca="1">IF(AND($AT784&lt;3,OFFSET(DATA!$C$14,$AS784,0)=AW$6),$AV784,dNULL)</f>
        <v>-99</v>
      </c>
      <c r="AX784">
        <f ca="1">IF(AND($AT784&lt;3,OFFSET(DATA!$C$14,$AS784,0)=AX$6),$AV784,dNULL)</f>
        <v>-99</v>
      </c>
      <c r="AY784">
        <f ca="1">IF(AND($AT784&lt;3,OFFSET(DATA!$C$14,$AS784,0)=AY$6),$AV784,dNULL)</f>
        <v>-99</v>
      </c>
      <c r="AZ784">
        <f ca="1">IF(AND($AT784&lt;3,OFFSET(DATA!$C$14,$AS784,0)=AZ$6),$AV784,dNULL)</f>
        <v>-99</v>
      </c>
      <c r="BA784">
        <f ca="1">IF(AND($AT784&lt;3,OFFSET(DATA!$C$14,$AS784,0)=BA$6),$AV784,dNULL)</f>
        <v>-99</v>
      </c>
      <c r="BB784">
        <f ca="1">IF(AND($AT784&lt;3,OFFSET(DATA!$C$14,$AS784,0)=BB$6),$AV784,dNULL)</f>
        <v>-99</v>
      </c>
      <c r="BC784">
        <f ca="1">IF(AND($AT784&lt;3,OFFSET(DATA!$C$14,$AS784,0)=BC$6),$AV784,dNULL)</f>
        <v>-99</v>
      </c>
      <c r="BD784">
        <f ca="1">IF(AND($AT784&lt;3,OFFSET(DATA!$C$14,$AS784,0)=BD$6),$AV784,dNULL)</f>
        <v>-99</v>
      </c>
      <c r="BE784">
        <f ca="1">IF(AND($AT784&lt;3,OFFSET(DATA!$C$14,$AS784,0)=BE$6),$AV784,dNULL)</f>
        <v>-99</v>
      </c>
      <c r="BF784">
        <f ca="1">IF(AND($AT784&lt;3,OFFSET(DATA!$C$14,$AS784,0)=BF$6),$AV784,dNULL)</f>
        <v>-99</v>
      </c>
      <c r="BG784">
        <f ca="1">IF(AND($AT784&lt;3,OFFSET(DATA!$C$14,$AS784,0)=BG$6),$AV784,dNULL)</f>
        <v>-99</v>
      </c>
      <c r="BH784">
        <f ca="1">IF(AND($AT784&lt;3,OFFSET(DATA!$C$14,$AS784,0)=BH$6),$AV784,dNULL)</f>
        <v>-99</v>
      </c>
    </row>
    <row r="785" spans="45:60" x14ac:dyDescent="0.25">
      <c r="AS785">
        <f t="shared" si="136"/>
        <v>59</v>
      </c>
      <c r="AT785">
        <f t="shared" si="137"/>
        <v>8</v>
      </c>
      <c r="AU785">
        <f t="shared" ca="1" si="138"/>
        <v>-99</v>
      </c>
      <c r="AV785">
        <f t="shared" ca="1" si="139"/>
        <v>-99</v>
      </c>
      <c r="AW785">
        <f ca="1">IF(AND($AT785&lt;3,OFFSET(DATA!$C$14,$AS785,0)=AW$6),$AV785,dNULL)</f>
        <v>-99</v>
      </c>
      <c r="AX785">
        <f ca="1">IF(AND($AT785&lt;3,OFFSET(DATA!$C$14,$AS785,0)=AX$6),$AV785,dNULL)</f>
        <v>-99</v>
      </c>
      <c r="AY785">
        <f ca="1">IF(AND($AT785&lt;3,OFFSET(DATA!$C$14,$AS785,0)=AY$6),$AV785,dNULL)</f>
        <v>-99</v>
      </c>
      <c r="AZ785">
        <f ca="1">IF(AND($AT785&lt;3,OFFSET(DATA!$C$14,$AS785,0)=AZ$6),$AV785,dNULL)</f>
        <v>-99</v>
      </c>
      <c r="BA785">
        <f ca="1">IF(AND($AT785&lt;3,OFFSET(DATA!$C$14,$AS785,0)=BA$6),$AV785,dNULL)</f>
        <v>-99</v>
      </c>
      <c r="BB785">
        <f ca="1">IF(AND($AT785&lt;3,OFFSET(DATA!$C$14,$AS785,0)=BB$6),$AV785,dNULL)</f>
        <v>-99</v>
      </c>
      <c r="BC785">
        <f ca="1">IF(AND($AT785&lt;3,OFFSET(DATA!$C$14,$AS785,0)=BC$6),$AV785,dNULL)</f>
        <v>-99</v>
      </c>
      <c r="BD785">
        <f ca="1">IF(AND($AT785&lt;3,OFFSET(DATA!$C$14,$AS785,0)=BD$6),$AV785,dNULL)</f>
        <v>-99</v>
      </c>
      <c r="BE785">
        <f ca="1">IF(AND($AT785&lt;3,OFFSET(DATA!$C$14,$AS785,0)=BE$6),$AV785,dNULL)</f>
        <v>-99</v>
      </c>
      <c r="BF785">
        <f ca="1">IF(AND($AT785&lt;3,OFFSET(DATA!$C$14,$AS785,0)=BF$6),$AV785,dNULL)</f>
        <v>-99</v>
      </c>
      <c r="BG785">
        <f ca="1">IF(AND($AT785&lt;3,OFFSET(DATA!$C$14,$AS785,0)=BG$6),$AV785,dNULL)</f>
        <v>-99</v>
      </c>
      <c r="BH785">
        <f ca="1">IF(AND($AT785&lt;3,OFFSET(DATA!$C$14,$AS785,0)=BH$6),$AV785,dNULL)</f>
        <v>-99</v>
      </c>
    </row>
    <row r="786" spans="45:60" x14ac:dyDescent="0.25">
      <c r="AS786">
        <f t="shared" si="136"/>
        <v>60</v>
      </c>
      <c r="AT786">
        <f t="shared" si="137"/>
        <v>8</v>
      </c>
      <c r="AU786">
        <f t="shared" ca="1" si="138"/>
        <v>-99</v>
      </c>
      <c r="AV786">
        <f t="shared" ca="1" si="139"/>
        <v>-99</v>
      </c>
      <c r="AW786">
        <f ca="1">IF(AND($AT786&lt;3,OFFSET(DATA!$C$14,$AS786,0)=AW$6),$AV786,dNULL)</f>
        <v>-99</v>
      </c>
      <c r="AX786">
        <f ca="1">IF(AND($AT786&lt;3,OFFSET(DATA!$C$14,$AS786,0)=AX$6),$AV786,dNULL)</f>
        <v>-99</v>
      </c>
      <c r="AY786">
        <f ca="1">IF(AND($AT786&lt;3,OFFSET(DATA!$C$14,$AS786,0)=AY$6),$AV786,dNULL)</f>
        <v>-99</v>
      </c>
      <c r="AZ786">
        <f ca="1">IF(AND($AT786&lt;3,OFFSET(DATA!$C$14,$AS786,0)=AZ$6),$AV786,dNULL)</f>
        <v>-99</v>
      </c>
      <c r="BA786">
        <f ca="1">IF(AND($AT786&lt;3,OFFSET(DATA!$C$14,$AS786,0)=BA$6),$AV786,dNULL)</f>
        <v>-99</v>
      </c>
      <c r="BB786">
        <f ca="1">IF(AND($AT786&lt;3,OFFSET(DATA!$C$14,$AS786,0)=BB$6),$AV786,dNULL)</f>
        <v>-99</v>
      </c>
      <c r="BC786">
        <f ca="1">IF(AND($AT786&lt;3,OFFSET(DATA!$C$14,$AS786,0)=BC$6),$AV786,dNULL)</f>
        <v>-99</v>
      </c>
      <c r="BD786">
        <f ca="1">IF(AND($AT786&lt;3,OFFSET(DATA!$C$14,$AS786,0)=BD$6),$AV786,dNULL)</f>
        <v>-99</v>
      </c>
      <c r="BE786">
        <f ca="1">IF(AND($AT786&lt;3,OFFSET(DATA!$C$14,$AS786,0)=BE$6),$AV786,dNULL)</f>
        <v>-99</v>
      </c>
      <c r="BF786">
        <f ca="1">IF(AND($AT786&lt;3,OFFSET(DATA!$C$14,$AS786,0)=BF$6),$AV786,dNULL)</f>
        <v>-99</v>
      </c>
      <c r="BG786">
        <f ca="1">IF(AND($AT786&lt;3,OFFSET(DATA!$C$14,$AS786,0)=BG$6),$AV786,dNULL)</f>
        <v>-99</v>
      </c>
      <c r="BH786">
        <f ca="1">IF(AND($AT786&lt;3,OFFSET(DATA!$C$14,$AS786,0)=BH$6),$AV786,dNULL)</f>
        <v>-99</v>
      </c>
    </row>
    <row r="787" spans="45:60" x14ac:dyDescent="0.25">
      <c r="AS787">
        <f t="shared" si="136"/>
        <v>61</v>
      </c>
      <c r="AT787">
        <f t="shared" si="137"/>
        <v>8</v>
      </c>
      <c r="AU787">
        <f t="shared" ca="1" si="138"/>
        <v>-99</v>
      </c>
      <c r="AV787">
        <f t="shared" ca="1" si="139"/>
        <v>-99</v>
      </c>
      <c r="AW787">
        <f ca="1">IF(AND($AT787&lt;3,OFFSET(DATA!$C$14,$AS787,0)=AW$6),$AV787,dNULL)</f>
        <v>-99</v>
      </c>
      <c r="AX787">
        <f ca="1">IF(AND($AT787&lt;3,OFFSET(DATA!$C$14,$AS787,0)=AX$6),$AV787,dNULL)</f>
        <v>-99</v>
      </c>
      <c r="AY787">
        <f ca="1">IF(AND($AT787&lt;3,OFFSET(DATA!$C$14,$AS787,0)=AY$6),$AV787,dNULL)</f>
        <v>-99</v>
      </c>
      <c r="AZ787">
        <f ca="1">IF(AND($AT787&lt;3,OFFSET(DATA!$C$14,$AS787,0)=AZ$6),$AV787,dNULL)</f>
        <v>-99</v>
      </c>
      <c r="BA787">
        <f ca="1">IF(AND($AT787&lt;3,OFFSET(DATA!$C$14,$AS787,0)=BA$6),$AV787,dNULL)</f>
        <v>-99</v>
      </c>
      <c r="BB787">
        <f ca="1">IF(AND($AT787&lt;3,OFFSET(DATA!$C$14,$AS787,0)=BB$6),$AV787,dNULL)</f>
        <v>-99</v>
      </c>
      <c r="BC787">
        <f ca="1">IF(AND($AT787&lt;3,OFFSET(DATA!$C$14,$AS787,0)=BC$6),$AV787,dNULL)</f>
        <v>-99</v>
      </c>
      <c r="BD787">
        <f ca="1">IF(AND($AT787&lt;3,OFFSET(DATA!$C$14,$AS787,0)=BD$6),$AV787,dNULL)</f>
        <v>-99</v>
      </c>
      <c r="BE787">
        <f ca="1">IF(AND($AT787&lt;3,OFFSET(DATA!$C$14,$AS787,0)=BE$6),$AV787,dNULL)</f>
        <v>-99</v>
      </c>
      <c r="BF787">
        <f ca="1">IF(AND($AT787&lt;3,OFFSET(DATA!$C$14,$AS787,0)=BF$6),$AV787,dNULL)</f>
        <v>-99</v>
      </c>
      <c r="BG787">
        <f ca="1">IF(AND($AT787&lt;3,OFFSET(DATA!$C$14,$AS787,0)=BG$6),$AV787,dNULL)</f>
        <v>-99</v>
      </c>
      <c r="BH787">
        <f ca="1">IF(AND($AT787&lt;3,OFFSET(DATA!$C$14,$AS787,0)=BH$6),$AV787,dNULL)</f>
        <v>-99</v>
      </c>
    </row>
    <row r="788" spans="45:60" x14ac:dyDescent="0.25">
      <c r="AS788">
        <f t="shared" si="136"/>
        <v>62</v>
      </c>
      <c r="AT788">
        <f t="shared" si="137"/>
        <v>8</v>
      </c>
      <c r="AU788">
        <f t="shared" ca="1" si="138"/>
        <v>-99</v>
      </c>
      <c r="AV788">
        <f t="shared" ca="1" si="139"/>
        <v>-99</v>
      </c>
      <c r="AW788">
        <f ca="1">IF(AND($AT788&lt;3,OFFSET(DATA!$C$14,$AS788,0)=AW$6),$AV788,dNULL)</f>
        <v>-99</v>
      </c>
      <c r="AX788">
        <f ca="1">IF(AND($AT788&lt;3,OFFSET(DATA!$C$14,$AS788,0)=AX$6),$AV788,dNULL)</f>
        <v>-99</v>
      </c>
      <c r="AY788">
        <f ca="1">IF(AND($AT788&lt;3,OFFSET(DATA!$C$14,$AS788,0)=AY$6),$AV788,dNULL)</f>
        <v>-99</v>
      </c>
      <c r="AZ788">
        <f ca="1">IF(AND($AT788&lt;3,OFFSET(DATA!$C$14,$AS788,0)=AZ$6),$AV788,dNULL)</f>
        <v>-99</v>
      </c>
      <c r="BA788">
        <f ca="1">IF(AND($AT788&lt;3,OFFSET(DATA!$C$14,$AS788,0)=BA$6),$AV788,dNULL)</f>
        <v>-99</v>
      </c>
      <c r="BB788">
        <f ca="1">IF(AND($AT788&lt;3,OFFSET(DATA!$C$14,$AS788,0)=BB$6),$AV788,dNULL)</f>
        <v>-99</v>
      </c>
      <c r="BC788">
        <f ca="1">IF(AND($AT788&lt;3,OFFSET(DATA!$C$14,$AS788,0)=BC$6),$AV788,dNULL)</f>
        <v>-99</v>
      </c>
      <c r="BD788">
        <f ca="1">IF(AND($AT788&lt;3,OFFSET(DATA!$C$14,$AS788,0)=BD$6),$AV788,dNULL)</f>
        <v>-99</v>
      </c>
      <c r="BE788">
        <f ca="1">IF(AND($AT788&lt;3,OFFSET(DATA!$C$14,$AS788,0)=BE$6),$AV788,dNULL)</f>
        <v>-99</v>
      </c>
      <c r="BF788">
        <f ca="1">IF(AND($AT788&lt;3,OFFSET(DATA!$C$14,$AS788,0)=BF$6),$AV788,dNULL)</f>
        <v>-99</v>
      </c>
      <c r="BG788">
        <f ca="1">IF(AND($AT788&lt;3,OFFSET(DATA!$C$14,$AS788,0)=BG$6),$AV788,dNULL)</f>
        <v>-99</v>
      </c>
      <c r="BH788">
        <f ca="1">IF(AND($AT788&lt;3,OFFSET(DATA!$C$14,$AS788,0)=BH$6),$AV788,dNULL)</f>
        <v>-99</v>
      </c>
    </row>
    <row r="789" spans="45:60" x14ac:dyDescent="0.25">
      <c r="AS789">
        <f t="shared" si="136"/>
        <v>63</v>
      </c>
      <c r="AT789">
        <f t="shared" si="137"/>
        <v>8</v>
      </c>
      <c r="AU789">
        <f t="shared" ca="1" si="138"/>
        <v>-99</v>
      </c>
      <c r="AV789">
        <f t="shared" ca="1" si="139"/>
        <v>-99</v>
      </c>
      <c r="AW789">
        <f ca="1">IF(AND($AT789&lt;3,OFFSET(DATA!$C$14,$AS789,0)=AW$6),$AV789,dNULL)</f>
        <v>-99</v>
      </c>
      <c r="AX789">
        <f ca="1">IF(AND($AT789&lt;3,OFFSET(DATA!$C$14,$AS789,0)=AX$6),$AV789,dNULL)</f>
        <v>-99</v>
      </c>
      <c r="AY789">
        <f ca="1">IF(AND($AT789&lt;3,OFFSET(DATA!$C$14,$AS789,0)=AY$6),$AV789,dNULL)</f>
        <v>-99</v>
      </c>
      <c r="AZ789">
        <f ca="1">IF(AND($AT789&lt;3,OFFSET(DATA!$C$14,$AS789,0)=AZ$6),$AV789,dNULL)</f>
        <v>-99</v>
      </c>
      <c r="BA789">
        <f ca="1">IF(AND($AT789&lt;3,OFFSET(DATA!$C$14,$AS789,0)=BA$6),$AV789,dNULL)</f>
        <v>-99</v>
      </c>
      <c r="BB789">
        <f ca="1">IF(AND($AT789&lt;3,OFFSET(DATA!$C$14,$AS789,0)=BB$6),$AV789,dNULL)</f>
        <v>-99</v>
      </c>
      <c r="BC789">
        <f ca="1">IF(AND($AT789&lt;3,OFFSET(DATA!$C$14,$AS789,0)=BC$6),$AV789,dNULL)</f>
        <v>-99</v>
      </c>
      <c r="BD789">
        <f ca="1">IF(AND($AT789&lt;3,OFFSET(DATA!$C$14,$AS789,0)=BD$6),$AV789,dNULL)</f>
        <v>-99</v>
      </c>
      <c r="BE789">
        <f ca="1">IF(AND($AT789&lt;3,OFFSET(DATA!$C$14,$AS789,0)=BE$6),$AV789,dNULL)</f>
        <v>-99</v>
      </c>
      <c r="BF789">
        <f ca="1">IF(AND($AT789&lt;3,OFFSET(DATA!$C$14,$AS789,0)=BF$6),$AV789,dNULL)</f>
        <v>-99</v>
      </c>
      <c r="BG789">
        <f ca="1">IF(AND($AT789&lt;3,OFFSET(DATA!$C$14,$AS789,0)=BG$6),$AV789,dNULL)</f>
        <v>-99</v>
      </c>
      <c r="BH789">
        <f ca="1">IF(AND($AT789&lt;3,OFFSET(DATA!$C$14,$AS789,0)=BH$6),$AV789,dNULL)</f>
        <v>-99</v>
      </c>
    </row>
    <row r="790" spans="45:60" x14ac:dyDescent="0.25">
      <c r="AS790">
        <f t="shared" si="136"/>
        <v>64</v>
      </c>
      <c r="AT790">
        <f t="shared" si="137"/>
        <v>8</v>
      </c>
      <c r="AU790">
        <f t="shared" ca="1" si="138"/>
        <v>-99</v>
      </c>
      <c r="AV790">
        <f t="shared" ca="1" si="139"/>
        <v>-99</v>
      </c>
      <c r="AW790">
        <f ca="1">IF(AND($AT790&lt;3,OFFSET(DATA!$C$14,$AS790,0)=AW$6),$AV790,dNULL)</f>
        <v>-99</v>
      </c>
      <c r="AX790">
        <f ca="1">IF(AND($AT790&lt;3,OFFSET(DATA!$C$14,$AS790,0)=AX$6),$AV790,dNULL)</f>
        <v>-99</v>
      </c>
      <c r="AY790">
        <f ca="1">IF(AND($AT790&lt;3,OFFSET(DATA!$C$14,$AS790,0)=AY$6),$AV790,dNULL)</f>
        <v>-99</v>
      </c>
      <c r="AZ790">
        <f ca="1">IF(AND($AT790&lt;3,OFFSET(DATA!$C$14,$AS790,0)=AZ$6),$AV790,dNULL)</f>
        <v>-99</v>
      </c>
      <c r="BA790">
        <f ca="1">IF(AND($AT790&lt;3,OFFSET(DATA!$C$14,$AS790,0)=BA$6),$AV790,dNULL)</f>
        <v>-99</v>
      </c>
      <c r="BB790">
        <f ca="1">IF(AND($AT790&lt;3,OFFSET(DATA!$C$14,$AS790,0)=BB$6),$AV790,dNULL)</f>
        <v>-99</v>
      </c>
      <c r="BC790">
        <f ca="1">IF(AND($AT790&lt;3,OFFSET(DATA!$C$14,$AS790,0)=BC$6),$AV790,dNULL)</f>
        <v>-99</v>
      </c>
      <c r="BD790">
        <f ca="1">IF(AND($AT790&lt;3,OFFSET(DATA!$C$14,$AS790,0)=BD$6),$AV790,dNULL)</f>
        <v>-99</v>
      </c>
      <c r="BE790">
        <f ca="1">IF(AND($AT790&lt;3,OFFSET(DATA!$C$14,$AS790,0)=BE$6),$AV790,dNULL)</f>
        <v>-99</v>
      </c>
      <c r="BF790">
        <f ca="1">IF(AND($AT790&lt;3,OFFSET(DATA!$C$14,$AS790,0)=BF$6),$AV790,dNULL)</f>
        <v>-99</v>
      </c>
      <c r="BG790">
        <f ca="1">IF(AND($AT790&lt;3,OFFSET(DATA!$C$14,$AS790,0)=BG$6),$AV790,dNULL)</f>
        <v>-99</v>
      </c>
      <c r="BH790">
        <f ca="1">IF(AND($AT790&lt;3,OFFSET(DATA!$C$14,$AS790,0)=BH$6),$AV790,dNULL)</f>
        <v>-99</v>
      </c>
    </row>
    <row r="791" spans="45:60" x14ac:dyDescent="0.25">
      <c r="AS791">
        <f t="shared" si="136"/>
        <v>65</v>
      </c>
      <c r="AT791">
        <f t="shared" si="137"/>
        <v>8</v>
      </c>
      <c r="AU791">
        <f t="shared" ca="1" si="138"/>
        <v>-99</v>
      </c>
      <c r="AV791">
        <f t="shared" ca="1" si="139"/>
        <v>-99</v>
      </c>
      <c r="AW791">
        <f ca="1">IF(AND($AT791&lt;3,OFFSET(DATA!$C$14,$AS791,0)=AW$6),$AV791,dNULL)</f>
        <v>-99</v>
      </c>
      <c r="AX791">
        <f ca="1">IF(AND($AT791&lt;3,OFFSET(DATA!$C$14,$AS791,0)=AX$6),$AV791,dNULL)</f>
        <v>-99</v>
      </c>
      <c r="AY791">
        <f ca="1">IF(AND($AT791&lt;3,OFFSET(DATA!$C$14,$AS791,0)=AY$6),$AV791,dNULL)</f>
        <v>-99</v>
      </c>
      <c r="AZ791">
        <f ca="1">IF(AND($AT791&lt;3,OFFSET(DATA!$C$14,$AS791,0)=AZ$6),$AV791,dNULL)</f>
        <v>-99</v>
      </c>
      <c r="BA791">
        <f ca="1">IF(AND($AT791&lt;3,OFFSET(DATA!$C$14,$AS791,0)=BA$6),$AV791,dNULL)</f>
        <v>-99</v>
      </c>
      <c r="BB791">
        <f ca="1">IF(AND($AT791&lt;3,OFFSET(DATA!$C$14,$AS791,0)=BB$6),$AV791,dNULL)</f>
        <v>-99</v>
      </c>
      <c r="BC791">
        <f ca="1">IF(AND($AT791&lt;3,OFFSET(DATA!$C$14,$AS791,0)=BC$6),$AV791,dNULL)</f>
        <v>-99</v>
      </c>
      <c r="BD791">
        <f ca="1">IF(AND($AT791&lt;3,OFFSET(DATA!$C$14,$AS791,0)=BD$6),$AV791,dNULL)</f>
        <v>-99</v>
      </c>
      <c r="BE791">
        <f ca="1">IF(AND($AT791&lt;3,OFFSET(DATA!$C$14,$AS791,0)=BE$6),$AV791,dNULL)</f>
        <v>-99</v>
      </c>
      <c r="BF791">
        <f ca="1">IF(AND($AT791&lt;3,OFFSET(DATA!$C$14,$AS791,0)=BF$6),$AV791,dNULL)</f>
        <v>-99</v>
      </c>
      <c r="BG791">
        <f ca="1">IF(AND($AT791&lt;3,OFFSET(DATA!$C$14,$AS791,0)=BG$6),$AV791,dNULL)</f>
        <v>-99</v>
      </c>
      <c r="BH791">
        <f ca="1">IF(AND($AT791&lt;3,OFFSET(DATA!$C$14,$AS791,0)=BH$6),$AV791,dNULL)</f>
        <v>-99</v>
      </c>
    </row>
    <row r="792" spans="45:60" x14ac:dyDescent="0.25">
      <c r="AS792">
        <f t="shared" si="136"/>
        <v>66</v>
      </c>
      <c r="AT792">
        <f t="shared" si="137"/>
        <v>8</v>
      </c>
      <c r="AU792">
        <f t="shared" ca="1" si="138"/>
        <v>-99</v>
      </c>
      <c r="AV792">
        <f t="shared" ca="1" si="139"/>
        <v>-99</v>
      </c>
      <c r="AW792">
        <f ca="1">IF(AND($AT792&lt;3,OFFSET(DATA!$C$14,$AS792,0)=AW$6),$AV792,dNULL)</f>
        <v>-99</v>
      </c>
      <c r="AX792">
        <f ca="1">IF(AND($AT792&lt;3,OFFSET(DATA!$C$14,$AS792,0)=AX$6),$AV792,dNULL)</f>
        <v>-99</v>
      </c>
      <c r="AY792">
        <f ca="1">IF(AND($AT792&lt;3,OFFSET(DATA!$C$14,$AS792,0)=AY$6),$AV792,dNULL)</f>
        <v>-99</v>
      </c>
      <c r="AZ792">
        <f ca="1">IF(AND($AT792&lt;3,OFFSET(DATA!$C$14,$AS792,0)=AZ$6),$AV792,dNULL)</f>
        <v>-99</v>
      </c>
      <c r="BA792">
        <f ca="1">IF(AND($AT792&lt;3,OFFSET(DATA!$C$14,$AS792,0)=BA$6),$AV792,dNULL)</f>
        <v>-99</v>
      </c>
      <c r="BB792">
        <f ca="1">IF(AND($AT792&lt;3,OFFSET(DATA!$C$14,$AS792,0)=BB$6),$AV792,dNULL)</f>
        <v>-99</v>
      </c>
      <c r="BC792">
        <f ca="1">IF(AND($AT792&lt;3,OFFSET(DATA!$C$14,$AS792,0)=BC$6),$AV792,dNULL)</f>
        <v>-99</v>
      </c>
      <c r="BD792">
        <f ca="1">IF(AND($AT792&lt;3,OFFSET(DATA!$C$14,$AS792,0)=BD$6),$AV792,dNULL)</f>
        <v>-99</v>
      </c>
      <c r="BE792">
        <f ca="1">IF(AND($AT792&lt;3,OFFSET(DATA!$C$14,$AS792,0)=BE$6),$AV792,dNULL)</f>
        <v>-99</v>
      </c>
      <c r="BF792">
        <f ca="1">IF(AND($AT792&lt;3,OFFSET(DATA!$C$14,$AS792,0)=BF$6),$AV792,dNULL)</f>
        <v>-99</v>
      </c>
      <c r="BG792">
        <f ca="1">IF(AND($AT792&lt;3,OFFSET(DATA!$C$14,$AS792,0)=BG$6),$AV792,dNULL)</f>
        <v>-99</v>
      </c>
      <c r="BH792">
        <f ca="1">IF(AND($AT792&lt;3,OFFSET(DATA!$C$14,$AS792,0)=BH$6),$AV792,dNULL)</f>
        <v>-99</v>
      </c>
    </row>
    <row r="793" spans="45:60" x14ac:dyDescent="0.25">
      <c r="AS793">
        <f t="shared" si="136"/>
        <v>67</v>
      </c>
      <c r="AT793">
        <f t="shared" si="137"/>
        <v>8</v>
      </c>
      <c r="AU793">
        <f t="shared" ca="1" si="138"/>
        <v>-99</v>
      </c>
      <c r="AV793">
        <f t="shared" ca="1" si="139"/>
        <v>-99</v>
      </c>
      <c r="AW793">
        <f ca="1">IF(AND($AT793&lt;3,OFFSET(DATA!$C$14,$AS793,0)=AW$6),$AV793,dNULL)</f>
        <v>-99</v>
      </c>
      <c r="AX793">
        <f ca="1">IF(AND($AT793&lt;3,OFFSET(DATA!$C$14,$AS793,0)=AX$6),$AV793,dNULL)</f>
        <v>-99</v>
      </c>
      <c r="AY793">
        <f ca="1">IF(AND($AT793&lt;3,OFFSET(DATA!$C$14,$AS793,0)=AY$6),$AV793,dNULL)</f>
        <v>-99</v>
      </c>
      <c r="AZ793">
        <f ca="1">IF(AND($AT793&lt;3,OFFSET(DATA!$C$14,$AS793,0)=AZ$6),$AV793,dNULL)</f>
        <v>-99</v>
      </c>
      <c r="BA793">
        <f ca="1">IF(AND($AT793&lt;3,OFFSET(DATA!$C$14,$AS793,0)=BA$6),$AV793,dNULL)</f>
        <v>-99</v>
      </c>
      <c r="BB793">
        <f ca="1">IF(AND($AT793&lt;3,OFFSET(DATA!$C$14,$AS793,0)=BB$6),$AV793,dNULL)</f>
        <v>-99</v>
      </c>
      <c r="BC793">
        <f ca="1">IF(AND($AT793&lt;3,OFFSET(DATA!$C$14,$AS793,0)=BC$6),$AV793,dNULL)</f>
        <v>-99</v>
      </c>
      <c r="BD793">
        <f ca="1">IF(AND($AT793&lt;3,OFFSET(DATA!$C$14,$AS793,0)=BD$6),$AV793,dNULL)</f>
        <v>-99</v>
      </c>
      <c r="BE793">
        <f ca="1">IF(AND($AT793&lt;3,OFFSET(DATA!$C$14,$AS793,0)=BE$6),$AV793,dNULL)</f>
        <v>-99</v>
      </c>
      <c r="BF793">
        <f ca="1">IF(AND($AT793&lt;3,OFFSET(DATA!$C$14,$AS793,0)=BF$6),$AV793,dNULL)</f>
        <v>-99</v>
      </c>
      <c r="BG793">
        <f ca="1">IF(AND($AT793&lt;3,OFFSET(DATA!$C$14,$AS793,0)=BG$6),$AV793,dNULL)</f>
        <v>-99</v>
      </c>
      <c r="BH793">
        <f ca="1">IF(AND($AT793&lt;3,OFFSET(DATA!$C$14,$AS793,0)=BH$6),$AV793,dNULL)</f>
        <v>-99</v>
      </c>
    </row>
    <row r="794" spans="45:60" x14ac:dyDescent="0.25">
      <c r="AS794">
        <f t="shared" si="136"/>
        <v>68</v>
      </c>
      <c r="AT794">
        <f t="shared" si="137"/>
        <v>8</v>
      </c>
      <c r="AU794">
        <f t="shared" ca="1" si="138"/>
        <v>-99</v>
      </c>
      <c r="AV794">
        <f t="shared" ca="1" si="139"/>
        <v>-99</v>
      </c>
      <c r="AW794">
        <f ca="1">IF(AND($AT794&lt;3,OFFSET(DATA!$C$14,$AS794,0)=AW$6),$AV794,dNULL)</f>
        <v>-99</v>
      </c>
      <c r="AX794">
        <f ca="1">IF(AND($AT794&lt;3,OFFSET(DATA!$C$14,$AS794,0)=AX$6),$AV794,dNULL)</f>
        <v>-99</v>
      </c>
      <c r="AY794">
        <f ca="1">IF(AND($AT794&lt;3,OFFSET(DATA!$C$14,$AS794,0)=AY$6),$AV794,dNULL)</f>
        <v>-99</v>
      </c>
      <c r="AZ794">
        <f ca="1">IF(AND($AT794&lt;3,OFFSET(DATA!$C$14,$AS794,0)=AZ$6),$AV794,dNULL)</f>
        <v>-99</v>
      </c>
      <c r="BA794">
        <f ca="1">IF(AND($AT794&lt;3,OFFSET(DATA!$C$14,$AS794,0)=BA$6),$AV794,dNULL)</f>
        <v>-99</v>
      </c>
      <c r="BB794">
        <f ca="1">IF(AND($AT794&lt;3,OFFSET(DATA!$C$14,$AS794,0)=BB$6),$AV794,dNULL)</f>
        <v>-99</v>
      </c>
      <c r="BC794">
        <f ca="1">IF(AND($AT794&lt;3,OFFSET(DATA!$C$14,$AS794,0)=BC$6),$AV794,dNULL)</f>
        <v>-99</v>
      </c>
      <c r="BD794">
        <f ca="1">IF(AND($AT794&lt;3,OFFSET(DATA!$C$14,$AS794,0)=BD$6),$AV794,dNULL)</f>
        <v>-99</v>
      </c>
      <c r="BE794">
        <f ca="1">IF(AND($AT794&lt;3,OFFSET(DATA!$C$14,$AS794,0)=BE$6),$AV794,dNULL)</f>
        <v>-99</v>
      </c>
      <c r="BF794">
        <f ca="1">IF(AND($AT794&lt;3,OFFSET(DATA!$C$14,$AS794,0)=BF$6),$AV794,dNULL)</f>
        <v>-99</v>
      </c>
      <c r="BG794">
        <f ca="1">IF(AND($AT794&lt;3,OFFSET(DATA!$C$14,$AS794,0)=BG$6),$AV794,dNULL)</f>
        <v>-99</v>
      </c>
      <c r="BH794">
        <f ca="1">IF(AND($AT794&lt;3,OFFSET(DATA!$C$14,$AS794,0)=BH$6),$AV794,dNULL)</f>
        <v>-99</v>
      </c>
    </row>
    <row r="795" spans="45:60" x14ac:dyDescent="0.25">
      <c r="AS795">
        <f t="shared" si="136"/>
        <v>69</v>
      </c>
      <c r="AT795">
        <f t="shared" si="137"/>
        <v>8</v>
      </c>
      <c r="AU795">
        <f t="shared" ca="1" si="138"/>
        <v>-99</v>
      </c>
      <c r="AV795">
        <f t="shared" ca="1" si="139"/>
        <v>-99</v>
      </c>
      <c r="AW795">
        <f ca="1">IF(AND($AT795&lt;3,OFFSET(DATA!$C$14,$AS795,0)=AW$6),$AV795,dNULL)</f>
        <v>-99</v>
      </c>
      <c r="AX795">
        <f ca="1">IF(AND($AT795&lt;3,OFFSET(DATA!$C$14,$AS795,0)=AX$6),$AV795,dNULL)</f>
        <v>-99</v>
      </c>
      <c r="AY795">
        <f ca="1">IF(AND($AT795&lt;3,OFFSET(DATA!$C$14,$AS795,0)=AY$6),$AV795,dNULL)</f>
        <v>-99</v>
      </c>
      <c r="AZ795">
        <f ca="1">IF(AND($AT795&lt;3,OFFSET(DATA!$C$14,$AS795,0)=AZ$6),$AV795,dNULL)</f>
        <v>-99</v>
      </c>
      <c r="BA795">
        <f ca="1">IF(AND($AT795&lt;3,OFFSET(DATA!$C$14,$AS795,0)=BA$6),$AV795,dNULL)</f>
        <v>-99</v>
      </c>
      <c r="BB795">
        <f ca="1">IF(AND($AT795&lt;3,OFFSET(DATA!$C$14,$AS795,0)=BB$6),$AV795,dNULL)</f>
        <v>-99</v>
      </c>
      <c r="BC795">
        <f ca="1">IF(AND($AT795&lt;3,OFFSET(DATA!$C$14,$AS795,0)=BC$6),$AV795,dNULL)</f>
        <v>-99</v>
      </c>
      <c r="BD795">
        <f ca="1">IF(AND($AT795&lt;3,OFFSET(DATA!$C$14,$AS795,0)=BD$6),$AV795,dNULL)</f>
        <v>-99</v>
      </c>
      <c r="BE795">
        <f ca="1">IF(AND($AT795&lt;3,OFFSET(DATA!$C$14,$AS795,0)=BE$6),$AV795,dNULL)</f>
        <v>-99</v>
      </c>
      <c r="BF795">
        <f ca="1">IF(AND($AT795&lt;3,OFFSET(DATA!$C$14,$AS795,0)=BF$6),$AV795,dNULL)</f>
        <v>-99</v>
      </c>
      <c r="BG795">
        <f ca="1">IF(AND($AT795&lt;3,OFFSET(DATA!$C$14,$AS795,0)=BG$6),$AV795,dNULL)</f>
        <v>-99</v>
      </c>
      <c r="BH795">
        <f ca="1">IF(AND($AT795&lt;3,OFFSET(DATA!$C$14,$AS795,0)=BH$6),$AV795,dNULL)</f>
        <v>-99</v>
      </c>
    </row>
    <row r="796" spans="45:60" x14ac:dyDescent="0.25">
      <c r="AS796">
        <f t="shared" si="136"/>
        <v>70</v>
      </c>
      <c r="AT796">
        <f t="shared" si="137"/>
        <v>8</v>
      </c>
      <c r="AU796">
        <f t="shared" ca="1" si="138"/>
        <v>-99</v>
      </c>
      <c r="AV796">
        <f t="shared" ca="1" si="139"/>
        <v>-99</v>
      </c>
      <c r="AW796">
        <f ca="1">IF(AND($AT796&lt;3,OFFSET(DATA!$C$14,$AS796,0)=AW$6),$AV796,dNULL)</f>
        <v>-99</v>
      </c>
      <c r="AX796">
        <f ca="1">IF(AND($AT796&lt;3,OFFSET(DATA!$C$14,$AS796,0)=AX$6),$AV796,dNULL)</f>
        <v>-99</v>
      </c>
      <c r="AY796">
        <f ca="1">IF(AND($AT796&lt;3,OFFSET(DATA!$C$14,$AS796,0)=AY$6),$AV796,dNULL)</f>
        <v>-99</v>
      </c>
      <c r="AZ796">
        <f ca="1">IF(AND($AT796&lt;3,OFFSET(DATA!$C$14,$AS796,0)=AZ$6),$AV796,dNULL)</f>
        <v>-99</v>
      </c>
      <c r="BA796">
        <f ca="1">IF(AND($AT796&lt;3,OFFSET(DATA!$C$14,$AS796,0)=BA$6),$AV796,dNULL)</f>
        <v>-99</v>
      </c>
      <c r="BB796">
        <f ca="1">IF(AND($AT796&lt;3,OFFSET(DATA!$C$14,$AS796,0)=BB$6),$AV796,dNULL)</f>
        <v>-99</v>
      </c>
      <c r="BC796">
        <f ca="1">IF(AND($AT796&lt;3,OFFSET(DATA!$C$14,$AS796,0)=BC$6),$AV796,dNULL)</f>
        <v>-99</v>
      </c>
      <c r="BD796">
        <f ca="1">IF(AND($AT796&lt;3,OFFSET(DATA!$C$14,$AS796,0)=BD$6),$AV796,dNULL)</f>
        <v>-99</v>
      </c>
      <c r="BE796">
        <f ca="1">IF(AND($AT796&lt;3,OFFSET(DATA!$C$14,$AS796,0)=BE$6),$AV796,dNULL)</f>
        <v>-99</v>
      </c>
      <c r="BF796">
        <f ca="1">IF(AND($AT796&lt;3,OFFSET(DATA!$C$14,$AS796,0)=BF$6),$AV796,dNULL)</f>
        <v>-99</v>
      </c>
      <c r="BG796">
        <f ca="1">IF(AND($AT796&lt;3,OFFSET(DATA!$C$14,$AS796,0)=BG$6),$AV796,dNULL)</f>
        <v>-99</v>
      </c>
      <c r="BH796">
        <f ca="1">IF(AND($AT796&lt;3,OFFSET(DATA!$C$14,$AS796,0)=BH$6),$AV796,dNULL)</f>
        <v>-99</v>
      </c>
    </row>
    <row r="797" spans="45:60" x14ac:dyDescent="0.25">
      <c r="AS797">
        <f t="shared" si="136"/>
        <v>71</v>
      </c>
      <c r="AT797">
        <f t="shared" si="137"/>
        <v>8</v>
      </c>
      <c r="AU797">
        <f t="shared" ca="1" si="138"/>
        <v>-99</v>
      </c>
      <c r="AV797">
        <f t="shared" ca="1" si="139"/>
        <v>-99</v>
      </c>
      <c r="AW797">
        <f ca="1">IF(AND($AT797&lt;3,OFFSET(DATA!$C$14,$AS797,0)=AW$6),$AV797,dNULL)</f>
        <v>-99</v>
      </c>
      <c r="AX797">
        <f ca="1">IF(AND($AT797&lt;3,OFFSET(DATA!$C$14,$AS797,0)=AX$6),$AV797,dNULL)</f>
        <v>-99</v>
      </c>
      <c r="AY797">
        <f ca="1">IF(AND($AT797&lt;3,OFFSET(DATA!$C$14,$AS797,0)=AY$6),$AV797,dNULL)</f>
        <v>-99</v>
      </c>
      <c r="AZ797">
        <f ca="1">IF(AND($AT797&lt;3,OFFSET(DATA!$C$14,$AS797,0)=AZ$6),$AV797,dNULL)</f>
        <v>-99</v>
      </c>
      <c r="BA797">
        <f ca="1">IF(AND($AT797&lt;3,OFFSET(DATA!$C$14,$AS797,0)=BA$6),$AV797,dNULL)</f>
        <v>-99</v>
      </c>
      <c r="BB797">
        <f ca="1">IF(AND($AT797&lt;3,OFFSET(DATA!$C$14,$AS797,0)=BB$6),$AV797,dNULL)</f>
        <v>-99</v>
      </c>
      <c r="BC797">
        <f ca="1">IF(AND($AT797&lt;3,OFFSET(DATA!$C$14,$AS797,0)=BC$6),$AV797,dNULL)</f>
        <v>-99</v>
      </c>
      <c r="BD797">
        <f ca="1">IF(AND($AT797&lt;3,OFFSET(DATA!$C$14,$AS797,0)=BD$6),$AV797,dNULL)</f>
        <v>-99</v>
      </c>
      <c r="BE797">
        <f ca="1">IF(AND($AT797&lt;3,OFFSET(DATA!$C$14,$AS797,0)=BE$6),$AV797,dNULL)</f>
        <v>-99</v>
      </c>
      <c r="BF797">
        <f ca="1">IF(AND($AT797&lt;3,OFFSET(DATA!$C$14,$AS797,0)=BF$6),$AV797,dNULL)</f>
        <v>-99</v>
      </c>
      <c r="BG797">
        <f ca="1">IF(AND($AT797&lt;3,OFFSET(DATA!$C$14,$AS797,0)=BG$6),$AV797,dNULL)</f>
        <v>-99</v>
      </c>
      <c r="BH797">
        <f ca="1">IF(AND($AT797&lt;3,OFFSET(DATA!$C$14,$AS797,0)=BH$6),$AV797,dNULL)</f>
        <v>-99</v>
      </c>
    </row>
    <row r="798" spans="45:60" x14ac:dyDescent="0.25">
      <c r="AS798">
        <f t="shared" si="136"/>
        <v>72</v>
      </c>
      <c r="AT798">
        <f t="shared" si="137"/>
        <v>8</v>
      </c>
      <c r="AU798">
        <f t="shared" ca="1" si="138"/>
        <v>-99</v>
      </c>
      <c r="AV798">
        <f t="shared" ca="1" si="139"/>
        <v>-99</v>
      </c>
      <c r="AW798">
        <f ca="1">IF(AND($AT798&lt;3,OFFSET(DATA!$C$14,$AS798,0)=AW$6),$AV798,dNULL)</f>
        <v>-99</v>
      </c>
      <c r="AX798">
        <f ca="1">IF(AND($AT798&lt;3,OFFSET(DATA!$C$14,$AS798,0)=AX$6),$AV798,dNULL)</f>
        <v>-99</v>
      </c>
      <c r="AY798">
        <f ca="1">IF(AND($AT798&lt;3,OFFSET(DATA!$C$14,$AS798,0)=AY$6),$AV798,dNULL)</f>
        <v>-99</v>
      </c>
      <c r="AZ798">
        <f ca="1">IF(AND($AT798&lt;3,OFFSET(DATA!$C$14,$AS798,0)=AZ$6),$AV798,dNULL)</f>
        <v>-99</v>
      </c>
      <c r="BA798">
        <f ca="1">IF(AND($AT798&lt;3,OFFSET(DATA!$C$14,$AS798,0)=BA$6),$AV798,dNULL)</f>
        <v>-99</v>
      </c>
      <c r="BB798">
        <f ca="1">IF(AND($AT798&lt;3,OFFSET(DATA!$C$14,$AS798,0)=BB$6),$AV798,dNULL)</f>
        <v>-99</v>
      </c>
      <c r="BC798">
        <f ca="1">IF(AND($AT798&lt;3,OFFSET(DATA!$C$14,$AS798,0)=BC$6),$AV798,dNULL)</f>
        <v>-99</v>
      </c>
      <c r="BD798">
        <f ca="1">IF(AND($AT798&lt;3,OFFSET(DATA!$C$14,$AS798,0)=BD$6),$AV798,dNULL)</f>
        <v>-99</v>
      </c>
      <c r="BE798">
        <f ca="1">IF(AND($AT798&lt;3,OFFSET(DATA!$C$14,$AS798,0)=BE$6),$AV798,dNULL)</f>
        <v>-99</v>
      </c>
      <c r="BF798">
        <f ca="1">IF(AND($AT798&lt;3,OFFSET(DATA!$C$14,$AS798,0)=BF$6),$AV798,dNULL)</f>
        <v>-99</v>
      </c>
      <c r="BG798">
        <f ca="1">IF(AND($AT798&lt;3,OFFSET(DATA!$C$14,$AS798,0)=BG$6),$AV798,dNULL)</f>
        <v>-99</v>
      </c>
      <c r="BH798">
        <f ca="1">IF(AND($AT798&lt;3,OFFSET(DATA!$C$14,$AS798,0)=BH$6),$AV798,dNULL)</f>
        <v>-99</v>
      </c>
    </row>
    <row r="799" spans="45:60" x14ac:dyDescent="0.25">
      <c r="AS799">
        <f t="shared" si="136"/>
        <v>73</v>
      </c>
      <c r="AT799">
        <f t="shared" si="137"/>
        <v>8</v>
      </c>
      <c r="AU799">
        <f t="shared" ca="1" si="138"/>
        <v>-99</v>
      </c>
      <c r="AV799">
        <f t="shared" ca="1" si="139"/>
        <v>-99</v>
      </c>
      <c r="AW799">
        <f ca="1">IF(AND($AT799&lt;3,OFFSET(DATA!$C$14,$AS799,0)=AW$6),$AV799,dNULL)</f>
        <v>-99</v>
      </c>
      <c r="AX799">
        <f ca="1">IF(AND($AT799&lt;3,OFFSET(DATA!$C$14,$AS799,0)=AX$6),$AV799,dNULL)</f>
        <v>-99</v>
      </c>
      <c r="AY799">
        <f ca="1">IF(AND($AT799&lt;3,OFFSET(DATA!$C$14,$AS799,0)=AY$6),$AV799,dNULL)</f>
        <v>-99</v>
      </c>
      <c r="AZ799">
        <f ca="1">IF(AND($AT799&lt;3,OFFSET(DATA!$C$14,$AS799,0)=AZ$6),$AV799,dNULL)</f>
        <v>-99</v>
      </c>
      <c r="BA799">
        <f ca="1">IF(AND($AT799&lt;3,OFFSET(DATA!$C$14,$AS799,0)=BA$6),$AV799,dNULL)</f>
        <v>-99</v>
      </c>
      <c r="BB799">
        <f ca="1">IF(AND($AT799&lt;3,OFFSET(DATA!$C$14,$AS799,0)=BB$6),$AV799,dNULL)</f>
        <v>-99</v>
      </c>
      <c r="BC799">
        <f ca="1">IF(AND($AT799&lt;3,OFFSET(DATA!$C$14,$AS799,0)=BC$6),$AV799,dNULL)</f>
        <v>-99</v>
      </c>
      <c r="BD799">
        <f ca="1">IF(AND($AT799&lt;3,OFFSET(DATA!$C$14,$AS799,0)=BD$6),$AV799,dNULL)</f>
        <v>-99</v>
      </c>
      <c r="BE799">
        <f ca="1">IF(AND($AT799&lt;3,OFFSET(DATA!$C$14,$AS799,0)=BE$6),$AV799,dNULL)</f>
        <v>-99</v>
      </c>
      <c r="BF799">
        <f ca="1">IF(AND($AT799&lt;3,OFFSET(DATA!$C$14,$AS799,0)=BF$6),$AV799,dNULL)</f>
        <v>-99</v>
      </c>
      <c r="BG799">
        <f ca="1">IF(AND($AT799&lt;3,OFFSET(DATA!$C$14,$AS799,0)=BG$6),$AV799,dNULL)</f>
        <v>-99</v>
      </c>
      <c r="BH799">
        <f ca="1">IF(AND($AT799&lt;3,OFFSET(DATA!$C$14,$AS799,0)=BH$6),$AV799,dNULL)</f>
        <v>-99</v>
      </c>
    </row>
    <row r="800" spans="45:60" x14ac:dyDescent="0.25">
      <c r="AS800">
        <f t="shared" si="136"/>
        <v>74</v>
      </c>
      <c r="AT800">
        <f t="shared" si="137"/>
        <v>8</v>
      </c>
      <c r="AU800">
        <f t="shared" ca="1" si="138"/>
        <v>-99</v>
      </c>
      <c r="AV800">
        <f t="shared" ca="1" si="139"/>
        <v>-99</v>
      </c>
      <c r="AW800">
        <f ca="1">IF(AND($AT800&lt;3,OFFSET(DATA!$C$14,$AS800,0)=AW$6),$AV800,dNULL)</f>
        <v>-99</v>
      </c>
      <c r="AX800">
        <f ca="1">IF(AND($AT800&lt;3,OFFSET(DATA!$C$14,$AS800,0)=AX$6),$AV800,dNULL)</f>
        <v>-99</v>
      </c>
      <c r="AY800">
        <f ca="1">IF(AND($AT800&lt;3,OFFSET(DATA!$C$14,$AS800,0)=AY$6),$AV800,dNULL)</f>
        <v>-99</v>
      </c>
      <c r="AZ800">
        <f ca="1">IF(AND($AT800&lt;3,OFFSET(DATA!$C$14,$AS800,0)=AZ$6),$AV800,dNULL)</f>
        <v>-99</v>
      </c>
      <c r="BA800">
        <f ca="1">IF(AND($AT800&lt;3,OFFSET(DATA!$C$14,$AS800,0)=BA$6),$AV800,dNULL)</f>
        <v>-99</v>
      </c>
      <c r="BB800">
        <f ca="1">IF(AND($AT800&lt;3,OFFSET(DATA!$C$14,$AS800,0)=BB$6),$AV800,dNULL)</f>
        <v>-99</v>
      </c>
      <c r="BC800">
        <f ca="1">IF(AND($AT800&lt;3,OFFSET(DATA!$C$14,$AS800,0)=BC$6),$AV800,dNULL)</f>
        <v>-99</v>
      </c>
      <c r="BD800">
        <f ca="1">IF(AND($AT800&lt;3,OFFSET(DATA!$C$14,$AS800,0)=BD$6),$AV800,dNULL)</f>
        <v>-99</v>
      </c>
      <c r="BE800">
        <f ca="1">IF(AND($AT800&lt;3,OFFSET(DATA!$C$14,$AS800,0)=BE$6),$AV800,dNULL)</f>
        <v>-99</v>
      </c>
      <c r="BF800">
        <f ca="1">IF(AND($AT800&lt;3,OFFSET(DATA!$C$14,$AS800,0)=BF$6),$AV800,dNULL)</f>
        <v>-99</v>
      </c>
      <c r="BG800">
        <f ca="1">IF(AND($AT800&lt;3,OFFSET(DATA!$C$14,$AS800,0)=BG$6),$AV800,dNULL)</f>
        <v>-99</v>
      </c>
      <c r="BH800">
        <f ca="1">IF(AND($AT800&lt;3,OFFSET(DATA!$C$14,$AS800,0)=BH$6),$AV800,dNULL)</f>
        <v>-99</v>
      </c>
    </row>
    <row r="801" spans="45:60" x14ac:dyDescent="0.25">
      <c r="AS801">
        <f t="shared" si="136"/>
        <v>75</v>
      </c>
      <c r="AT801">
        <f t="shared" si="137"/>
        <v>8</v>
      </c>
      <c r="AU801">
        <f t="shared" ca="1" si="138"/>
        <v>-99</v>
      </c>
      <c r="AV801">
        <f t="shared" ca="1" si="139"/>
        <v>-99</v>
      </c>
      <c r="AW801">
        <f ca="1">IF(AND($AT801&lt;3,OFFSET(DATA!$C$14,$AS801,0)=AW$6),$AV801,dNULL)</f>
        <v>-99</v>
      </c>
      <c r="AX801">
        <f ca="1">IF(AND($AT801&lt;3,OFFSET(DATA!$C$14,$AS801,0)=AX$6),$AV801,dNULL)</f>
        <v>-99</v>
      </c>
      <c r="AY801">
        <f ca="1">IF(AND($AT801&lt;3,OFFSET(DATA!$C$14,$AS801,0)=AY$6),$AV801,dNULL)</f>
        <v>-99</v>
      </c>
      <c r="AZ801">
        <f ca="1">IF(AND($AT801&lt;3,OFFSET(DATA!$C$14,$AS801,0)=AZ$6),$AV801,dNULL)</f>
        <v>-99</v>
      </c>
      <c r="BA801">
        <f ca="1">IF(AND($AT801&lt;3,OFFSET(DATA!$C$14,$AS801,0)=BA$6),$AV801,dNULL)</f>
        <v>-99</v>
      </c>
      <c r="BB801">
        <f ca="1">IF(AND($AT801&lt;3,OFFSET(DATA!$C$14,$AS801,0)=BB$6),$AV801,dNULL)</f>
        <v>-99</v>
      </c>
      <c r="BC801">
        <f ca="1">IF(AND($AT801&lt;3,OFFSET(DATA!$C$14,$AS801,0)=BC$6),$AV801,dNULL)</f>
        <v>-99</v>
      </c>
      <c r="BD801">
        <f ca="1">IF(AND($AT801&lt;3,OFFSET(DATA!$C$14,$AS801,0)=BD$6),$AV801,dNULL)</f>
        <v>-99</v>
      </c>
      <c r="BE801">
        <f ca="1">IF(AND($AT801&lt;3,OFFSET(DATA!$C$14,$AS801,0)=BE$6),$AV801,dNULL)</f>
        <v>-99</v>
      </c>
      <c r="BF801">
        <f ca="1">IF(AND($AT801&lt;3,OFFSET(DATA!$C$14,$AS801,0)=BF$6),$AV801,dNULL)</f>
        <v>-99</v>
      </c>
      <c r="BG801">
        <f ca="1">IF(AND($AT801&lt;3,OFFSET(DATA!$C$14,$AS801,0)=BG$6),$AV801,dNULL)</f>
        <v>-99</v>
      </c>
      <c r="BH801">
        <f ca="1">IF(AND($AT801&lt;3,OFFSET(DATA!$C$14,$AS801,0)=BH$6),$AV801,dNULL)</f>
        <v>-99</v>
      </c>
    </row>
    <row r="802" spans="45:60" x14ac:dyDescent="0.25">
      <c r="AS802">
        <f t="shared" si="136"/>
        <v>76</v>
      </c>
      <c r="AT802">
        <f t="shared" si="137"/>
        <v>8</v>
      </c>
      <c r="AU802">
        <f t="shared" ca="1" si="138"/>
        <v>-99</v>
      </c>
      <c r="AV802">
        <f t="shared" ca="1" si="139"/>
        <v>-99</v>
      </c>
      <c r="AW802">
        <f ca="1">IF(AND($AT802&lt;3,OFFSET(DATA!$C$14,$AS802,0)=AW$6),$AV802,dNULL)</f>
        <v>-99</v>
      </c>
      <c r="AX802">
        <f ca="1">IF(AND($AT802&lt;3,OFFSET(DATA!$C$14,$AS802,0)=AX$6),$AV802,dNULL)</f>
        <v>-99</v>
      </c>
      <c r="AY802">
        <f ca="1">IF(AND($AT802&lt;3,OFFSET(DATA!$C$14,$AS802,0)=AY$6),$AV802,dNULL)</f>
        <v>-99</v>
      </c>
      <c r="AZ802">
        <f ca="1">IF(AND($AT802&lt;3,OFFSET(DATA!$C$14,$AS802,0)=AZ$6),$AV802,dNULL)</f>
        <v>-99</v>
      </c>
      <c r="BA802">
        <f ca="1">IF(AND($AT802&lt;3,OFFSET(DATA!$C$14,$AS802,0)=BA$6),$AV802,dNULL)</f>
        <v>-99</v>
      </c>
      <c r="BB802">
        <f ca="1">IF(AND($AT802&lt;3,OFFSET(DATA!$C$14,$AS802,0)=BB$6),$AV802,dNULL)</f>
        <v>-99</v>
      </c>
      <c r="BC802">
        <f ca="1">IF(AND($AT802&lt;3,OFFSET(DATA!$C$14,$AS802,0)=BC$6),$AV802,dNULL)</f>
        <v>-99</v>
      </c>
      <c r="BD802">
        <f ca="1">IF(AND($AT802&lt;3,OFFSET(DATA!$C$14,$AS802,0)=BD$6),$AV802,dNULL)</f>
        <v>-99</v>
      </c>
      <c r="BE802">
        <f ca="1">IF(AND($AT802&lt;3,OFFSET(DATA!$C$14,$AS802,0)=BE$6),$AV802,dNULL)</f>
        <v>-99</v>
      </c>
      <c r="BF802">
        <f ca="1">IF(AND($AT802&lt;3,OFFSET(DATA!$C$14,$AS802,0)=BF$6),$AV802,dNULL)</f>
        <v>-99</v>
      </c>
      <c r="BG802">
        <f ca="1">IF(AND($AT802&lt;3,OFFSET(DATA!$C$14,$AS802,0)=BG$6),$AV802,dNULL)</f>
        <v>-99</v>
      </c>
      <c r="BH802">
        <f ca="1">IF(AND($AT802&lt;3,OFFSET(DATA!$C$14,$AS802,0)=BH$6),$AV802,dNULL)</f>
        <v>-99</v>
      </c>
    </row>
    <row r="803" spans="45:60" x14ac:dyDescent="0.25">
      <c r="AS803">
        <f t="shared" si="136"/>
        <v>77</v>
      </c>
      <c r="AT803">
        <f t="shared" si="137"/>
        <v>8</v>
      </c>
      <c r="AU803">
        <f t="shared" ca="1" si="138"/>
        <v>-99</v>
      </c>
      <c r="AV803">
        <f t="shared" ca="1" si="139"/>
        <v>-99</v>
      </c>
      <c r="AW803">
        <f ca="1">IF(AND($AT803&lt;3,OFFSET(DATA!$C$14,$AS803,0)=AW$6),$AV803,dNULL)</f>
        <v>-99</v>
      </c>
      <c r="AX803">
        <f ca="1">IF(AND($AT803&lt;3,OFFSET(DATA!$C$14,$AS803,0)=AX$6),$AV803,dNULL)</f>
        <v>-99</v>
      </c>
      <c r="AY803">
        <f ca="1">IF(AND($AT803&lt;3,OFFSET(DATA!$C$14,$AS803,0)=AY$6),$AV803,dNULL)</f>
        <v>-99</v>
      </c>
      <c r="AZ803">
        <f ca="1">IF(AND($AT803&lt;3,OFFSET(DATA!$C$14,$AS803,0)=AZ$6),$AV803,dNULL)</f>
        <v>-99</v>
      </c>
      <c r="BA803">
        <f ca="1">IF(AND($AT803&lt;3,OFFSET(DATA!$C$14,$AS803,0)=BA$6),$AV803,dNULL)</f>
        <v>-99</v>
      </c>
      <c r="BB803">
        <f ca="1">IF(AND($AT803&lt;3,OFFSET(DATA!$C$14,$AS803,0)=BB$6),$AV803,dNULL)</f>
        <v>-99</v>
      </c>
      <c r="BC803">
        <f ca="1">IF(AND($AT803&lt;3,OFFSET(DATA!$C$14,$AS803,0)=BC$6),$AV803,dNULL)</f>
        <v>-99</v>
      </c>
      <c r="BD803">
        <f ca="1">IF(AND($AT803&lt;3,OFFSET(DATA!$C$14,$AS803,0)=BD$6),$AV803,dNULL)</f>
        <v>-99</v>
      </c>
      <c r="BE803">
        <f ca="1">IF(AND($AT803&lt;3,OFFSET(DATA!$C$14,$AS803,0)=BE$6),$AV803,dNULL)</f>
        <v>-99</v>
      </c>
      <c r="BF803">
        <f ca="1">IF(AND($AT803&lt;3,OFFSET(DATA!$C$14,$AS803,0)=BF$6),$AV803,dNULL)</f>
        <v>-99</v>
      </c>
      <c r="BG803">
        <f ca="1">IF(AND($AT803&lt;3,OFFSET(DATA!$C$14,$AS803,0)=BG$6),$AV803,dNULL)</f>
        <v>-99</v>
      </c>
      <c r="BH803">
        <f ca="1">IF(AND($AT803&lt;3,OFFSET(DATA!$C$14,$AS803,0)=BH$6),$AV803,dNULL)</f>
        <v>-99</v>
      </c>
    </row>
    <row r="804" spans="45:60" x14ac:dyDescent="0.25">
      <c r="AS804">
        <f t="shared" si="136"/>
        <v>78</v>
      </c>
      <c r="AT804">
        <f t="shared" si="137"/>
        <v>8</v>
      </c>
      <c r="AU804">
        <f t="shared" ca="1" si="138"/>
        <v>-99</v>
      </c>
      <c r="AV804">
        <f t="shared" ca="1" si="139"/>
        <v>-99</v>
      </c>
      <c r="AW804">
        <f ca="1">IF(AND($AT804&lt;3,OFFSET(DATA!$C$14,$AS804,0)=AW$6),$AV804,dNULL)</f>
        <v>-99</v>
      </c>
      <c r="AX804">
        <f ca="1">IF(AND($AT804&lt;3,OFFSET(DATA!$C$14,$AS804,0)=AX$6),$AV804,dNULL)</f>
        <v>-99</v>
      </c>
      <c r="AY804">
        <f ca="1">IF(AND($AT804&lt;3,OFFSET(DATA!$C$14,$AS804,0)=AY$6),$AV804,dNULL)</f>
        <v>-99</v>
      </c>
      <c r="AZ804">
        <f ca="1">IF(AND($AT804&lt;3,OFFSET(DATA!$C$14,$AS804,0)=AZ$6),$AV804,dNULL)</f>
        <v>-99</v>
      </c>
      <c r="BA804">
        <f ca="1">IF(AND($AT804&lt;3,OFFSET(DATA!$C$14,$AS804,0)=BA$6),$AV804,dNULL)</f>
        <v>-99</v>
      </c>
      <c r="BB804">
        <f ca="1">IF(AND($AT804&lt;3,OFFSET(DATA!$C$14,$AS804,0)=BB$6),$AV804,dNULL)</f>
        <v>-99</v>
      </c>
      <c r="BC804">
        <f ca="1">IF(AND($AT804&lt;3,OFFSET(DATA!$C$14,$AS804,0)=BC$6),$AV804,dNULL)</f>
        <v>-99</v>
      </c>
      <c r="BD804">
        <f ca="1">IF(AND($AT804&lt;3,OFFSET(DATA!$C$14,$AS804,0)=BD$6),$AV804,dNULL)</f>
        <v>-99</v>
      </c>
      <c r="BE804">
        <f ca="1">IF(AND($AT804&lt;3,OFFSET(DATA!$C$14,$AS804,0)=BE$6),$AV804,dNULL)</f>
        <v>-99</v>
      </c>
      <c r="BF804">
        <f ca="1">IF(AND($AT804&lt;3,OFFSET(DATA!$C$14,$AS804,0)=BF$6),$AV804,dNULL)</f>
        <v>-99</v>
      </c>
      <c r="BG804">
        <f ca="1">IF(AND($AT804&lt;3,OFFSET(DATA!$C$14,$AS804,0)=BG$6),$AV804,dNULL)</f>
        <v>-99</v>
      </c>
      <c r="BH804">
        <f ca="1">IF(AND($AT804&lt;3,OFFSET(DATA!$C$14,$AS804,0)=BH$6),$AV804,dNULL)</f>
        <v>-99</v>
      </c>
    </row>
    <row r="805" spans="45:60" x14ac:dyDescent="0.25">
      <c r="AS805">
        <f t="shared" si="136"/>
        <v>79</v>
      </c>
      <c r="AT805">
        <f t="shared" si="137"/>
        <v>8</v>
      </c>
      <c r="AU805">
        <f t="shared" ca="1" si="138"/>
        <v>-99</v>
      </c>
      <c r="AV805">
        <f t="shared" ca="1" si="139"/>
        <v>-99</v>
      </c>
      <c r="AW805">
        <f ca="1">IF(AND($AT805&lt;3,OFFSET(DATA!$C$14,$AS805,0)=AW$6),$AV805,dNULL)</f>
        <v>-99</v>
      </c>
      <c r="AX805">
        <f ca="1">IF(AND($AT805&lt;3,OFFSET(DATA!$C$14,$AS805,0)=AX$6),$AV805,dNULL)</f>
        <v>-99</v>
      </c>
      <c r="AY805">
        <f ca="1">IF(AND($AT805&lt;3,OFFSET(DATA!$C$14,$AS805,0)=AY$6),$AV805,dNULL)</f>
        <v>-99</v>
      </c>
      <c r="AZ805">
        <f ca="1">IF(AND($AT805&lt;3,OFFSET(DATA!$C$14,$AS805,0)=AZ$6),$AV805,dNULL)</f>
        <v>-99</v>
      </c>
      <c r="BA805">
        <f ca="1">IF(AND($AT805&lt;3,OFFSET(DATA!$C$14,$AS805,0)=BA$6),$AV805,dNULL)</f>
        <v>-99</v>
      </c>
      <c r="BB805">
        <f ca="1">IF(AND($AT805&lt;3,OFFSET(DATA!$C$14,$AS805,0)=BB$6),$AV805,dNULL)</f>
        <v>-99</v>
      </c>
      <c r="BC805">
        <f ca="1">IF(AND($AT805&lt;3,OFFSET(DATA!$C$14,$AS805,0)=BC$6),$AV805,dNULL)</f>
        <v>-99</v>
      </c>
      <c r="BD805">
        <f ca="1">IF(AND($AT805&lt;3,OFFSET(DATA!$C$14,$AS805,0)=BD$6),$AV805,dNULL)</f>
        <v>-99</v>
      </c>
      <c r="BE805">
        <f ca="1">IF(AND($AT805&lt;3,OFFSET(DATA!$C$14,$AS805,0)=BE$6),$AV805,dNULL)</f>
        <v>-99</v>
      </c>
      <c r="BF805">
        <f ca="1">IF(AND($AT805&lt;3,OFFSET(DATA!$C$14,$AS805,0)=BF$6),$AV805,dNULL)</f>
        <v>-99</v>
      </c>
      <c r="BG805">
        <f ca="1">IF(AND($AT805&lt;3,OFFSET(DATA!$C$14,$AS805,0)=BG$6),$AV805,dNULL)</f>
        <v>-99</v>
      </c>
      <c r="BH805">
        <f ca="1">IF(AND($AT805&lt;3,OFFSET(DATA!$C$14,$AS805,0)=BH$6),$AV805,dNULL)</f>
        <v>-99</v>
      </c>
    </row>
    <row r="806" spans="45:60" x14ac:dyDescent="0.25">
      <c r="AS806">
        <f t="shared" si="136"/>
        <v>80</v>
      </c>
      <c r="AT806">
        <f t="shared" si="137"/>
        <v>8</v>
      </c>
      <c r="AU806">
        <f t="shared" ca="1" si="138"/>
        <v>-99</v>
      </c>
      <c r="AV806">
        <f t="shared" ca="1" si="139"/>
        <v>-99</v>
      </c>
      <c r="AW806">
        <f ca="1">IF(AND($AT806&lt;3,OFFSET(DATA!$C$14,$AS806,0)=AW$6),$AV806,dNULL)</f>
        <v>-99</v>
      </c>
      <c r="AX806">
        <f ca="1">IF(AND($AT806&lt;3,OFFSET(DATA!$C$14,$AS806,0)=AX$6),$AV806,dNULL)</f>
        <v>-99</v>
      </c>
      <c r="AY806">
        <f ca="1">IF(AND($AT806&lt;3,OFFSET(DATA!$C$14,$AS806,0)=AY$6),$AV806,dNULL)</f>
        <v>-99</v>
      </c>
      <c r="AZ806">
        <f ca="1">IF(AND($AT806&lt;3,OFFSET(DATA!$C$14,$AS806,0)=AZ$6),$AV806,dNULL)</f>
        <v>-99</v>
      </c>
      <c r="BA806">
        <f ca="1">IF(AND($AT806&lt;3,OFFSET(DATA!$C$14,$AS806,0)=BA$6),$AV806,dNULL)</f>
        <v>-99</v>
      </c>
      <c r="BB806">
        <f ca="1">IF(AND($AT806&lt;3,OFFSET(DATA!$C$14,$AS806,0)=BB$6),$AV806,dNULL)</f>
        <v>-99</v>
      </c>
      <c r="BC806">
        <f ca="1">IF(AND($AT806&lt;3,OFFSET(DATA!$C$14,$AS806,0)=BC$6),$AV806,dNULL)</f>
        <v>-99</v>
      </c>
      <c r="BD806">
        <f ca="1">IF(AND($AT806&lt;3,OFFSET(DATA!$C$14,$AS806,0)=BD$6),$AV806,dNULL)</f>
        <v>-99</v>
      </c>
      <c r="BE806">
        <f ca="1">IF(AND($AT806&lt;3,OFFSET(DATA!$C$14,$AS806,0)=BE$6),$AV806,dNULL)</f>
        <v>-99</v>
      </c>
      <c r="BF806">
        <f ca="1">IF(AND($AT806&lt;3,OFFSET(DATA!$C$14,$AS806,0)=BF$6),$AV806,dNULL)</f>
        <v>-99</v>
      </c>
      <c r="BG806">
        <f ca="1">IF(AND($AT806&lt;3,OFFSET(DATA!$C$14,$AS806,0)=BG$6),$AV806,dNULL)</f>
        <v>-99</v>
      </c>
      <c r="BH806">
        <f ca="1">IF(AND($AT806&lt;3,OFFSET(DATA!$C$14,$AS806,0)=BH$6),$AV806,dNULL)</f>
        <v>-99</v>
      </c>
    </row>
    <row r="807" spans="45:60" x14ac:dyDescent="0.25">
      <c r="AS807">
        <f t="shared" si="136"/>
        <v>81</v>
      </c>
      <c r="AT807">
        <f t="shared" si="137"/>
        <v>8</v>
      </c>
      <c r="AU807">
        <f t="shared" ca="1" si="138"/>
        <v>-99</v>
      </c>
      <c r="AV807">
        <f t="shared" ca="1" si="139"/>
        <v>-99</v>
      </c>
      <c r="AW807">
        <f ca="1">IF(AND($AT807&lt;3,OFFSET(DATA!$C$14,$AS807,0)=AW$6),$AV807,dNULL)</f>
        <v>-99</v>
      </c>
      <c r="AX807">
        <f ca="1">IF(AND($AT807&lt;3,OFFSET(DATA!$C$14,$AS807,0)=AX$6),$AV807,dNULL)</f>
        <v>-99</v>
      </c>
      <c r="AY807">
        <f ca="1">IF(AND($AT807&lt;3,OFFSET(DATA!$C$14,$AS807,0)=AY$6),$AV807,dNULL)</f>
        <v>-99</v>
      </c>
      <c r="AZ807">
        <f ca="1">IF(AND($AT807&lt;3,OFFSET(DATA!$C$14,$AS807,0)=AZ$6),$AV807,dNULL)</f>
        <v>-99</v>
      </c>
      <c r="BA807">
        <f ca="1">IF(AND($AT807&lt;3,OFFSET(DATA!$C$14,$AS807,0)=BA$6),$AV807,dNULL)</f>
        <v>-99</v>
      </c>
      <c r="BB807">
        <f ca="1">IF(AND($AT807&lt;3,OFFSET(DATA!$C$14,$AS807,0)=BB$6),$AV807,dNULL)</f>
        <v>-99</v>
      </c>
      <c r="BC807">
        <f ca="1">IF(AND($AT807&lt;3,OFFSET(DATA!$C$14,$AS807,0)=BC$6),$AV807,dNULL)</f>
        <v>-99</v>
      </c>
      <c r="BD807">
        <f ca="1">IF(AND($AT807&lt;3,OFFSET(DATA!$C$14,$AS807,0)=BD$6),$AV807,dNULL)</f>
        <v>-99</v>
      </c>
      <c r="BE807">
        <f ca="1">IF(AND($AT807&lt;3,OFFSET(DATA!$C$14,$AS807,0)=BE$6),$AV807,dNULL)</f>
        <v>-99</v>
      </c>
      <c r="BF807">
        <f ca="1">IF(AND($AT807&lt;3,OFFSET(DATA!$C$14,$AS807,0)=BF$6),$AV807,dNULL)</f>
        <v>-99</v>
      </c>
      <c r="BG807">
        <f ca="1">IF(AND($AT807&lt;3,OFFSET(DATA!$C$14,$AS807,0)=BG$6),$AV807,dNULL)</f>
        <v>-99</v>
      </c>
      <c r="BH807">
        <f ca="1">IF(AND($AT807&lt;3,OFFSET(DATA!$C$14,$AS807,0)=BH$6),$AV807,dNULL)</f>
        <v>-99</v>
      </c>
    </row>
    <row r="808" spans="45:60" x14ac:dyDescent="0.25">
      <c r="AS808">
        <f t="shared" si="136"/>
        <v>82</v>
      </c>
      <c r="AT808">
        <f t="shared" si="137"/>
        <v>8</v>
      </c>
      <c r="AU808">
        <f t="shared" ca="1" si="138"/>
        <v>-99</v>
      </c>
      <c r="AV808">
        <f t="shared" ca="1" si="139"/>
        <v>-99</v>
      </c>
      <c r="AW808">
        <f ca="1">IF(AND($AT808&lt;3,OFFSET(DATA!$C$14,$AS808,0)=AW$6),$AV808,dNULL)</f>
        <v>-99</v>
      </c>
      <c r="AX808">
        <f ca="1">IF(AND($AT808&lt;3,OFFSET(DATA!$C$14,$AS808,0)=AX$6),$AV808,dNULL)</f>
        <v>-99</v>
      </c>
      <c r="AY808">
        <f ca="1">IF(AND($AT808&lt;3,OFFSET(DATA!$C$14,$AS808,0)=AY$6),$AV808,dNULL)</f>
        <v>-99</v>
      </c>
      <c r="AZ808">
        <f ca="1">IF(AND($AT808&lt;3,OFFSET(DATA!$C$14,$AS808,0)=AZ$6),$AV808,dNULL)</f>
        <v>-99</v>
      </c>
      <c r="BA808">
        <f ca="1">IF(AND($AT808&lt;3,OFFSET(DATA!$C$14,$AS808,0)=BA$6),$AV808,dNULL)</f>
        <v>-99</v>
      </c>
      <c r="BB808">
        <f ca="1">IF(AND($AT808&lt;3,OFFSET(DATA!$C$14,$AS808,0)=BB$6),$AV808,dNULL)</f>
        <v>-99</v>
      </c>
      <c r="BC808">
        <f ca="1">IF(AND($AT808&lt;3,OFFSET(DATA!$C$14,$AS808,0)=BC$6),$AV808,dNULL)</f>
        <v>-99</v>
      </c>
      <c r="BD808">
        <f ca="1">IF(AND($AT808&lt;3,OFFSET(DATA!$C$14,$AS808,0)=BD$6),$AV808,dNULL)</f>
        <v>-99</v>
      </c>
      <c r="BE808">
        <f ca="1">IF(AND($AT808&lt;3,OFFSET(DATA!$C$14,$AS808,0)=BE$6),$AV808,dNULL)</f>
        <v>-99</v>
      </c>
      <c r="BF808">
        <f ca="1">IF(AND($AT808&lt;3,OFFSET(DATA!$C$14,$AS808,0)=BF$6),$AV808,dNULL)</f>
        <v>-99</v>
      </c>
      <c r="BG808">
        <f ca="1">IF(AND($AT808&lt;3,OFFSET(DATA!$C$14,$AS808,0)=BG$6),$AV808,dNULL)</f>
        <v>-99</v>
      </c>
      <c r="BH808">
        <f ca="1">IF(AND($AT808&lt;3,OFFSET(DATA!$C$14,$AS808,0)=BH$6),$AV808,dNULL)</f>
        <v>-99</v>
      </c>
    </row>
    <row r="809" spans="45:60" x14ac:dyDescent="0.25">
      <c r="AS809">
        <f t="shared" si="136"/>
        <v>83</v>
      </c>
      <c r="AT809">
        <f t="shared" si="137"/>
        <v>8</v>
      </c>
      <c r="AU809">
        <f t="shared" ca="1" si="138"/>
        <v>-99</v>
      </c>
      <c r="AV809">
        <f t="shared" ca="1" si="139"/>
        <v>-99</v>
      </c>
      <c r="AW809">
        <f ca="1">IF(AND($AT809&lt;3,OFFSET(DATA!$C$14,$AS809,0)=AW$6),$AV809,dNULL)</f>
        <v>-99</v>
      </c>
      <c r="AX809">
        <f ca="1">IF(AND($AT809&lt;3,OFFSET(DATA!$C$14,$AS809,0)=AX$6),$AV809,dNULL)</f>
        <v>-99</v>
      </c>
      <c r="AY809">
        <f ca="1">IF(AND($AT809&lt;3,OFFSET(DATA!$C$14,$AS809,0)=AY$6),$AV809,dNULL)</f>
        <v>-99</v>
      </c>
      <c r="AZ809">
        <f ca="1">IF(AND($AT809&lt;3,OFFSET(DATA!$C$14,$AS809,0)=AZ$6),$AV809,dNULL)</f>
        <v>-99</v>
      </c>
      <c r="BA809">
        <f ca="1">IF(AND($AT809&lt;3,OFFSET(DATA!$C$14,$AS809,0)=BA$6),$AV809,dNULL)</f>
        <v>-99</v>
      </c>
      <c r="BB809">
        <f ca="1">IF(AND($AT809&lt;3,OFFSET(DATA!$C$14,$AS809,0)=BB$6),$AV809,dNULL)</f>
        <v>-99</v>
      </c>
      <c r="BC809">
        <f ca="1">IF(AND($AT809&lt;3,OFFSET(DATA!$C$14,$AS809,0)=BC$6),$AV809,dNULL)</f>
        <v>-99</v>
      </c>
      <c r="BD809">
        <f ca="1">IF(AND($AT809&lt;3,OFFSET(DATA!$C$14,$AS809,0)=BD$6),$AV809,dNULL)</f>
        <v>-99</v>
      </c>
      <c r="BE809">
        <f ca="1">IF(AND($AT809&lt;3,OFFSET(DATA!$C$14,$AS809,0)=BE$6),$AV809,dNULL)</f>
        <v>-99</v>
      </c>
      <c r="BF809">
        <f ca="1">IF(AND($AT809&lt;3,OFFSET(DATA!$C$14,$AS809,0)=BF$6),$AV809,dNULL)</f>
        <v>-99</v>
      </c>
      <c r="BG809">
        <f ca="1">IF(AND($AT809&lt;3,OFFSET(DATA!$C$14,$AS809,0)=BG$6),$AV809,dNULL)</f>
        <v>-99</v>
      </c>
      <c r="BH809">
        <f ca="1">IF(AND($AT809&lt;3,OFFSET(DATA!$C$14,$AS809,0)=BH$6),$AV809,dNULL)</f>
        <v>-99</v>
      </c>
    </row>
    <row r="810" spans="45:60" x14ac:dyDescent="0.25">
      <c r="AS810">
        <f t="shared" si="136"/>
        <v>84</v>
      </c>
      <c r="AT810">
        <f t="shared" si="137"/>
        <v>8</v>
      </c>
      <c r="AU810">
        <f t="shared" ca="1" si="138"/>
        <v>-99</v>
      </c>
      <c r="AV810">
        <f t="shared" ca="1" si="139"/>
        <v>-99</v>
      </c>
      <c r="AW810">
        <f ca="1">IF(AND($AT810&lt;3,OFFSET(DATA!$C$14,$AS810,0)=AW$6),$AV810,dNULL)</f>
        <v>-99</v>
      </c>
      <c r="AX810">
        <f ca="1">IF(AND($AT810&lt;3,OFFSET(DATA!$C$14,$AS810,0)=AX$6),$AV810,dNULL)</f>
        <v>-99</v>
      </c>
      <c r="AY810">
        <f ca="1">IF(AND($AT810&lt;3,OFFSET(DATA!$C$14,$AS810,0)=AY$6),$AV810,dNULL)</f>
        <v>-99</v>
      </c>
      <c r="AZ810">
        <f ca="1">IF(AND($AT810&lt;3,OFFSET(DATA!$C$14,$AS810,0)=AZ$6),$AV810,dNULL)</f>
        <v>-99</v>
      </c>
      <c r="BA810">
        <f ca="1">IF(AND($AT810&lt;3,OFFSET(DATA!$C$14,$AS810,0)=BA$6),$AV810,dNULL)</f>
        <v>-99</v>
      </c>
      <c r="BB810">
        <f ca="1">IF(AND($AT810&lt;3,OFFSET(DATA!$C$14,$AS810,0)=BB$6),$AV810,dNULL)</f>
        <v>-99</v>
      </c>
      <c r="BC810">
        <f ca="1">IF(AND($AT810&lt;3,OFFSET(DATA!$C$14,$AS810,0)=BC$6),$AV810,dNULL)</f>
        <v>-99</v>
      </c>
      <c r="BD810">
        <f ca="1">IF(AND($AT810&lt;3,OFFSET(DATA!$C$14,$AS810,0)=BD$6),$AV810,dNULL)</f>
        <v>-99</v>
      </c>
      <c r="BE810">
        <f ca="1">IF(AND($AT810&lt;3,OFFSET(DATA!$C$14,$AS810,0)=BE$6),$AV810,dNULL)</f>
        <v>-99</v>
      </c>
      <c r="BF810">
        <f ca="1">IF(AND($AT810&lt;3,OFFSET(DATA!$C$14,$AS810,0)=BF$6),$AV810,dNULL)</f>
        <v>-99</v>
      </c>
      <c r="BG810">
        <f ca="1">IF(AND($AT810&lt;3,OFFSET(DATA!$C$14,$AS810,0)=BG$6),$AV810,dNULL)</f>
        <v>-99</v>
      </c>
      <c r="BH810">
        <f ca="1">IF(AND($AT810&lt;3,OFFSET(DATA!$C$14,$AS810,0)=BH$6),$AV810,dNULL)</f>
        <v>-99</v>
      </c>
    </row>
    <row r="811" spans="45:60" x14ac:dyDescent="0.25">
      <c r="AS811">
        <f t="shared" si="136"/>
        <v>85</v>
      </c>
      <c r="AT811">
        <f t="shared" si="137"/>
        <v>8</v>
      </c>
      <c r="AU811">
        <f t="shared" ca="1" si="138"/>
        <v>-99</v>
      </c>
      <c r="AV811">
        <f t="shared" ca="1" si="139"/>
        <v>-99</v>
      </c>
      <c r="AW811">
        <f ca="1">IF(AND($AT811&lt;3,OFFSET(DATA!$C$14,$AS811,0)=AW$6),$AV811,dNULL)</f>
        <v>-99</v>
      </c>
      <c r="AX811">
        <f ca="1">IF(AND($AT811&lt;3,OFFSET(DATA!$C$14,$AS811,0)=AX$6),$AV811,dNULL)</f>
        <v>-99</v>
      </c>
      <c r="AY811">
        <f ca="1">IF(AND($AT811&lt;3,OFFSET(DATA!$C$14,$AS811,0)=AY$6),$AV811,dNULL)</f>
        <v>-99</v>
      </c>
      <c r="AZ811">
        <f ca="1">IF(AND($AT811&lt;3,OFFSET(DATA!$C$14,$AS811,0)=AZ$6),$AV811,dNULL)</f>
        <v>-99</v>
      </c>
      <c r="BA811">
        <f ca="1">IF(AND($AT811&lt;3,OFFSET(DATA!$C$14,$AS811,0)=BA$6),$AV811,dNULL)</f>
        <v>-99</v>
      </c>
      <c r="BB811">
        <f ca="1">IF(AND($AT811&lt;3,OFFSET(DATA!$C$14,$AS811,0)=BB$6),$AV811,dNULL)</f>
        <v>-99</v>
      </c>
      <c r="BC811">
        <f ca="1">IF(AND($AT811&lt;3,OFFSET(DATA!$C$14,$AS811,0)=BC$6),$AV811,dNULL)</f>
        <v>-99</v>
      </c>
      <c r="BD811">
        <f ca="1">IF(AND($AT811&lt;3,OFFSET(DATA!$C$14,$AS811,0)=BD$6),$AV811,dNULL)</f>
        <v>-99</v>
      </c>
      <c r="BE811">
        <f ca="1">IF(AND($AT811&lt;3,OFFSET(DATA!$C$14,$AS811,0)=BE$6),$AV811,dNULL)</f>
        <v>-99</v>
      </c>
      <c r="BF811">
        <f ca="1">IF(AND($AT811&lt;3,OFFSET(DATA!$C$14,$AS811,0)=BF$6),$AV811,dNULL)</f>
        <v>-99</v>
      </c>
      <c r="BG811">
        <f ca="1">IF(AND($AT811&lt;3,OFFSET(DATA!$C$14,$AS811,0)=BG$6),$AV811,dNULL)</f>
        <v>-99</v>
      </c>
      <c r="BH811">
        <f ca="1">IF(AND($AT811&lt;3,OFFSET(DATA!$C$14,$AS811,0)=BH$6),$AV811,dNULL)</f>
        <v>-99</v>
      </c>
    </row>
    <row r="812" spans="45:60" x14ac:dyDescent="0.25">
      <c r="AS812">
        <f t="shared" si="136"/>
        <v>86</v>
      </c>
      <c r="AT812">
        <f t="shared" si="137"/>
        <v>8</v>
      </c>
      <c r="AU812">
        <f t="shared" ca="1" si="138"/>
        <v>-99</v>
      </c>
      <c r="AV812">
        <f t="shared" ca="1" si="139"/>
        <v>-99</v>
      </c>
      <c r="AW812">
        <f ca="1">IF(AND($AT812&lt;3,OFFSET(DATA!$C$14,$AS812,0)=AW$6),$AV812,dNULL)</f>
        <v>-99</v>
      </c>
      <c r="AX812">
        <f ca="1">IF(AND($AT812&lt;3,OFFSET(DATA!$C$14,$AS812,0)=AX$6),$AV812,dNULL)</f>
        <v>-99</v>
      </c>
      <c r="AY812">
        <f ca="1">IF(AND($AT812&lt;3,OFFSET(DATA!$C$14,$AS812,0)=AY$6),$AV812,dNULL)</f>
        <v>-99</v>
      </c>
      <c r="AZ812">
        <f ca="1">IF(AND($AT812&lt;3,OFFSET(DATA!$C$14,$AS812,0)=AZ$6),$AV812,dNULL)</f>
        <v>-99</v>
      </c>
      <c r="BA812">
        <f ca="1">IF(AND($AT812&lt;3,OFFSET(DATA!$C$14,$AS812,0)=BA$6),$AV812,dNULL)</f>
        <v>-99</v>
      </c>
      <c r="BB812">
        <f ca="1">IF(AND($AT812&lt;3,OFFSET(DATA!$C$14,$AS812,0)=BB$6),$AV812,dNULL)</f>
        <v>-99</v>
      </c>
      <c r="BC812">
        <f ca="1">IF(AND($AT812&lt;3,OFFSET(DATA!$C$14,$AS812,0)=BC$6),$AV812,dNULL)</f>
        <v>-99</v>
      </c>
      <c r="BD812">
        <f ca="1">IF(AND($AT812&lt;3,OFFSET(DATA!$C$14,$AS812,0)=BD$6),$AV812,dNULL)</f>
        <v>-99</v>
      </c>
      <c r="BE812">
        <f ca="1">IF(AND($AT812&lt;3,OFFSET(DATA!$C$14,$AS812,0)=BE$6),$AV812,dNULL)</f>
        <v>-99</v>
      </c>
      <c r="BF812">
        <f ca="1">IF(AND($AT812&lt;3,OFFSET(DATA!$C$14,$AS812,0)=BF$6),$AV812,dNULL)</f>
        <v>-99</v>
      </c>
      <c r="BG812">
        <f ca="1">IF(AND($AT812&lt;3,OFFSET(DATA!$C$14,$AS812,0)=BG$6),$AV812,dNULL)</f>
        <v>-99</v>
      </c>
      <c r="BH812">
        <f ca="1">IF(AND($AT812&lt;3,OFFSET(DATA!$C$14,$AS812,0)=BH$6),$AV812,dNULL)</f>
        <v>-99</v>
      </c>
    </row>
    <row r="813" spans="45:60" x14ac:dyDescent="0.25">
      <c r="AS813">
        <f t="shared" si="136"/>
        <v>87</v>
      </c>
      <c r="AT813">
        <f t="shared" si="137"/>
        <v>8</v>
      </c>
      <c r="AU813">
        <f t="shared" ca="1" si="138"/>
        <v>-99</v>
      </c>
      <c r="AV813">
        <f t="shared" ca="1" si="139"/>
        <v>-99</v>
      </c>
      <c r="AW813">
        <f ca="1">IF(AND($AT813&lt;3,OFFSET(DATA!$C$14,$AS813,0)=AW$6),$AV813,dNULL)</f>
        <v>-99</v>
      </c>
      <c r="AX813">
        <f ca="1">IF(AND($AT813&lt;3,OFFSET(DATA!$C$14,$AS813,0)=AX$6),$AV813,dNULL)</f>
        <v>-99</v>
      </c>
      <c r="AY813">
        <f ca="1">IF(AND($AT813&lt;3,OFFSET(DATA!$C$14,$AS813,0)=AY$6),$AV813,dNULL)</f>
        <v>-99</v>
      </c>
      <c r="AZ813">
        <f ca="1">IF(AND($AT813&lt;3,OFFSET(DATA!$C$14,$AS813,0)=AZ$6),$AV813,dNULL)</f>
        <v>-99</v>
      </c>
      <c r="BA813">
        <f ca="1">IF(AND($AT813&lt;3,OFFSET(DATA!$C$14,$AS813,0)=BA$6),$AV813,dNULL)</f>
        <v>-99</v>
      </c>
      <c r="BB813">
        <f ca="1">IF(AND($AT813&lt;3,OFFSET(DATA!$C$14,$AS813,0)=BB$6),$AV813,dNULL)</f>
        <v>-99</v>
      </c>
      <c r="BC813">
        <f ca="1">IF(AND($AT813&lt;3,OFFSET(DATA!$C$14,$AS813,0)=BC$6),$AV813,dNULL)</f>
        <v>-99</v>
      </c>
      <c r="BD813">
        <f ca="1">IF(AND($AT813&lt;3,OFFSET(DATA!$C$14,$AS813,0)=BD$6),$AV813,dNULL)</f>
        <v>-99</v>
      </c>
      <c r="BE813">
        <f ca="1">IF(AND($AT813&lt;3,OFFSET(DATA!$C$14,$AS813,0)=BE$6),$AV813,dNULL)</f>
        <v>-99</v>
      </c>
      <c r="BF813">
        <f ca="1">IF(AND($AT813&lt;3,OFFSET(DATA!$C$14,$AS813,0)=BF$6),$AV813,dNULL)</f>
        <v>-99</v>
      </c>
      <c r="BG813">
        <f ca="1">IF(AND($AT813&lt;3,OFFSET(DATA!$C$14,$AS813,0)=BG$6),$AV813,dNULL)</f>
        <v>-99</v>
      </c>
      <c r="BH813">
        <f ca="1">IF(AND($AT813&lt;3,OFFSET(DATA!$C$14,$AS813,0)=BH$6),$AV813,dNULL)</f>
        <v>-99</v>
      </c>
    </row>
    <row r="814" spans="45:60" x14ac:dyDescent="0.25">
      <c r="AS814">
        <f t="shared" si="136"/>
        <v>88</v>
      </c>
      <c r="AT814">
        <f t="shared" si="137"/>
        <v>8</v>
      </c>
      <c r="AU814">
        <f t="shared" ca="1" si="138"/>
        <v>-99</v>
      </c>
      <c r="AV814">
        <f t="shared" ca="1" si="139"/>
        <v>-99</v>
      </c>
      <c r="AW814">
        <f ca="1">IF(AND($AT814&lt;3,OFFSET(DATA!$C$14,$AS814,0)=AW$6),$AV814,dNULL)</f>
        <v>-99</v>
      </c>
      <c r="AX814">
        <f ca="1">IF(AND($AT814&lt;3,OFFSET(DATA!$C$14,$AS814,0)=AX$6),$AV814,dNULL)</f>
        <v>-99</v>
      </c>
      <c r="AY814">
        <f ca="1">IF(AND($AT814&lt;3,OFFSET(DATA!$C$14,$AS814,0)=AY$6),$AV814,dNULL)</f>
        <v>-99</v>
      </c>
      <c r="AZ814">
        <f ca="1">IF(AND($AT814&lt;3,OFFSET(DATA!$C$14,$AS814,0)=AZ$6),$AV814,dNULL)</f>
        <v>-99</v>
      </c>
      <c r="BA814">
        <f ca="1">IF(AND($AT814&lt;3,OFFSET(DATA!$C$14,$AS814,0)=BA$6),$AV814,dNULL)</f>
        <v>-99</v>
      </c>
      <c r="BB814">
        <f ca="1">IF(AND($AT814&lt;3,OFFSET(DATA!$C$14,$AS814,0)=BB$6),$AV814,dNULL)</f>
        <v>-99</v>
      </c>
      <c r="BC814">
        <f ca="1">IF(AND($AT814&lt;3,OFFSET(DATA!$C$14,$AS814,0)=BC$6),$AV814,dNULL)</f>
        <v>-99</v>
      </c>
      <c r="BD814">
        <f ca="1">IF(AND($AT814&lt;3,OFFSET(DATA!$C$14,$AS814,0)=BD$6),$AV814,dNULL)</f>
        <v>-99</v>
      </c>
      <c r="BE814">
        <f ca="1">IF(AND($AT814&lt;3,OFFSET(DATA!$C$14,$AS814,0)=BE$6),$AV814,dNULL)</f>
        <v>-99</v>
      </c>
      <c r="BF814">
        <f ca="1">IF(AND($AT814&lt;3,OFFSET(DATA!$C$14,$AS814,0)=BF$6),$AV814,dNULL)</f>
        <v>-99</v>
      </c>
      <c r="BG814">
        <f ca="1">IF(AND($AT814&lt;3,OFFSET(DATA!$C$14,$AS814,0)=BG$6),$AV814,dNULL)</f>
        <v>-99</v>
      </c>
      <c r="BH814">
        <f ca="1">IF(AND($AT814&lt;3,OFFSET(DATA!$C$14,$AS814,0)=BH$6),$AV814,dNULL)</f>
        <v>-99</v>
      </c>
    </row>
    <row r="815" spans="45:60" x14ac:dyDescent="0.25">
      <c r="AS815">
        <f t="shared" si="136"/>
        <v>89</v>
      </c>
      <c r="AT815">
        <f t="shared" si="137"/>
        <v>8</v>
      </c>
      <c r="AU815">
        <f t="shared" ca="1" si="138"/>
        <v>-99</v>
      </c>
      <c r="AV815">
        <f t="shared" ca="1" si="139"/>
        <v>-99</v>
      </c>
      <c r="AW815">
        <f ca="1">IF(AND($AT815&lt;3,OFFSET(DATA!$C$14,$AS815,0)=AW$6),$AV815,dNULL)</f>
        <v>-99</v>
      </c>
      <c r="AX815">
        <f ca="1">IF(AND($AT815&lt;3,OFFSET(DATA!$C$14,$AS815,0)=AX$6),$AV815,dNULL)</f>
        <v>-99</v>
      </c>
      <c r="AY815">
        <f ca="1">IF(AND($AT815&lt;3,OFFSET(DATA!$C$14,$AS815,0)=AY$6),$AV815,dNULL)</f>
        <v>-99</v>
      </c>
      <c r="AZ815">
        <f ca="1">IF(AND($AT815&lt;3,OFFSET(DATA!$C$14,$AS815,0)=AZ$6),$AV815,dNULL)</f>
        <v>-99</v>
      </c>
      <c r="BA815">
        <f ca="1">IF(AND($AT815&lt;3,OFFSET(DATA!$C$14,$AS815,0)=BA$6),$AV815,dNULL)</f>
        <v>-99</v>
      </c>
      <c r="BB815">
        <f ca="1">IF(AND($AT815&lt;3,OFFSET(DATA!$C$14,$AS815,0)=BB$6),$AV815,dNULL)</f>
        <v>-99</v>
      </c>
      <c r="BC815">
        <f ca="1">IF(AND($AT815&lt;3,OFFSET(DATA!$C$14,$AS815,0)=BC$6),$AV815,dNULL)</f>
        <v>-99</v>
      </c>
      <c r="BD815">
        <f ca="1">IF(AND($AT815&lt;3,OFFSET(DATA!$C$14,$AS815,0)=BD$6),$AV815,dNULL)</f>
        <v>-99</v>
      </c>
      <c r="BE815">
        <f ca="1">IF(AND($AT815&lt;3,OFFSET(DATA!$C$14,$AS815,0)=BE$6),$AV815,dNULL)</f>
        <v>-99</v>
      </c>
      <c r="BF815">
        <f ca="1">IF(AND($AT815&lt;3,OFFSET(DATA!$C$14,$AS815,0)=BF$6),$AV815,dNULL)</f>
        <v>-99</v>
      </c>
      <c r="BG815">
        <f ca="1">IF(AND($AT815&lt;3,OFFSET(DATA!$C$14,$AS815,0)=BG$6),$AV815,dNULL)</f>
        <v>-99</v>
      </c>
      <c r="BH815">
        <f ca="1">IF(AND($AT815&lt;3,OFFSET(DATA!$C$14,$AS815,0)=BH$6),$AV815,dNULL)</f>
        <v>-99</v>
      </c>
    </row>
    <row r="816" spans="45:60" x14ac:dyDescent="0.25">
      <c r="AS816">
        <f t="shared" si="136"/>
        <v>90</v>
      </c>
      <c r="AT816">
        <f t="shared" si="137"/>
        <v>8</v>
      </c>
      <c r="AU816">
        <f t="shared" ca="1" si="138"/>
        <v>-99</v>
      </c>
      <c r="AV816">
        <f t="shared" ca="1" si="139"/>
        <v>-99</v>
      </c>
      <c r="AW816">
        <f ca="1">IF(AND($AT816&lt;3,OFFSET(DATA!$C$14,$AS816,0)=AW$6),$AV816,dNULL)</f>
        <v>-99</v>
      </c>
      <c r="AX816">
        <f ca="1">IF(AND($AT816&lt;3,OFFSET(DATA!$C$14,$AS816,0)=AX$6),$AV816,dNULL)</f>
        <v>-99</v>
      </c>
      <c r="AY816">
        <f ca="1">IF(AND($AT816&lt;3,OFFSET(DATA!$C$14,$AS816,0)=AY$6),$AV816,dNULL)</f>
        <v>-99</v>
      </c>
      <c r="AZ816">
        <f ca="1">IF(AND($AT816&lt;3,OFFSET(DATA!$C$14,$AS816,0)=AZ$6),$AV816,dNULL)</f>
        <v>-99</v>
      </c>
      <c r="BA816">
        <f ca="1">IF(AND($AT816&lt;3,OFFSET(DATA!$C$14,$AS816,0)=BA$6),$AV816,dNULL)</f>
        <v>-99</v>
      </c>
      <c r="BB816">
        <f ca="1">IF(AND($AT816&lt;3,OFFSET(DATA!$C$14,$AS816,0)=BB$6),$AV816,dNULL)</f>
        <v>-99</v>
      </c>
      <c r="BC816">
        <f ca="1">IF(AND($AT816&lt;3,OFFSET(DATA!$C$14,$AS816,0)=BC$6),$AV816,dNULL)</f>
        <v>-99</v>
      </c>
      <c r="BD816">
        <f ca="1">IF(AND($AT816&lt;3,OFFSET(DATA!$C$14,$AS816,0)=BD$6),$AV816,dNULL)</f>
        <v>-99</v>
      </c>
      <c r="BE816">
        <f ca="1">IF(AND($AT816&lt;3,OFFSET(DATA!$C$14,$AS816,0)=BE$6),$AV816,dNULL)</f>
        <v>-99</v>
      </c>
      <c r="BF816">
        <f ca="1">IF(AND($AT816&lt;3,OFFSET(DATA!$C$14,$AS816,0)=BF$6),$AV816,dNULL)</f>
        <v>-99</v>
      </c>
      <c r="BG816">
        <f ca="1">IF(AND($AT816&lt;3,OFFSET(DATA!$C$14,$AS816,0)=BG$6),$AV816,dNULL)</f>
        <v>-99</v>
      </c>
      <c r="BH816">
        <f ca="1">IF(AND($AT816&lt;3,OFFSET(DATA!$C$14,$AS816,0)=BH$6),$AV816,dNULL)</f>
        <v>-99</v>
      </c>
    </row>
    <row r="817" spans="45:60" x14ac:dyDescent="0.25">
      <c r="AS817">
        <f t="shared" si="136"/>
        <v>1</v>
      </c>
      <c r="AT817">
        <f t="shared" si="137"/>
        <v>9</v>
      </c>
      <c r="AU817">
        <f t="shared" ca="1" si="138"/>
        <v>-99</v>
      </c>
      <c r="AV817">
        <f t="shared" ca="1" si="139"/>
        <v>-99</v>
      </c>
      <c r="AW817">
        <f ca="1">IF(AND($AT817&lt;3,OFFSET(DATA!$C$14,$AS817,0)=AW$6),$AV817,dNULL)</f>
        <v>-99</v>
      </c>
      <c r="AX817">
        <f ca="1">IF(AND($AT817&lt;3,OFFSET(DATA!$C$14,$AS817,0)=AX$6),$AV817,dNULL)</f>
        <v>-99</v>
      </c>
      <c r="AY817">
        <f ca="1">IF(AND($AT817&lt;3,OFFSET(DATA!$C$14,$AS817,0)=AY$6),$AV817,dNULL)</f>
        <v>-99</v>
      </c>
      <c r="AZ817">
        <f ca="1">IF(AND($AT817&lt;3,OFFSET(DATA!$C$14,$AS817,0)=AZ$6),$AV817,dNULL)</f>
        <v>-99</v>
      </c>
      <c r="BA817">
        <f ca="1">IF(AND($AT817&lt;3,OFFSET(DATA!$C$14,$AS817,0)=BA$6),$AV817,dNULL)</f>
        <v>-99</v>
      </c>
      <c r="BB817">
        <f ca="1">IF(AND($AT817&lt;3,OFFSET(DATA!$C$14,$AS817,0)=BB$6),$AV817,dNULL)</f>
        <v>-99</v>
      </c>
      <c r="BC817">
        <f ca="1">IF(AND($AT817&lt;3,OFFSET(DATA!$C$14,$AS817,0)=BC$6),$AV817,dNULL)</f>
        <v>-99</v>
      </c>
      <c r="BD817">
        <f ca="1">IF(AND($AT817&lt;3,OFFSET(DATA!$C$14,$AS817,0)=BD$6),$AV817,dNULL)</f>
        <v>-99</v>
      </c>
      <c r="BE817">
        <f ca="1">IF(AND($AT817&lt;3,OFFSET(DATA!$C$14,$AS817,0)=BE$6),$AV817,dNULL)</f>
        <v>-99</v>
      </c>
      <c r="BF817">
        <f ca="1">IF(AND($AT817&lt;3,OFFSET(DATA!$C$14,$AS817,0)=BF$6),$AV817,dNULL)</f>
        <v>-99</v>
      </c>
      <c r="BG817">
        <f ca="1">IF(AND($AT817&lt;3,OFFSET(DATA!$C$14,$AS817,0)=BG$6),$AV817,dNULL)</f>
        <v>-99</v>
      </c>
      <c r="BH817">
        <f ca="1">IF(AND($AT817&lt;3,OFFSET(DATA!$C$14,$AS817,0)=BH$6),$AV817,dNULL)</f>
        <v>-99</v>
      </c>
    </row>
    <row r="818" spans="45:60" x14ac:dyDescent="0.25">
      <c r="AS818">
        <f t="shared" si="136"/>
        <v>2</v>
      </c>
      <c r="AT818">
        <f t="shared" si="137"/>
        <v>9</v>
      </c>
      <c r="AU818">
        <f t="shared" ca="1" si="138"/>
        <v>-99</v>
      </c>
      <c r="AV818">
        <f t="shared" ca="1" si="139"/>
        <v>-99</v>
      </c>
      <c r="AW818">
        <f ca="1">IF(AND($AT818&lt;3,OFFSET(DATA!$C$14,$AS818,0)=AW$6),$AV818,dNULL)</f>
        <v>-99</v>
      </c>
      <c r="AX818">
        <f ca="1">IF(AND($AT818&lt;3,OFFSET(DATA!$C$14,$AS818,0)=AX$6),$AV818,dNULL)</f>
        <v>-99</v>
      </c>
      <c r="AY818">
        <f ca="1">IF(AND($AT818&lt;3,OFFSET(DATA!$C$14,$AS818,0)=AY$6),$AV818,dNULL)</f>
        <v>-99</v>
      </c>
      <c r="AZ818">
        <f ca="1">IF(AND($AT818&lt;3,OFFSET(DATA!$C$14,$AS818,0)=AZ$6),$AV818,dNULL)</f>
        <v>-99</v>
      </c>
      <c r="BA818">
        <f ca="1">IF(AND($AT818&lt;3,OFFSET(DATA!$C$14,$AS818,0)=BA$6),$AV818,dNULL)</f>
        <v>-99</v>
      </c>
      <c r="BB818">
        <f ca="1">IF(AND($AT818&lt;3,OFFSET(DATA!$C$14,$AS818,0)=BB$6),$AV818,dNULL)</f>
        <v>-99</v>
      </c>
      <c r="BC818">
        <f ca="1">IF(AND($AT818&lt;3,OFFSET(DATA!$C$14,$AS818,0)=BC$6),$AV818,dNULL)</f>
        <v>-99</v>
      </c>
      <c r="BD818">
        <f ca="1">IF(AND($AT818&lt;3,OFFSET(DATA!$C$14,$AS818,0)=BD$6),$AV818,dNULL)</f>
        <v>-99</v>
      </c>
      <c r="BE818">
        <f ca="1">IF(AND($AT818&lt;3,OFFSET(DATA!$C$14,$AS818,0)=BE$6),$AV818,dNULL)</f>
        <v>-99</v>
      </c>
      <c r="BF818">
        <f ca="1">IF(AND($AT818&lt;3,OFFSET(DATA!$C$14,$AS818,0)=BF$6),$AV818,dNULL)</f>
        <v>-99</v>
      </c>
      <c r="BG818">
        <f ca="1">IF(AND($AT818&lt;3,OFFSET(DATA!$C$14,$AS818,0)=BG$6),$AV818,dNULL)</f>
        <v>-99</v>
      </c>
      <c r="BH818">
        <f ca="1">IF(AND($AT818&lt;3,OFFSET(DATA!$C$14,$AS818,0)=BH$6),$AV818,dNULL)</f>
        <v>-99</v>
      </c>
    </row>
    <row r="819" spans="45:60" x14ac:dyDescent="0.25">
      <c r="AS819">
        <f t="shared" si="136"/>
        <v>3</v>
      </c>
      <c r="AT819">
        <f t="shared" si="137"/>
        <v>9</v>
      </c>
      <c r="AU819">
        <f t="shared" ca="1" si="138"/>
        <v>-99</v>
      </c>
      <c r="AV819">
        <f t="shared" ca="1" si="139"/>
        <v>-99</v>
      </c>
      <c r="AW819">
        <f ca="1">IF(AND($AT819&lt;3,OFFSET(DATA!$C$14,$AS819,0)=AW$6),$AV819,dNULL)</f>
        <v>-99</v>
      </c>
      <c r="AX819">
        <f ca="1">IF(AND($AT819&lt;3,OFFSET(DATA!$C$14,$AS819,0)=AX$6),$AV819,dNULL)</f>
        <v>-99</v>
      </c>
      <c r="AY819">
        <f ca="1">IF(AND($AT819&lt;3,OFFSET(DATA!$C$14,$AS819,0)=AY$6),$AV819,dNULL)</f>
        <v>-99</v>
      </c>
      <c r="AZ819">
        <f ca="1">IF(AND($AT819&lt;3,OFFSET(DATA!$C$14,$AS819,0)=AZ$6),$AV819,dNULL)</f>
        <v>-99</v>
      </c>
      <c r="BA819">
        <f ca="1">IF(AND($AT819&lt;3,OFFSET(DATA!$C$14,$AS819,0)=BA$6),$AV819,dNULL)</f>
        <v>-99</v>
      </c>
      <c r="BB819">
        <f ca="1">IF(AND($AT819&lt;3,OFFSET(DATA!$C$14,$AS819,0)=BB$6),$AV819,dNULL)</f>
        <v>-99</v>
      </c>
      <c r="BC819">
        <f ca="1">IF(AND($AT819&lt;3,OFFSET(DATA!$C$14,$AS819,0)=BC$6),$AV819,dNULL)</f>
        <v>-99</v>
      </c>
      <c r="BD819">
        <f ca="1">IF(AND($AT819&lt;3,OFFSET(DATA!$C$14,$AS819,0)=BD$6),$AV819,dNULL)</f>
        <v>-99</v>
      </c>
      <c r="BE819">
        <f ca="1">IF(AND($AT819&lt;3,OFFSET(DATA!$C$14,$AS819,0)=BE$6),$AV819,dNULL)</f>
        <v>-99</v>
      </c>
      <c r="BF819">
        <f ca="1">IF(AND($AT819&lt;3,OFFSET(DATA!$C$14,$AS819,0)=BF$6),$AV819,dNULL)</f>
        <v>-99</v>
      </c>
      <c r="BG819">
        <f ca="1">IF(AND($AT819&lt;3,OFFSET(DATA!$C$14,$AS819,0)=BG$6),$AV819,dNULL)</f>
        <v>-99</v>
      </c>
      <c r="BH819">
        <f ca="1">IF(AND($AT819&lt;3,OFFSET(DATA!$C$14,$AS819,0)=BH$6),$AV819,dNULL)</f>
        <v>-99</v>
      </c>
    </row>
    <row r="820" spans="45:60" x14ac:dyDescent="0.25">
      <c r="AS820">
        <f t="shared" si="136"/>
        <v>4</v>
      </c>
      <c r="AT820">
        <f t="shared" si="137"/>
        <v>9</v>
      </c>
      <c r="AU820">
        <f t="shared" ca="1" si="138"/>
        <v>-99</v>
      </c>
      <c r="AV820">
        <f t="shared" ca="1" si="139"/>
        <v>-99</v>
      </c>
      <c r="AW820">
        <f ca="1">IF(AND($AT820&lt;3,OFFSET(DATA!$C$14,$AS820,0)=AW$6),$AV820,dNULL)</f>
        <v>-99</v>
      </c>
      <c r="AX820">
        <f ca="1">IF(AND($AT820&lt;3,OFFSET(DATA!$C$14,$AS820,0)=AX$6),$AV820,dNULL)</f>
        <v>-99</v>
      </c>
      <c r="AY820">
        <f ca="1">IF(AND($AT820&lt;3,OFFSET(DATA!$C$14,$AS820,0)=AY$6),$AV820,dNULL)</f>
        <v>-99</v>
      </c>
      <c r="AZ820">
        <f ca="1">IF(AND($AT820&lt;3,OFFSET(DATA!$C$14,$AS820,0)=AZ$6),$AV820,dNULL)</f>
        <v>-99</v>
      </c>
      <c r="BA820">
        <f ca="1">IF(AND($AT820&lt;3,OFFSET(DATA!$C$14,$AS820,0)=BA$6),$AV820,dNULL)</f>
        <v>-99</v>
      </c>
      <c r="BB820">
        <f ca="1">IF(AND($AT820&lt;3,OFFSET(DATA!$C$14,$AS820,0)=BB$6),$AV820,dNULL)</f>
        <v>-99</v>
      </c>
      <c r="BC820">
        <f ca="1">IF(AND($AT820&lt;3,OFFSET(DATA!$C$14,$AS820,0)=BC$6),$AV820,dNULL)</f>
        <v>-99</v>
      </c>
      <c r="BD820">
        <f ca="1">IF(AND($AT820&lt;3,OFFSET(DATA!$C$14,$AS820,0)=BD$6),$AV820,dNULL)</f>
        <v>-99</v>
      </c>
      <c r="BE820">
        <f ca="1">IF(AND($AT820&lt;3,OFFSET(DATA!$C$14,$AS820,0)=BE$6),$AV820,dNULL)</f>
        <v>-99</v>
      </c>
      <c r="BF820">
        <f ca="1">IF(AND($AT820&lt;3,OFFSET(DATA!$C$14,$AS820,0)=BF$6),$AV820,dNULL)</f>
        <v>-99</v>
      </c>
      <c r="BG820">
        <f ca="1">IF(AND($AT820&lt;3,OFFSET(DATA!$C$14,$AS820,0)=BG$6),$AV820,dNULL)</f>
        <v>-99</v>
      </c>
      <c r="BH820">
        <f ca="1">IF(AND($AT820&lt;3,OFFSET(DATA!$C$14,$AS820,0)=BH$6),$AV820,dNULL)</f>
        <v>-99</v>
      </c>
    </row>
    <row r="821" spans="45:60" x14ac:dyDescent="0.25">
      <c r="AS821">
        <f t="shared" si="136"/>
        <v>5</v>
      </c>
      <c r="AT821">
        <f t="shared" si="137"/>
        <v>9</v>
      </c>
      <c r="AU821">
        <f t="shared" ca="1" si="138"/>
        <v>-99</v>
      </c>
      <c r="AV821">
        <f t="shared" ca="1" si="139"/>
        <v>-99</v>
      </c>
      <c r="AW821">
        <f ca="1">IF(AND($AT821&lt;3,OFFSET(DATA!$C$14,$AS821,0)=AW$6),$AV821,dNULL)</f>
        <v>-99</v>
      </c>
      <c r="AX821">
        <f ca="1">IF(AND($AT821&lt;3,OFFSET(DATA!$C$14,$AS821,0)=AX$6),$AV821,dNULL)</f>
        <v>-99</v>
      </c>
      <c r="AY821">
        <f ca="1">IF(AND($AT821&lt;3,OFFSET(DATA!$C$14,$AS821,0)=AY$6),$AV821,dNULL)</f>
        <v>-99</v>
      </c>
      <c r="AZ821">
        <f ca="1">IF(AND($AT821&lt;3,OFFSET(DATA!$C$14,$AS821,0)=AZ$6),$AV821,dNULL)</f>
        <v>-99</v>
      </c>
      <c r="BA821">
        <f ca="1">IF(AND($AT821&lt;3,OFFSET(DATA!$C$14,$AS821,0)=BA$6),$AV821,dNULL)</f>
        <v>-99</v>
      </c>
      <c r="BB821">
        <f ca="1">IF(AND($AT821&lt;3,OFFSET(DATA!$C$14,$AS821,0)=BB$6),$AV821,dNULL)</f>
        <v>-99</v>
      </c>
      <c r="BC821">
        <f ca="1">IF(AND($AT821&lt;3,OFFSET(DATA!$C$14,$AS821,0)=BC$6),$AV821,dNULL)</f>
        <v>-99</v>
      </c>
      <c r="BD821">
        <f ca="1">IF(AND($AT821&lt;3,OFFSET(DATA!$C$14,$AS821,0)=BD$6),$AV821,dNULL)</f>
        <v>-99</v>
      </c>
      <c r="BE821">
        <f ca="1">IF(AND($AT821&lt;3,OFFSET(DATA!$C$14,$AS821,0)=BE$6),$AV821,dNULL)</f>
        <v>-99</v>
      </c>
      <c r="BF821">
        <f ca="1">IF(AND($AT821&lt;3,OFFSET(DATA!$C$14,$AS821,0)=BF$6),$AV821,dNULL)</f>
        <v>-99</v>
      </c>
      <c r="BG821">
        <f ca="1">IF(AND($AT821&lt;3,OFFSET(DATA!$C$14,$AS821,0)=BG$6),$AV821,dNULL)</f>
        <v>-99</v>
      </c>
      <c r="BH821">
        <f ca="1">IF(AND($AT821&lt;3,OFFSET(DATA!$C$14,$AS821,0)=BH$6),$AV821,dNULL)</f>
        <v>-99</v>
      </c>
    </row>
    <row r="822" spans="45:60" x14ac:dyDescent="0.25">
      <c r="AS822">
        <f t="shared" si="136"/>
        <v>6</v>
      </c>
      <c r="AT822">
        <f t="shared" si="137"/>
        <v>9</v>
      </c>
      <c r="AU822">
        <f t="shared" ca="1" si="138"/>
        <v>-99</v>
      </c>
      <c r="AV822">
        <f t="shared" ca="1" si="139"/>
        <v>-99</v>
      </c>
      <c r="AW822">
        <f ca="1">IF(AND($AT822&lt;3,OFFSET(DATA!$C$14,$AS822,0)=AW$6),$AV822,dNULL)</f>
        <v>-99</v>
      </c>
      <c r="AX822">
        <f ca="1">IF(AND($AT822&lt;3,OFFSET(DATA!$C$14,$AS822,0)=AX$6),$AV822,dNULL)</f>
        <v>-99</v>
      </c>
      <c r="AY822">
        <f ca="1">IF(AND($AT822&lt;3,OFFSET(DATA!$C$14,$AS822,0)=AY$6),$AV822,dNULL)</f>
        <v>-99</v>
      </c>
      <c r="AZ822">
        <f ca="1">IF(AND($AT822&lt;3,OFFSET(DATA!$C$14,$AS822,0)=AZ$6),$AV822,dNULL)</f>
        <v>-99</v>
      </c>
      <c r="BA822">
        <f ca="1">IF(AND($AT822&lt;3,OFFSET(DATA!$C$14,$AS822,0)=BA$6),$AV822,dNULL)</f>
        <v>-99</v>
      </c>
      <c r="BB822">
        <f ca="1">IF(AND($AT822&lt;3,OFFSET(DATA!$C$14,$AS822,0)=BB$6),$AV822,dNULL)</f>
        <v>-99</v>
      </c>
      <c r="BC822">
        <f ca="1">IF(AND($AT822&lt;3,OFFSET(DATA!$C$14,$AS822,0)=BC$6),$AV822,dNULL)</f>
        <v>-99</v>
      </c>
      <c r="BD822">
        <f ca="1">IF(AND($AT822&lt;3,OFFSET(DATA!$C$14,$AS822,0)=BD$6),$AV822,dNULL)</f>
        <v>-99</v>
      </c>
      <c r="BE822">
        <f ca="1">IF(AND($AT822&lt;3,OFFSET(DATA!$C$14,$AS822,0)=BE$6),$AV822,dNULL)</f>
        <v>-99</v>
      </c>
      <c r="BF822">
        <f ca="1">IF(AND($AT822&lt;3,OFFSET(DATA!$C$14,$AS822,0)=BF$6),$AV822,dNULL)</f>
        <v>-99</v>
      </c>
      <c r="BG822">
        <f ca="1">IF(AND($AT822&lt;3,OFFSET(DATA!$C$14,$AS822,0)=BG$6),$AV822,dNULL)</f>
        <v>-99</v>
      </c>
      <c r="BH822">
        <f ca="1">IF(AND($AT822&lt;3,OFFSET(DATA!$C$14,$AS822,0)=BH$6),$AV822,dNULL)</f>
        <v>-99</v>
      </c>
    </row>
    <row r="823" spans="45:60" x14ac:dyDescent="0.25">
      <c r="AS823">
        <f t="shared" si="136"/>
        <v>7</v>
      </c>
      <c r="AT823">
        <f t="shared" si="137"/>
        <v>9</v>
      </c>
      <c r="AU823">
        <f t="shared" ca="1" si="138"/>
        <v>-99</v>
      </c>
      <c r="AV823">
        <f t="shared" ca="1" si="139"/>
        <v>-99</v>
      </c>
      <c r="AW823">
        <f ca="1">IF(AND($AT823&lt;3,OFFSET(DATA!$C$14,$AS823,0)=AW$6),$AV823,dNULL)</f>
        <v>-99</v>
      </c>
      <c r="AX823">
        <f ca="1">IF(AND($AT823&lt;3,OFFSET(DATA!$C$14,$AS823,0)=AX$6),$AV823,dNULL)</f>
        <v>-99</v>
      </c>
      <c r="AY823">
        <f ca="1">IF(AND($AT823&lt;3,OFFSET(DATA!$C$14,$AS823,0)=AY$6),$AV823,dNULL)</f>
        <v>-99</v>
      </c>
      <c r="AZ823">
        <f ca="1">IF(AND($AT823&lt;3,OFFSET(DATA!$C$14,$AS823,0)=AZ$6),$AV823,dNULL)</f>
        <v>-99</v>
      </c>
      <c r="BA823">
        <f ca="1">IF(AND($AT823&lt;3,OFFSET(DATA!$C$14,$AS823,0)=BA$6),$AV823,dNULL)</f>
        <v>-99</v>
      </c>
      <c r="BB823">
        <f ca="1">IF(AND($AT823&lt;3,OFFSET(DATA!$C$14,$AS823,0)=BB$6),$AV823,dNULL)</f>
        <v>-99</v>
      </c>
      <c r="BC823">
        <f ca="1">IF(AND($AT823&lt;3,OFFSET(DATA!$C$14,$AS823,0)=BC$6),$AV823,dNULL)</f>
        <v>-99</v>
      </c>
      <c r="BD823">
        <f ca="1">IF(AND($AT823&lt;3,OFFSET(DATA!$C$14,$AS823,0)=BD$6),$AV823,dNULL)</f>
        <v>-99</v>
      </c>
      <c r="BE823">
        <f ca="1">IF(AND($AT823&lt;3,OFFSET(DATA!$C$14,$AS823,0)=BE$6),$AV823,dNULL)</f>
        <v>-99</v>
      </c>
      <c r="BF823">
        <f ca="1">IF(AND($AT823&lt;3,OFFSET(DATA!$C$14,$AS823,0)=BF$6),$AV823,dNULL)</f>
        <v>-99</v>
      </c>
      <c r="BG823">
        <f ca="1">IF(AND($AT823&lt;3,OFFSET(DATA!$C$14,$AS823,0)=BG$6),$AV823,dNULL)</f>
        <v>-99</v>
      </c>
      <c r="BH823">
        <f ca="1">IF(AND($AT823&lt;3,OFFSET(DATA!$C$14,$AS823,0)=BH$6),$AV823,dNULL)</f>
        <v>-99</v>
      </c>
    </row>
    <row r="824" spans="45:60" x14ac:dyDescent="0.25">
      <c r="AS824">
        <f t="shared" si="136"/>
        <v>8</v>
      </c>
      <c r="AT824">
        <f t="shared" si="137"/>
        <v>9</v>
      </c>
      <c r="AU824">
        <f t="shared" ca="1" si="138"/>
        <v>-99</v>
      </c>
      <c r="AV824">
        <f t="shared" ca="1" si="139"/>
        <v>-99</v>
      </c>
      <c r="AW824">
        <f ca="1">IF(AND($AT824&lt;3,OFFSET(DATA!$C$14,$AS824,0)=AW$6),$AV824,dNULL)</f>
        <v>-99</v>
      </c>
      <c r="AX824">
        <f ca="1">IF(AND($AT824&lt;3,OFFSET(DATA!$C$14,$AS824,0)=AX$6),$AV824,dNULL)</f>
        <v>-99</v>
      </c>
      <c r="AY824">
        <f ca="1">IF(AND($AT824&lt;3,OFFSET(DATA!$C$14,$AS824,0)=AY$6),$AV824,dNULL)</f>
        <v>-99</v>
      </c>
      <c r="AZ824">
        <f ca="1">IF(AND($AT824&lt;3,OFFSET(DATA!$C$14,$AS824,0)=AZ$6),$AV824,dNULL)</f>
        <v>-99</v>
      </c>
      <c r="BA824">
        <f ca="1">IF(AND($AT824&lt;3,OFFSET(DATA!$C$14,$AS824,0)=BA$6),$AV824,dNULL)</f>
        <v>-99</v>
      </c>
      <c r="BB824">
        <f ca="1">IF(AND($AT824&lt;3,OFFSET(DATA!$C$14,$AS824,0)=BB$6),$AV824,dNULL)</f>
        <v>-99</v>
      </c>
      <c r="BC824">
        <f ca="1">IF(AND($AT824&lt;3,OFFSET(DATA!$C$14,$AS824,0)=BC$6),$AV824,dNULL)</f>
        <v>-99</v>
      </c>
      <c r="BD824">
        <f ca="1">IF(AND($AT824&lt;3,OFFSET(DATA!$C$14,$AS824,0)=BD$6),$AV824,dNULL)</f>
        <v>-99</v>
      </c>
      <c r="BE824">
        <f ca="1">IF(AND($AT824&lt;3,OFFSET(DATA!$C$14,$AS824,0)=BE$6),$AV824,dNULL)</f>
        <v>-99</v>
      </c>
      <c r="BF824">
        <f ca="1">IF(AND($AT824&lt;3,OFFSET(DATA!$C$14,$AS824,0)=BF$6),$AV824,dNULL)</f>
        <v>-99</v>
      </c>
      <c r="BG824">
        <f ca="1">IF(AND($AT824&lt;3,OFFSET(DATA!$C$14,$AS824,0)=BG$6),$AV824,dNULL)</f>
        <v>-99</v>
      </c>
      <c r="BH824">
        <f ca="1">IF(AND($AT824&lt;3,OFFSET(DATA!$C$14,$AS824,0)=BH$6),$AV824,dNULL)</f>
        <v>-99</v>
      </c>
    </row>
    <row r="825" spans="45:60" x14ac:dyDescent="0.25">
      <c r="AS825">
        <f t="shared" si="136"/>
        <v>9</v>
      </c>
      <c r="AT825">
        <f t="shared" si="137"/>
        <v>9</v>
      </c>
      <c r="AU825">
        <f t="shared" ca="1" si="138"/>
        <v>-99</v>
      </c>
      <c r="AV825">
        <f t="shared" ca="1" si="139"/>
        <v>-99</v>
      </c>
      <c r="AW825">
        <f ca="1">IF(AND($AT825&lt;3,OFFSET(DATA!$C$14,$AS825,0)=AW$6),$AV825,dNULL)</f>
        <v>-99</v>
      </c>
      <c r="AX825">
        <f ca="1">IF(AND($AT825&lt;3,OFFSET(DATA!$C$14,$AS825,0)=AX$6),$AV825,dNULL)</f>
        <v>-99</v>
      </c>
      <c r="AY825">
        <f ca="1">IF(AND($AT825&lt;3,OFFSET(DATA!$C$14,$AS825,0)=AY$6),$AV825,dNULL)</f>
        <v>-99</v>
      </c>
      <c r="AZ825">
        <f ca="1">IF(AND($AT825&lt;3,OFFSET(DATA!$C$14,$AS825,0)=AZ$6),$AV825,dNULL)</f>
        <v>-99</v>
      </c>
      <c r="BA825">
        <f ca="1">IF(AND($AT825&lt;3,OFFSET(DATA!$C$14,$AS825,0)=BA$6),$AV825,dNULL)</f>
        <v>-99</v>
      </c>
      <c r="BB825">
        <f ca="1">IF(AND($AT825&lt;3,OFFSET(DATA!$C$14,$AS825,0)=BB$6),$AV825,dNULL)</f>
        <v>-99</v>
      </c>
      <c r="BC825">
        <f ca="1">IF(AND($AT825&lt;3,OFFSET(DATA!$C$14,$AS825,0)=BC$6),$AV825,dNULL)</f>
        <v>-99</v>
      </c>
      <c r="BD825">
        <f ca="1">IF(AND($AT825&lt;3,OFFSET(DATA!$C$14,$AS825,0)=BD$6),$AV825,dNULL)</f>
        <v>-99</v>
      </c>
      <c r="BE825">
        <f ca="1">IF(AND($AT825&lt;3,OFFSET(DATA!$C$14,$AS825,0)=BE$6),$AV825,dNULL)</f>
        <v>-99</v>
      </c>
      <c r="BF825">
        <f ca="1">IF(AND($AT825&lt;3,OFFSET(DATA!$C$14,$AS825,0)=BF$6),$AV825,dNULL)</f>
        <v>-99</v>
      </c>
      <c r="BG825">
        <f ca="1">IF(AND($AT825&lt;3,OFFSET(DATA!$C$14,$AS825,0)=BG$6),$AV825,dNULL)</f>
        <v>-99</v>
      </c>
      <c r="BH825">
        <f ca="1">IF(AND($AT825&lt;3,OFFSET(DATA!$C$14,$AS825,0)=BH$6),$AV825,dNULL)</f>
        <v>-99</v>
      </c>
    </row>
    <row r="826" spans="45:60" x14ac:dyDescent="0.25">
      <c r="AS826">
        <f t="shared" si="136"/>
        <v>10</v>
      </c>
      <c r="AT826">
        <f t="shared" si="137"/>
        <v>9</v>
      </c>
      <c r="AU826">
        <f t="shared" ca="1" si="138"/>
        <v>-99</v>
      </c>
      <c r="AV826">
        <f t="shared" ca="1" si="139"/>
        <v>-99</v>
      </c>
      <c r="AW826">
        <f ca="1">IF(AND($AT826&lt;3,OFFSET(DATA!$C$14,$AS826,0)=AW$6),$AV826,dNULL)</f>
        <v>-99</v>
      </c>
      <c r="AX826">
        <f ca="1">IF(AND($AT826&lt;3,OFFSET(DATA!$C$14,$AS826,0)=AX$6),$AV826,dNULL)</f>
        <v>-99</v>
      </c>
      <c r="AY826">
        <f ca="1">IF(AND($AT826&lt;3,OFFSET(DATA!$C$14,$AS826,0)=AY$6),$AV826,dNULL)</f>
        <v>-99</v>
      </c>
      <c r="AZ826">
        <f ca="1">IF(AND($AT826&lt;3,OFFSET(DATA!$C$14,$AS826,0)=AZ$6),$AV826,dNULL)</f>
        <v>-99</v>
      </c>
      <c r="BA826">
        <f ca="1">IF(AND($AT826&lt;3,OFFSET(DATA!$C$14,$AS826,0)=BA$6),$AV826,dNULL)</f>
        <v>-99</v>
      </c>
      <c r="BB826">
        <f ca="1">IF(AND($AT826&lt;3,OFFSET(DATA!$C$14,$AS826,0)=BB$6),$AV826,dNULL)</f>
        <v>-99</v>
      </c>
      <c r="BC826">
        <f ca="1">IF(AND($AT826&lt;3,OFFSET(DATA!$C$14,$AS826,0)=BC$6),$AV826,dNULL)</f>
        <v>-99</v>
      </c>
      <c r="BD826">
        <f ca="1">IF(AND($AT826&lt;3,OFFSET(DATA!$C$14,$AS826,0)=BD$6),$AV826,dNULL)</f>
        <v>-99</v>
      </c>
      <c r="BE826">
        <f ca="1">IF(AND($AT826&lt;3,OFFSET(DATA!$C$14,$AS826,0)=BE$6),$AV826,dNULL)</f>
        <v>-99</v>
      </c>
      <c r="BF826">
        <f ca="1">IF(AND($AT826&lt;3,OFFSET(DATA!$C$14,$AS826,0)=BF$6),$AV826,dNULL)</f>
        <v>-99</v>
      </c>
      <c r="BG826">
        <f ca="1">IF(AND($AT826&lt;3,OFFSET(DATA!$C$14,$AS826,0)=BG$6),$AV826,dNULL)</f>
        <v>-99</v>
      </c>
      <c r="BH826">
        <f ca="1">IF(AND($AT826&lt;3,OFFSET(DATA!$C$14,$AS826,0)=BH$6),$AV826,dNULL)</f>
        <v>-99</v>
      </c>
    </row>
    <row r="827" spans="45:60" x14ac:dyDescent="0.25">
      <c r="AS827">
        <f t="shared" si="136"/>
        <v>11</v>
      </c>
      <c r="AT827">
        <f t="shared" si="137"/>
        <v>9</v>
      </c>
      <c r="AU827">
        <f t="shared" ca="1" si="138"/>
        <v>-99</v>
      </c>
      <c r="AV827">
        <f t="shared" ca="1" si="139"/>
        <v>-99</v>
      </c>
      <c r="AW827">
        <f ca="1">IF(AND($AT827&lt;3,OFFSET(DATA!$C$14,$AS827,0)=AW$6),$AV827,dNULL)</f>
        <v>-99</v>
      </c>
      <c r="AX827">
        <f ca="1">IF(AND($AT827&lt;3,OFFSET(DATA!$C$14,$AS827,0)=AX$6),$AV827,dNULL)</f>
        <v>-99</v>
      </c>
      <c r="AY827">
        <f ca="1">IF(AND($AT827&lt;3,OFFSET(DATA!$C$14,$AS827,0)=AY$6),$AV827,dNULL)</f>
        <v>-99</v>
      </c>
      <c r="AZ827">
        <f ca="1">IF(AND($AT827&lt;3,OFFSET(DATA!$C$14,$AS827,0)=AZ$6),$AV827,dNULL)</f>
        <v>-99</v>
      </c>
      <c r="BA827">
        <f ca="1">IF(AND($AT827&lt;3,OFFSET(DATA!$C$14,$AS827,0)=BA$6),$AV827,dNULL)</f>
        <v>-99</v>
      </c>
      <c r="BB827">
        <f ca="1">IF(AND($AT827&lt;3,OFFSET(DATA!$C$14,$AS827,0)=BB$6),$AV827,dNULL)</f>
        <v>-99</v>
      </c>
      <c r="BC827">
        <f ca="1">IF(AND($AT827&lt;3,OFFSET(DATA!$C$14,$AS827,0)=BC$6),$AV827,dNULL)</f>
        <v>-99</v>
      </c>
      <c r="BD827">
        <f ca="1">IF(AND($AT827&lt;3,OFFSET(DATA!$C$14,$AS827,0)=BD$6),$AV827,dNULL)</f>
        <v>-99</v>
      </c>
      <c r="BE827">
        <f ca="1">IF(AND($AT827&lt;3,OFFSET(DATA!$C$14,$AS827,0)=BE$6),$AV827,dNULL)</f>
        <v>-99</v>
      </c>
      <c r="BF827">
        <f ca="1">IF(AND($AT827&lt;3,OFFSET(DATA!$C$14,$AS827,0)=BF$6),$AV827,dNULL)</f>
        <v>-99</v>
      </c>
      <c r="BG827">
        <f ca="1">IF(AND($AT827&lt;3,OFFSET(DATA!$C$14,$AS827,0)=BG$6),$AV827,dNULL)</f>
        <v>-99</v>
      </c>
      <c r="BH827">
        <f ca="1">IF(AND($AT827&lt;3,OFFSET(DATA!$C$14,$AS827,0)=BH$6),$AV827,dNULL)</f>
        <v>-99</v>
      </c>
    </row>
    <row r="828" spans="45:60" x14ac:dyDescent="0.25">
      <c r="AS828">
        <f t="shared" si="136"/>
        <v>12</v>
      </c>
      <c r="AT828">
        <f t="shared" si="137"/>
        <v>9</v>
      </c>
      <c r="AU828">
        <f t="shared" ca="1" si="138"/>
        <v>-99</v>
      </c>
      <c r="AV828">
        <f t="shared" ca="1" si="139"/>
        <v>-99</v>
      </c>
      <c r="AW828">
        <f ca="1">IF(AND($AT828&lt;3,OFFSET(DATA!$C$14,$AS828,0)=AW$6),$AV828,dNULL)</f>
        <v>-99</v>
      </c>
      <c r="AX828">
        <f ca="1">IF(AND($AT828&lt;3,OFFSET(DATA!$C$14,$AS828,0)=AX$6),$AV828,dNULL)</f>
        <v>-99</v>
      </c>
      <c r="AY828">
        <f ca="1">IF(AND($AT828&lt;3,OFFSET(DATA!$C$14,$AS828,0)=AY$6),$AV828,dNULL)</f>
        <v>-99</v>
      </c>
      <c r="AZ828">
        <f ca="1">IF(AND($AT828&lt;3,OFFSET(DATA!$C$14,$AS828,0)=AZ$6),$AV828,dNULL)</f>
        <v>-99</v>
      </c>
      <c r="BA828">
        <f ca="1">IF(AND($AT828&lt;3,OFFSET(DATA!$C$14,$AS828,0)=BA$6),$AV828,dNULL)</f>
        <v>-99</v>
      </c>
      <c r="BB828">
        <f ca="1">IF(AND($AT828&lt;3,OFFSET(DATA!$C$14,$AS828,0)=BB$6),$AV828,dNULL)</f>
        <v>-99</v>
      </c>
      <c r="BC828">
        <f ca="1">IF(AND($AT828&lt;3,OFFSET(DATA!$C$14,$AS828,0)=BC$6),$AV828,dNULL)</f>
        <v>-99</v>
      </c>
      <c r="BD828">
        <f ca="1">IF(AND($AT828&lt;3,OFFSET(DATA!$C$14,$AS828,0)=BD$6),$AV828,dNULL)</f>
        <v>-99</v>
      </c>
      <c r="BE828">
        <f ca="1">IF(AND($AT828&lt;3,OFFSET(DATA!$C$14,$AS828,0)=BE$6),$AV828,dNULL)</f>
        <v>-99</v>
      </c>
      <c r="BF828">
        <f ca="1">IF(AND($AT828&lt;3,OFFSET(DATA!$C$14,$AS828,0)=BF$6),$AV828,dNULL)</f>
        <v>-99</v>
      </c>
      <c r="BG828">
        <f ca="1">IF(AND($AT828&lt;3,OFFSET(DATA!$C$14,$AS828,0)=BG$6),$AV828,dNULL)</f>
        <v>-99</v>
      </c>
      <c r="BH828">
        <f ca="1">IF(AND($AT828&lt;3,OFFSET(DATA!$C$14,$AS828,0)=BH$6),$AV828,dNULL)</f>
        <v>-99</v>
      </c>
    </row>
    <row r="829" spans="45:60" x14ac:dyDescent="0.25">
      <c r="AS829">
        <f t="shared" si="136"/>
        <v>13</v>
      </c>
      <c r="AT829">
        <f t="shared" si="137"/>
        <v>9</v>
      </c>
      <c r="AU829">
        <f t="shared" ca="1" si="138"/>
        <v>-99</v>
      </c>
      <c r="AV829">
        <f t="shared" ca="1" si="139"/>
        <v>-99</v>
      </c>
      <c r="AW829">
        <f ca="1">IF(AND($AT829&lt;3,OFFSET(DATA!$C$14,$AS829,0)=AW$6),$AV829,dNULL)</f>
        <v>-99</v>
      </c>
      <c r="AX829">
        <f ca="1">IF(AND($AT829&lt;3,OFFSET(DATA!$C$14,$AS829,0)=AX$6),$AV829,dNULL)</f>
        <v>-99</v>
      </c>
      <c r="AY829">
        <f ca="1">IF(AND($AT829&lt;3,OFFSET(DATA!$C$14,$AS829,0)=AY$6),$AV829,dNULL)</f>
        <v>-99</v>
      </c>
      <c r="AZ829">
        <f ca="1">IF(AND($AT829&lt;3,OFFSET(DATA!$C$14,$AS829,0)=AZ$6),$AV829,dNULL)</f>
        <v>-99</v>
      </c>
      <c r="BA829">
        <f ca="1">IF(AND($AT829&lt;3,OFFSET(DATA!$C$14,$AS829,0)=BA$6),$AV829,dNULL)</f>
        <v>-99</v>
      </c>
      <c r="BB829">
        <f ca="1">IF(AND($AT829&lt;3,OFFSET(DATA!$C$14,$AS829,0)=BB$6),$AV829,dNULL)</f>
        <v>-99</v>
      </c>
      <c r="BC829">
        <f ca="1">IF(AND($AT829&lt;3,OFFSET(DATA!$C$14,$AS829,0)=BC$6),$AV829,dNULL)</f>
        <v>-99</v>
      </c>
      <c r="BD829">
        <f ca="1">IF(AND($AT829&lt;3,OFFSET(DATA!$C$14,$AS829,0)=BD$6),$AV829,dNULL)</f>
        <v>-99</v>
      </c>
      <c r="BE829">
        <f ca="1">IF(AND($AT829&lt;3,OFFSET(DATA!$C$14,$AS829,0)=BE$6),$AV829,dNULL)</f>
        <v>-99</v>
      </c>
      <c r="BF829">
        <f ca="1">IF(AND($AT829&lt;3,OFFSET(DATA!$C$14,$AS829,0)=BF$6),$AV829,dNULL)</f>
        <v>-99</v>
      </c>
      <c r="BG829">
        <f ca="1">IF(AND($AT829&lt;3,OFFSET(DATA!$C$14,$AS829,0)=BG$6),$AV829,dNULL)</f>
        <v>-99</v>
      </c>
      <c r="BH829">
        <f ca="1">IF(AND($AT829&lt;3,OFFSET(DATA!$C$14,$AS829,0)=BH$6),$AV829,dNULL)</f>
        <v>-99</v>
      </c>
    </row>
    <row r="830" spans="45:60" x14ac:dyDescent="0.25">
      <c r="AS830">
        <f t="shared" si="136"/>
        <v>14</v>
      </c>
      <c r="AT830">
        <f t="shared" si="137"/>
        <v>9</v>
      </c>
      <c r="AU830">
        <f t="shared" ca="1" si="138"/>
        <v>-99</v>
      </c>
      <c r="AV830">
        <f t="shared" ca="1" si="139"/>
        <v>-99</v>
      </c>
      <c r="AW830">
        <f ca="1">IF(AND($AT830&lt;3,OFFSET(DATA!$C$14,$AS830,0)=AW$6),$AV830,dNULL)</f>
        <v>-99</v>
      </c>
      <c r="AX830">
        <f ca="1">IF(AND($AT830&lt;3,OFFSET(DATA!$C$14,$AS830,0)=AX$6),$AV830,dNULL)</f>
        <v>-99</v>
      </c>
      <c r="AY830">
        <f ca="1">IF(AND($AT830&lt;3,OFFSET(DATA!$C$14,$AS830,0)=AY$6),$AV830,dNULL)</f>
        <v>-99</v>
      </c>
      <c r="AZ830">
        <f ca="1">IF(AND($AT830&lt;3,OFFSET(DATA!$C$14,$AS830,0)=AZ$6),$AV830,dNULL)</f>
        <v>-99</v>
      </c>
      <c r="BA830">
        <f ca="1">IF(AND($AT830&lt;3,OFFSET(DATA!$C$14,$AS830,0)=BA$6),$AV830,dNULL)</f>
        <v>-99</v>
      </c>
      <c r="BB830">
        <f ca="1">IF(AND($AT830&lt;3,OFFSET(DATA!$C$14,$AS830,0)=BB$6),$AV830,dNULL)</f>
        <v>-99</v>
      </c>
      <c r="BC830">
        <f ca="1">IF(AND($AT830&lt;3,OFFSET(DATA!$C$14,$AS830,0)=BC$6),$AV830,dNULL)</f>
        <v>-99</v>
      </c>
      <c r="BD830">
        <f ca="1">IF(AND($AT830&lt;3,OFFSET(DATA!$C$14,$AS830,0)=BD$6),$AV830,dNULL)</f>
        <v>-99</v>
      </c>
      <c r="BE830">
        <f ca="1">IF(AND($AT830&lt;3,OFFSET(DATA!$C$14,$AS830,0)=BE$6),$AV830,dNULL)</f>
        <v>-99</v>
      </c>
      <c r="BF830">
        <f ca="1">IF(AND($AT830&lt;3,OFFSET(DATA!$C$14,$AS830,0)=BF$6),$AV830,dNULL)</f>
        <v>-99</v>
      </c>
      <c r="BG830">
        <f ca="1">IF(AND($AT830&lt;3,OFFSET(DATA!$C$14,$AS830,0)=BG$6),$AV830,dNULL)</f>
        <v>-99</v>
      </c>
      <c r="BH830">
        <f ca="1">IF(AND($AT830&lt;3,OFFSET(DATA!$C$14,$AS830,0)=BH$6),$AV830,dNULL)</f>
        <v>-99</v>
      </c>
    </row>
    <row r="831" spans="45:60" x14ac:dyDescent="0.25">
      <c r="AS831">
        <f t="shared" si="136"/>
        <v>15</v>
      </c>
      <c r="AT831">
        <f t="shared" si="137"/>
        <v>9</v>
      </c>
      <c r="AU831">
        <f t="shared" ca="1" si="138"/>
        <v>-99</v>
      </c>
      <c r="AV831">
        <f t="shared" ca="1" si="139"/>
        <v>-99</v>
      </c>
      <c r="AW831">
        <f ca="1">IF(AND($AT831&lt;3,OFFSET(DATA!$C$14,$AS831,0)=AW$6),$AV831,dNULL)</f>
        <v>-99</v>
      </c>
      <c r="AX831">
        <f ca="1">IF(AND($AT831&lt;3,OFFSET(DATA!$C$14,$AS831,0)=AX$6),$AV831,dNULL)</f>
        <v>-99</v>
      </c>
      <c r="AY831">
        <f ca="1">IF(AND($AT831&lt;3,OFFSET(DATA!$C$14,$AS831,0)=AY$6),$AV831,dNULL)</f>
        <v>-99</v>
      </c>
      <c r="AZ831">
        <f ca="1">IF(AND($AT831&lt;3,OFFSET(DATA!$C$14,$AS831,0)=AZ$6),$AV831,dNULL)</f>
        <v>-99</v>
      </c>
      <c r="BA831">
        <f ca="1">IF(AND($AT831&lt;3,OFFSET(DATA!$C$14,$AS831,0)=BA$6),$AV831,dNULL)</f>
        <v>-99</v>
      </c>
      <c r="BB831">
        <f ca="1">IF(AND($AT831&lt;3,OFFSET(DATA!$C$14,$AS831,0)=BB$6),$AV831,dNULL)</f>
        <v>-99</v>
      </c>
      <c r="BC831">
        <f ca="1">IF(AND($AT831&lt;3,OFFSET(DATA!$C$14,$AS831,0)=BC$6),$AV831,dNULL)</f>
        <v>-99</v>
      </c>
      <c r="BD831">
        <f ca="1">IF(AND($AT831&lt;3,OFFSET(DATA!$C$14,$AS831,0)=BD$6),$AV831,dNULL)</f>
        <v>-99</v>
      </c>
      <c r="BE831">
        <f ca="1">IF(AND($AT831&lt;3,OFFSET(DATA!$C$14,$AS831,0)=BE$6),$AV831,dNULL)</f>
        <v>-99</v>
      </c>
      <c r="BF831">
        <f ca="1">IF(AND($AT831&lt;3,OFFSET(DATA!$C$14,$AS831,0)=BF$6),$AV831,dNULL)</f>
        <v>-99</v>
      </c>
      <c r="BG831">
        <f ca="1">IF(AND($AT831&lt;3,OFFSET(DATA!$C$14,$AS831,0)=BG$6),$AV831,dNULL)</f>
        <v>-99</v>
      </c>
      <c r="BH831">
        <f ca="1">IF(AND($AT831&lt;3,OFFSET(DATA!$C$14,$AS831,0)=BH$6),$AV831,dNULL)</f>
        <v>-99</v>
      </c>
    </row>
    <row r="832" spans="45:60" x14ac:dyDescent="0.25">
      <c r="AS832">
        <f t="shared" si="136"/>
        <v>16</v>
      </c>
      <c r="AT832">
        <f t="shared" si="137"/>
        <v>9</v>
      </c>
      <c r="AU832">
        <f t="shared" ca="1" si="138"/>
        <v>-99</v>
      </c>
      <c r="AV832">
        <f t="shared" ca="1" si="139"/>
        <v>-99</v>
      </c>
      <c r="AW832">
        <f ca="1">IF(AND($AT832&lt;3,OFFSET(DATA!$C$14,$AS832,0)=AW$6),$AV832,dNULL)</f>
        <v>-99</v>
      </c>
      <c r="AX832">
        <f ca="1">IF(AND($AT832&lt;3,OFFSET(DATA!$C$14,$AS832,0)=AX$6),$AV832,dNULL)</f>
        <v>-99</v>
      </c>
      <c r="AY832">
        <f ca="1">IF(AND($AT832&lt;3,OFFSET(DATA!$C$14,$AS832,0)=AY$6),$AV832,dNULL)</f>
        <v>-99</v>
      </c>
      <c r="AZ832">
        <f ca="1">IF(AND($AT832&lt;3,OFFSET(DATA!$C$14,$AS832,0)=AZ$6),$AV832,dNULL)</f>
        <v>-99</v>
      </c>
      <c r="BA832">
        <f ca="1">IF(AND($AT832&lt;3,OFFSET(DATA!$C$14,$AS832,0)=BA$6),$AV832,dNULL)</f>
        <v>-99</v>
      </c>
      <c r="BB832">
        <f ca="1">IF(AND($AT832&lt;3,OFFSET(DATA!$C$14,$AS832,0)=BB$6),$AV832,dNULL)</f>
        <v>-99</v>
      </c>
      <c r="BC832">
        <f ca="1">IF(AND($AT832&lt;3,OFFSET(DATA!$C$14,$AS832,0)=BC$6),$AV832,dNULL)</f>
        <v>-99</v>
      </c>
      <c r="BD832">
        <f ca="1">IF(AND($AT832&lt;3,OFFSET(DATA!$C$14,$AS832,0)=BD$6),$AV832,dNULL)</f>
        <v>-99</v>
      </c>
      <c r="BE832">
        <f ca="1">IF(AND($AT832&lt;3,OFFSET(DATA!$C$14,$AS832,0)=BE$6),$AV832,dNULL)</f>
        <v>-99</v>
      </c>
      <c r="BF832">
        <f ca="1">IF(AND($AT832&lt;3,OFFSET(DATA!$C$14,$AS832,0)=BF$6),$AV832,dNULL)</f>
        <v>-99</v>
      </c>
      <c r="BG832">
        <f ca="1">IF(AND($AT832&lt;3,OFFSET(DATA!$C$14,$AS832,0)=BG$6),$AV832,dNULL)</f>
        <v>-99</v>
      </c>
      <c r="BH832">
        <f ca="1">IF(AND($AT832&lt;3,OFFSET(DATA!$C$14,$AS832,0)=BH$6),$AV832,dNULL)</f>
        <v>-99</v>
      </c>
    </row>
    <row r="833" spans="45:60" x14ac:dyDescent="0.25">
      <c r="AS833">
        <f t="shared" si="136"/>
        <v>17</v>
      </c>
      <c r="AT833">
        <f t="shared" si="137"/>
        <v>9</v>
      </c>
      <c r="AU833">
        <f t="shared" ca="1" si="138"/>
        <v>-99</v>
      </c>
      <c r="AV833">
        <f t="shared" ca="1" si="139"/>
        <v>-99</v>
      </c>
      <c r="AW833">
        <f ca="1">IF(AND($AT833&lt;3,OFFSET(DATA!$C$14,$AS833,0)=AW$6),$AV833,dNULL)</f>
        <v>-99</v>
      </c>
      <c r="AX833">
        <f ca="1">IF(AND($AT833&lt;3,OFFSET(DATA!$C$14,$AS833,0)=AX$6),$AV833,dNULL)</f>
        <v>-99</v>
      </c>
      <c r="AY833">
        <f ca="1">IF(AND($AT833&lt;3,OFFSET(DATA!$C$14,$AS833,0)=AY$6),$AV833,dNULL)</f>
        <v>-99</v>
      </c>
      <c r="AZ833">
        <f ca="1">IF(AND($AT833&lt;3,OFFSET(DATA!$C$14,$AS833,0)=AZ$6),$AV833,dNULL)</f>
        <v>-99</v>
      </c>
      <c r="BA833">
        <f ca="1">IF(AND($AT833&lt;3,OFFSET(DATA!$C$14,$AS833,0)=BA$6),$AV833,dNULL)</f>
        <v>-99</v>
      </c>
      <c r="BB833">
        <f ca="1">IF(AND($AT833&lt;3,OFFSET(DATA!$C$14,$AS833,0)=BB$6),$AV833,dNULL)</f>
        <v>-99</v>
      </c>
      <c r="BC833">
        <f ca="1">IF(AND($AT833&lt;3,OFFSET(DATA!$C$14,$AS833,0)=BC$6),$AV833,dNULL)</f>
        <v>-99</v>
      </c>
      <c r="BD833">
        <f ca="1">IF(AND($AT833&lt;3,OFFSET(DATA!$C$14,$AS833,0)=BD$6),$AV833,dNULL)</f>
        <v>-99</v>
      </c>
      <c r="BE833">
        <f ca="1">IF(AND($AT833&lt;3,OFFSET(DATA!$C$14,$AS833,0)=BE$6),$AV833,dNULL)</f>
        <v>-99</v>
      </c>
      <c r="BF833">
        <f ca="1">IF(AND($AT833&lt;3,OFFSET(DATA!$C$14,$AS833,0)=BF$6),$AV833,dNULL)</f>
        <v>-99</v>
      </c>
      <c r="BG833">
        <f ca="1">IF(AND($AT833&lt;3,OFFSET(DATA!$C$14,$AS833,0)=BG$6),$AV833,dNULL)</f>
        <v>-99</v>
      </c>
      <c r="BH833">
        <f ca="1">IF(AND($AT833&lt;3,OFFSET(DATA!$C$14,$AS833,0)=BH$6),$AV833,dNULL)</f>
        <v>-99</v>
      </c>
    </row>
    <row r="834" spans="45:60" x14ac:dyDescent="0.25">
      <c r="AS834">
        <f t="shared" si="136"/>
        <v>18</v>
      </c>
      <c r="AT834">
        <f t="shared" si="137"/>
        <v>9</v>
      </c>
      <c r="AU834">
        <f t="shared" ca="1" si="138"/>
        <v>-99</v>
      </c>
      <c r="AV834">
        <f t="shared" ca="1" si="139"/>
        <v>-99</v>
      </c>
      <c r="AW834">
        <f ca="1">IF(AND($AT834&lt;3,OFFSET(DATA!$C$14,$AS834,0)=AW$6),$AV834,dNULL)</f>
        <v>-99</v>
      </c>
      <c r="AX834">
        <f ca="1">IF(AND($AT834&lt;3,OFFSET(DATA!$C$14,$AS834,0)=AX$6),$AV834,dNULL)</f>
        <v>-99</v>
      </c>
      <c r="AY834">
        <f ca="1">IF(AND($AT834&lt;3,OFFSET(DATA!$C$14,$AS834,0)=AY$6),$AV834,dNULL)</f>
        <v>-99</v>
      </c>
      <c r="AZ834">
        <f ca="1">IF(AND($AT834&lt;3,OFFSET(DATA!$C$14,$AS834,0)=AZ$6),$AV834,dNULL)</f>
        <v>-99</v>
      </c>
      <c r="BA834">
        <f ca="1">IF(AND($AT834&lt;3,OFFSET(DATA!$C$14,$AS834,0)=BA$6),$AV834,dNULL)</f>
        <v>-99</v>
      </c>
      <c r="BB834">
        <f ca="1">IF(AND($AT834&lt;3,OFFSET(DATA!$C$14,$AS834,0)=BB$6),$AV834,dNULL)</f>
        <v>-99</v>
      </c>
      <c r="BC834">
        <f ca="1">IF(AND($AT834&lt;3,OFFSET(DATA!$C$14,$AS834,0)=BC$6),$AV834,dNULL)</f>
        <v>-99</v>
      </c>
      <c r="BD834">
        <f ca="1">IF(AND($AT834&lt;3,OFFSET(DATA!$C$14,$AS834,0)=BD$6),$AV834,dNULL)</f>
        <v>-99</v>
      </c>
      <c r="BE834">
        <f ca="1">IF(AND($AT834&lt;3,OFFSET(DATA!$C$14,$AS834,0)=BE$6),$AV834,dNULL)</f>
        <v>-99</v>
      </c>
      <c r="BF834">
        <f ca="1">IF(AND($AT834&lt;3,OFFSET(DATA!$C$14,$AS834,0)=BF$6),$AV834,dNULL)</f>
        <v>-99</v>
      </c>
      <c r="BG834">
        <f ca="1">IF(AND($AT834&lt;3,OFFSET(DATA!$C$14,$AS834,0)=BG$6),$AV834,dNULL)</f>
        <v>-99</v>
      </c>
      <c r="BH834">
        <f ca="1">IF(AND($AT834&lt;3,OFFSET(DATA!$C$14,$AS834,0)=BH$6),$AV834,dNULL)</f>
        <v>-99</v>
      </c>
    </row>
    <row r="835" spans="45:60" x14ac:dyDescent="0.25">
      <c r="AS835">
        <f t="shared" si="136"/>
        <v>19</v>
      </c>
      <c r="AT835">
        <f t="shared" si="137"/>
        <v>9</v>
      </c>
      <c r="AU835">
        <f t="shared" ca="1" si="138"/>
        <v>-99</v>
      </c>
      <c r="AV835">
        <f t="shared" ca="1" si="139"/>
        <v>-99</v>
      </c>
      <c r="AW835">
        <f ca="1">IF(AND($AT835&lt;3,OFFSET(DATA!$C$14,$AS835,0)=AW$6),$AV835,dNULL)</f>
        <v>-99</v>
      </c>
      <c r="AX835">
        <f ca="1">IF(AND($AT835&lt;3,OFFSET(DATA!$C$14,$AS835,0)=AX$6),$AV835,dNULL)</f>
        <v>-99</v>
      </c>
      <c r="AY835">
        <f ca="1">IF(AND($AT835&lt;3,OFFSET(DATA!$C$14,$AS835,0)=AY$6),$AV835,dNULL)</f>
        <v>-99</v>
      </c>
      <c r="AZ835">
        <f ca="1">IF(AND($AT835&lt;3,OFFSET(DATA!$C$14,$AS835,0)=AZ$6),$AV835,dNULL)</f>
        <v>-99</v>
      </c>
      <c r="BA835">
        <f ca="1">IF(AND($AT835&lt;3,OFFSET(DATA!$C$14,$AS835,0)=BA$6),$AV835,dNULL)</f>
        <v>-99</v>
      </c>
      <c r="BB835">
        <f ca="1">IF(AND($AT835&lt;3,OFFSET(DATA!$C$14,$AS835,0)=BB$6),$AV835,dNULL)</f>
        <v>-99</v>
      </c>
      <c r="BC835">
        <f ca="1">IF(AND($AT835&lt;3,OFFSET(DATA!$C$14,$AS835,0)=BC$6),$AV835,dNULL)</f>
        <v>-99</v>
      </c>
      <c r="BD835">
        <f ca="1">IF(AND($AT835&lt;3,OFFSET(DATA!$C$14,$AS835,0)=BD$6),$AV835,dNULL)</f>
        <v>-99</v>
      </c>
      <c r="BE835">
        <f ca="1">IF(AND($AT835&lt;3,OFFSET(DATA!$C$14,$AS835,0)=BE$6),$AV835,dNULL)</f>
        <v>-99</v>
      </c>
      <c r="BF835">
        <f ca="1">IF(AND($AT835&lt;3,OFFSET(DATA!$C$14,$AS835,0)=BF$6),$AV835,dNULL)</f>
        <v>-99</v>
      </c>
      <c r="BG835">
        <f ca="1">IF(AND($AT835&lt;3,OFFSET(DATA!$C$14,$AS835,0)=BG$6),$AV835,dNULL)</f>
        <v>-99</v>
      </c>
      <c r="BH835">
        <f ca="1">IF(AND($AT835&lt;3,OFFSET(DATA!$C$14,$AS835,0)=BH$6),$AV835,dNULL)</f>
        <v>-99</v>
      </c>
    </row>
    <row r="836" spans="45:60" x14ac:dyDescent="0.25">
      <c r="AS836">
        <f t="shared" si="136"/>
        <v>20</v>
      </c>
      <c r="AT836">
        <f t="shared" si="137"/>
        <v>9</v>
      </c>
      <c r="AU836">
        <f t="shared" ca="1" si="138"/>
        <v>-99</v>
      </c>
      <c r="AV836">
        <f t="shared" ca="1" si="139"/>
        <v>-99</v>
      </c>
      <c r="AW836">
        <f ca="1">IF(AND($AT836&lt;3,OFFSET(DATA!$C$14,$AS836,0)=AW$6),$AV836,dNULL)</f>
        <v>-99</v>
      </c>
      <c r="AX836">
        <f ca="1">IF(AND($AT836&lt;3,OFFSET(DATA!$C$14,$AS836,0)=AX$6),$AV836,dNULL)</f>
        <v>-99</v>
      </c>
      <c r="AY836">
        <f ca="1">IF(AND($AT836&lt;3,OFFSET(DATA!$C$14,$AS836,0)=AY$6),$AV836,dNULL)</f>
        <v>-99</v>
      </c>
      <c r="AZ836">
        <f ca="1">IF(AND($AT836&lt;3,OFFSET(DATA!$C$14,$AS836,0)=AZ$6),$AV836,dNULL)</f>
        <v>-99</v>
      </c>
      <c r="BA836">
        <f ca="1">IF(AND($AT836&lt;3,OFFSET(DATA!$C$14,$AS836,0)=BA$6),$AV836,dNULL)</f>
        <v>-99</v>
      </c>
      <c r="BB836">
        <f ca="1">IF(AND($AT836&lt;3,OFFSET(DATA!$C$14,$AS836,0)=BB$6),$AV836,dNULL)</f>
        <v>-99</v>
      </c>
      <c r="BC836">
        <f ca="1">IF(AND($AT836&lt;3,OFFSET(DATA!$C$14,$AS836,0)=BC$6),$AV836,dNULL)</f>
        <v>-99</v>
      </c>
      <c r="BD836">
        <f ca="1">IF(AND($AT836&lt;3,OFFSET(DATA!$C$14,$AS836,0)=BD$6),$AV836,dNULL)</f>
        <v>-99</v>
      </c>
      <c r="BE836">
        <f ca="1">IF(AND($AT836&lt;3,OFFSET(DATA!$C$14,$AS836,0)=BE$6),$AV836,dNULL)</f>
        <v>-99</v>
      </c>
      <c r="BF836">
        <f ca="1">IF(AND($AT836&lt;3,OFFSET(DATA!$C$14,$AS836,0)=BF$6),$AV836,dNULL)</f>
        <v>-99</v>
      </c>
      <c r="BG836">
        <f ca="1">IF(AND($AT836&lt;3,OFFSET(DATA!$C$14,$AS836,0)=BG$6),$AV836,dNULL)</f>
        <v>-99</v>
      </c>
      <c r="BH836">
        <f ca="1">IF(AND($AT836&lt;3,OFFSET(DATA!$C$14,$AS836,0)=BH$6),$AV836,dNULL)</f>
        <v>-99</v>
      </c>
    </row>
    <row r="837" spans="45:60" x14ac:dyDescent="0.25">
      <c r="AS837">
        <f t="shared" si="136"/>
        <v>21</v>
      </c>
      <c r="AT837">
        <f t="shared" si="137"/>
        <v>9</v>
      </c>
      <c r="AU837">
        <f t="shared" ca="1" si="138"/>
        <v>-99</v>
      </c>
      <c r="AV837">
        <f t="shared" ca="1" si="139"/>
        <v>-99</v>
      </c>
      <c r="AW837">
        <f ca="1">IF(AND($AT837&lt;3,OFFSET(DATA!$C$14,$AS837,0)=AW$6),$AV837,dNULL)</f>
        <v>-99</v>
      </c>
      <c r="AX837">
        <f ca="1">IF(AND($AT837&lt;3,OFFSET(DATA!$C$14,$AS837,0)=AX$6),$AV837,dNULL)</f>
        <v>-99</v>
      </c>
      <c r="AY837">
        <f ca="1">IF(AND($AT837&lt;3,OFFSET(DATA!$C$14,$AS837,0)=AY$6),$AV837,dNULL)</f>
        <v>-99</v>
      </c>
      <c r="AZ837">
        <f ca="1">IF(AND($AT837&lt;3,OFFSET(DATA!$C$14,$AS837,0)=AZ$6),$AV837,dNULL)</f>
        <v>-99</v>
      </c>
      <c r="BA837">
        <f ca="1">IF(AND($AT837&lt;3,OFFSET(DATA!$C$14,$AS837,0)=BA$6),$AV837,dNULL)</f>
        <v>-99</v>
      </c>
      <c r="BB837">
        <f ca="1">IF(AND($AT837&lt;3,OFFSET(DATA!$C$14,$AS837,0)=BB$6),$AV837,dNULL)</f>
        <v>-99</v>
      </c>
      <c r="BC837">
        <f ca="1">IF(AND($AT837&lt;3,OFFSET(DATA!$C$14,$AS837,0)=BC$6),$AV837,dNULL)</f>
        <v>-99</v>
      </c>
      <c r="BD837">
        <f ca="1">IF(AND($AT837&lt;3,OFFSET(DATA!$C$14,$AS837,0)=BD$6),$AV837,dNULL)</f>
        <v>-99</v>
      </c>
      <c r="BE837">
        <f ca="1">IF(AND($AT837&lt;3,OFFSET(DATA!$C$14,$AS837,0)=BE$6),$AV837,dNULL)</f>
        <v>-99</v>
      </c>
      <c r="BF837">
        <f ca="1">IF(AND($AT837&lt;3,OFFSET(DATA!$C$14,$AS837,0)=BF$6),$AV837,dNULL)</f>
        <v>-99</v>
      </c>
      <c r="BG837">
        <f ca="1">IF(AND($AT837&lt;3,OFFSET(DATA!$C$14,$AS837,0)=BG$6),$AV837,dNULL)</f>
        <v>-99</v>
      </c>
      <c r="BH837">
        <f ca="1">IF(AND($AT837&lt;3,OFFSET(DATA!$C$14,$AS837,0)=BH$6),$AV837,dNULL)</f>
        <v>-99</v>
      </c>
    </row>
    <row r="838" spans="45:60" x14ac:dyDescent="0.25">
      <c r="AS838">
        <f t="shared" si="136"/>
        <v>22</v>
      </c>
      <c r="AT838">
        <f t="shared" si="137"/>
        <v>9</v>
      </c>
      <c r="AU838">
        <f t="shared" ca="1" si="138"/>
        <v>-99</v>
      </c>
      <c r="AV838">
        <f t="shared" ca="1" si="139"/>
        <v>-99</v>
      </c>
      <c r="AW838">
        <f ca="1">IF(AND($AT838&lt;3,OFFSET(DATA!$C$14,$AS838,0)=AW$6),$AV838,dNULL)</f>
        <v>-99</v>
      </c>
      <c r="AX838">
        <f ca="1">IF(AND($AT838&lt;3,OFFSET(DATA!$C$14,$AS838,0)=AX$6),$AV838,dNULL)</f>
        <v>-99</v>
      </c>
      <c r="AY838">
        <f ca="1">IF(AND($AT838&lt;3,OFFSET(DATA!$C$14,$AS838,0)=AY$6),$AV838,dNULL)</f>
        <v>-99</v>
      </c>
      <c r="AZ838">
        <f ca="1">IF(AND($AT838&lt;3,OFFSET(DATA!$C$14,$AS838,0)=AZ$6),$AV838,dNULL)</f>
        <v>-99</v>
      </c>
      <c r="BA838">
        <f ca="1">IF(AND($AT838&lt;3,OFFSET(DATA!$C$14,$AS838,0)=BA$6),$AV838,dNULL)</f>
        <v>-99</v>
      </c>
      <c r="BB838">
        <f ca="1">IF(AND($AT838&lt;3,OFFSET(DATA!$C$14,$AS838,0)=BB$6),$AV838,dNULL)</f>
        <v>-99</v>
      </c>
      <c r="BC838">
        <f ca="1">IF(AND($AT838&lt;3,OFFSET(DATA!$C$14,$AS838,0)=BC$6),$AV838,dNULL)</f>
        <v>-99</v>
      </c>
      <c r="BD838">
        <f ca="1">IF(AND($AT838&lt;3,OFFSET(DATA!$C$14,$AS838,0)=BD$6),$AV838,dNULL)</f>
        <v>-99</v>
      </c>
      <c r="BE838">
        <f ca="1">IF(AND($AT838&lt;3,OFFSET(DATA!$C$14,$AS838,0)=BE$6),$AV838,dNULL)</f>
        <v>-99</v>
      </c>
      <c r="BF838">
        <f ca="1">IF(AND($AT838&lt;3,OFFSET(DATA!$C$14,$AS838,0)=BF$6),$AV838,dNULL)</f>
        <v>-99</v>
      </c>
      <c r="BG838">
        <f ca="1">IF(AND($AT838&lt;3,OFFSET(DATA!$C$14,$AS838,0)=BG$6),$AV838,dNULL)</f>
        <v>-99</v>
      </c>
      <c r="BH838">
        <f ca="1">IF(AND($AT838&lt;3,OFFSET(DATA!$C$14,$AS838,0)=BH$6),$AV838,dNULL)</f>
        <v>-99</v>
      </c>
    </row>
    <row r="839" spans="45:60" x14ac:dyDescent="0.25">
      <c r="AS839">
        <f t="shared" ref="AS839:AS902" si="140">MOD(ROW(AT839)-ROW($AT$7),lCNTsites)+1</f>
        <v>23</v>
      </c>
      <c r="AT839">
        <f t="shared" ref="AT839:AT902" si="141">INT((ROW(AT839)-ROW($AT$7))/lCNTsites)</f>
        <v>9</v>
      </c>
      <c r="AU839">
        <f t="shared" ref="AU839:AU902" ca="1" si="142">IF($AT839=0,(1-OFFSET($AL$6,$AS839,$AT839*2))-OFFSET($AL$6,$AS839,$AT839*2+1)*$K$8,IF($AT839=1,dAnionOFF+1+OFFSET($AL$6,$AS839,$AT839*2)+OFFSET($AL$6,$AS839,$AT839*2+1)/2,IF($AT839=2,$K$17-(1-OFFSET($AL$6,$AS839,$AT839*2))*0.5+(1-OFFSET($AL$6,$AS839,$AT839*2+1))*0.5,dNULL)))</f>
        <v>-99</v>
      </c>
      <c r="AV839">
        <f t="shared" ref="AV839:AV902" ca="1" si="143">IF($AT839=0,OFFSET($AL$6,$AS839,$AT839*2+1)*$L$8,IF($AT839=1,OFFSET($AL$6,$AS839,$AT839*2+1)*3^0.5/2,IF($AT839=2,$L$17+(2-OFFSET($AL$6,$AS839,$AT839*2)-OFFSET($AL$6,$AS839,$AT839*2+1))*$L$8,dNULL)))</f>
        <v>-99</v>
      </c>
      <c r="AW839">
        <f ca="1">IF(AND($AT839&lt;3,OFFSET(DATA!$C$14,$AS839,0)=AW$6),$AV839,dNULL)</f>
        <v>-99</v>
      </c>
      <c r="AX839">
        <f ca="1">IF(AND($AT839&lt;3,OFFSET(DATA!$C$14,$AS839,0)=AX$6),$AV839,dNULL)</f>
        <v>-99</v>
      </c>
      <c r="AY839">
        <f ca="1">IF(AND($AT839&lt;3,OFFSET(DATA!$C$14,$AS839,0)=AY$6),$AV839,dNULL)</f>
        <v>-99</v>
      </c>
      <c r="AZ839">
        <f ca="1">IF(AND($AT839&lt;3,OFFSET(DATA!$C$14,$AS839,0)=AZ$6),$AV839,dNULL)</f>
        <v>-99</v>
      </c>
      <c r="BA839">
        <f ca="1">IF(AND($AT839&lt;3,OFFSET(DATA!$C$14,$AS839,0)=BA$6),$AV839,dNULL)</f>
        <v>-99</v>
      </c>
      <c r="BB839">
        <f ca="1">IF(AND($AT839&lt;3,OFFSET(DATA!$C$14,$AS839,0)=BB$6),$AV839,dNULL)</f>
        <v>-99</v>
      </c>
      <c r="BC839">
        <f ca="1">IF(AND($AT839&lt;3,OFFSET(DATA!$C$14,$AS839,0)=BC$6),$AV839,dNULL)</f>
        <v>-99</v>
      </c>
      <c r="BD839">
        <f ca="1">IF(AND($AT839&lt;3,OFFSET(DATA!$C$14,$AS839,0)=BD$6),$AV839,dNULL)</f>
        <v>-99</v>
      </c>
      <c r="BE839">
        <f ca="1">IF(AND($AT839&lt;3,OFFSET(DATA!$C$14,$AS839,0)=BE$6),$AV839,dNULL)</f>
        <v>-99</v>
      </c>
      <c r="BF839">
        <f ca="1">IF(AND($AT839&lt;3,OFFSET(DATA!$C$14,$AS839,0)=BF$6),$AV839,dNULL)</f>
        <v>-99</v>
      </c>
      <c r="BG839">
        <f ca="1">IF(AND($AT839&lt;3,OFFSET(DATA!$C$14,$AS839,0)=BG$6),$AV839,dNULL)</f>
        <v>-99</v>
      </c>
      <c r="BH839">
        <f ca="1">IF(AND($AT839&lt;3,OFFSET(DATA!$C$14,$AS839,0)=BH$6),$AV839,dNULL)</f>
        <v>-99</v>
      </c>
    </row>
    <row r="840" spans="45:60" x14ac:dyDescent="0.25">
      <c r="AS840">
        <f t="shared" si="140"/>
        <v>24</v>
      </c>
      <c r="AT840">
        <f t="shared" si="141"/>
        <v>9</v>
      </c>
      <c r="AU840">
        <f t="shared" ca="1" si="142"/>
        <v>-99</v>
      </c>
      <c r="AV840">
        <f t="shared" ca="1" si="143"/>
        <v>-99</v>
      </c>
      <c r="AW840">
        <f ca="1">IF(AND($AT840&lt;3,OFFSET(DATA!$C$14,$AS840,0)=AW$6),$AV840,dNULL)</f>
        <v>-99</v>
      </c>
      <c r="AX840">
        <f ca="1">IF(AND($AT840&lt;3,OFFSET(DATA!$C$14,$AS840,0)=AX$6),$AV840,dNULL)</f>
        <v>-99</v>
      </c>
      <c r="AY840">
        <f ca="1">IF(AND($AT840&lt;3,OFFSET(DATA!$C$14,$AS840,0)=AY$6),$AV840,dNULL)</f>
        <v>-99</v>
      </c>
      <c r="AZ840">
        <f ca="1">IF(AND($AT840&lt;3,OFFSET(DATA!$C$14,$AS840,0)=AZ$6),$AV840,dNULL)</f>
        <v>-99</v>
      </c>
      <c r="BA840">
        <f ca="1">IF(AND($AT840&lt;3,OFFSET(DATA!$C$14,$AS840,0)=BA$6),$AV840,dNULL)</f>
        <v>-99</v>
      </c>
      <c r="BB840">
        <f ca="1">IF(AND($AT840&lt;3,OFFSET(DATA!$C$14,$AS840,0)=BB$6),$AV840,dNULL)</f>
        <v>-99</v>
      </c>
      <c r="BC840">
        <f ca="1">IF(AND($AT840&lt;3,OFFSET(DATA!$C$14,$AS840,0)=BC$6),$AV840,dNULL)</f>
        <v>-99</v>
      </c>
      <c r="BD840">
        <f ca="1">IF(AND($AT840&lt;3,OFFSET(DATA!$C$14,$AS840,0)=BD$6),$AV840,dNULL)</f>
        <v>-99</v>
      </c>
      <c r="BE840">
        <f ca="1">IF(AND($AT840&lt;3,OFFSET(DATA!$C$14,$AS840,0)=BE$6),$AV840,dNULL)</f>
        <v>-99</v>
      </c>
      <c r="BF840">
        <f ca="1">IF(AND($AT840&lt;3,OFFSET(DATA!$C$14,$AS840,0)=BF$6),$AV840,dNULL)</f>
        <v>-99</v>
      </c>
      <c r="BG840">
        <f ca="1">IF(AND($AT840&lt;3,OFFSET(DATA!$C$14,$AS840,0)=BG$6),$AV840,dNULL)</f>
        <v>-99</v>
      </c>
      <c r="BH840">
        <f ca="1">IF(AND($AT840&lt;3,OFFSET(DATA!$C$14,$AS840,0)=BH$6),$AV840,dNULL)</f>
        <v>-99</v>
      </c>
    </row>
    <row r="841" spans="45:60" x14ac:dyDescent="0.25">
      <c r="AS841">
        <f t="shared" si="140"/>
        <v>25</v>
      </c>
      <c r="AT841">
        <f t="shared" si="141"/>
        <v>9</v>
      </c>
      <c r="AU841">
        <f t="shared" ca="1" si="142"/>
        <v>-99</v>
      </c>
      <c r="AV841">
        <f t="shared" ca="1" si="143"/>
        <v>-99</v>
      </c>
      <c r="AW841">
        <f ca="1">IF(AND($AT841&lt;3,OFFSET(DATA!$C$14,$AS841,0)=AW$6),$AV841,dNULL)</f>
        <v>-99</v>
      </c>
      <c r="AX841">
        <f ca="1">IF(AND($AT841&lt;3,OFFSET(DATA!$C$14,$AS841,0)=AX$6),$AV841,dNULL)</f>
        <v>-99</v>
      </c>
      <c r="AY841">
        <f ca="1">IF(AND($AT841&lt;3,OFFSET(DATA!$C$14,$AS841,0)=AY$6),$AV841,dNULL)</f>
        <v>-99</v>
      </c>
      <c r="AZ841">
        <f ca="1">IF(AND($AT841&lt;3,OFFSET(DATA!$C$14,$AS841,0)=AZ$6),$AV841,dNULL)</f>
        <v>-99</v>
      </c>
      <c r="BA841">
        <f ca="1">IF(AND($AT841&lt;3,OFFSET(DATA!$C$14,$AS841,0)=BA$6),$AV841,dNULL)</f>
        <v>-99</v>
      </c>
      <c r="BB841">
        <f ca="1">IF(AND($AT841&lt;3,OFFSET(DATA!$C$14,$AS841,0)=BB$6),$AV841,dNULL)</f>
        <v>-99</v>
      </c>
      <c r="BC841">
        <f ca="1">IF(AND($AT841&lt;3,OFFSET(DATA!$C$14,$AS841,0)=BC$6),$AV841,dNULL)</f>
        <v>-99</v>
      </c>
      <c r="BD841">
        <f ca="1">IF(AND($AT841&lt;3,OFFSET(DATA!$C$14,$AS841,0)=BD$6),$AV841,dNULL)</f>
        <v>-99</v>
      </c>
      <c r="BE841">
        <f ca="1">IF(AND($AT841&lt;3,OFFSET(DATA!$C$14,$AS841,0)=BE$6),$AV841,dNULL)</f>
        <v>-99</v>
      </c>
      <c r="BF841">
        <f ca="1">IF(AND($AT841&lt;3,OFFSET(DATA!$C$14,$AS841,0)=BF$6),$AV841,dNULL)</f>
        <v>-99</v>
      </c>
      <c r="BG841">
        <f ca="1">IF(AND($AT841&lt;3,OFFSET(DATA!$C$14,$AS841,0)=BG$6),$AV841,dNULL)</f>
        <v>-99</v>
      </c>
      <c r="BH841">
        <f ca="1">IF(AND($AT841&lt;3,OFFSET(DATA!$C$14,$AS841,0)=BH$6),$AV841,dNULL)</f>
        <v>-99</v>
      </c>
    </row>
    <row r="842" spans="45:60" x14ac:dyDescent="0.25">
      <c r="AS842">
        <f t="shared" si="140"/>
        <v>26</v>
      </c>
      <c r="AT842">
        <f t="shared" si="141"/>
        <v>9</v>
      </c>
      <c r="AU842">
        <f t="shared" ca="1" si="142"/>
        <v>-99</v>
      </c>
      <c r="AV842">
        <f t="shared" ca="1" si="143"/>
        <v>-99</v>
      </c>
      <c r="AW842">
        <f ca="1">IF(AND($AT842&lt;3,OFFSET(DATA!$C$14,$AS842,0)=AW$6),$AV842,dNULL)</f>
        <v>-99</v>
      </c>
      <c r="AX842">
        <f ca="1">IF(AND($AT842&lt;3,OFFSET(DATA!$C$14,$AS842,0)=AX$6),$AV842,dNULL)</f>
        <v>-99</v>
      </c>
      <c r="AY842">
        <f ca="1">IF(AND($AT842&lt;3,OFFSET(DATA!$C$14,$AS842,0)=AY$6),$AV842,dNULL)</f>
        <v>-99</v>
      </c>
      <c r="AZ842">
        <f ca="1">IF(AND($AT842&lt;3,OFFSET(DATA!$C$14,$AS842,0)=AZ$6),$AV842,dNULL)</f>
        <v>-99</v>
      </c>
      <c r="BA842">
        <f ca="1">IF(AND($AT842&lt;3,OFFSET(DATA!$C$14,$AS842,0)=BA$6),$AV842,dNULL)</f>
        <v>-99</v>
      </c>
      <c r="BB842">
        <f ca="1">IF(AND($AT842&lt;3,OFFSET(DATA!$C$14,$AS842,0)=BB$6),$AV842,dNULL)</f>
        <v>-99</v>
      </c>
      <c r="BC842">
        <f ca="1">IF(AND($AT842&lt;3,OFFSET(DATA!$C$14,$AS842,0)=BC$6),$AV842,dNULL)</f>
        <v>-99</v>
      </c>
      <c r="BD842">
        <f ca="1">IF(AND($AT842&lt;3,OFFSET(DATA!$C$14,$AS842,0)=BD$6),$AV842,dNULL)</f>
        <v>-99</v>
      </c>
      <c r="BE842">
        <f ca="1">IF(AND($AT842&lt;3,OFFSET(DATA!$C$14,$AS842,0)=BE$6),$AV842,dNULL)</f>
        <v>-99</v>
      </c>
      <c r="BF842">
        <f ca="1">IF(AND($AT842&lt;3,OFFSET(DATA!$C$14,$AS842,0)=BF$6),$AV842,dNULL)</f>
        <v>-99</v>
      </c>
      <c r="BG842">
        <f ca="1">IF(AND($AT842&lt;3,OFFSET(DATA!$C$14,$AS842,0)=BG$6),$AV842,dNULL)</f>
        <v>-99</v>
      </c>
      <c r="BH842">
        <f ca="1">IF(AND($AT842&lt;3,OFFSET(DATA!$C$14,$AS842,0)=BH$6),$AV842,dNULL)</f>
        <v>-99</v>
      </c>
    </row>
    <row r="843" spans="45:60" x14ac:dyDescent="0.25">
      <c r="AS843">
        <f t="shared" si="140"/>
        <v>27</v>
      </c>
      <c r="AT843">
        <f t="shared" si="141"/>
        <v>9</v>
      </c>
      <c r="AU843">
        <f t="shared" ca="1" si="142"/>
        <v>-99</v>
      </c>
      <c r="AV843">
        <f t="shared" ca="1" si="143"/>
        <v>-99</v>
      </c>
      <c r="AW843">
        <f ca="1">IF(AND($AT843&lt;3,OFFSET(DATA!$C$14,$AS843,0)=AW$6),$AV843,dNULL)</f>
        <v>-99</v>
      </c>
      <c r="AX843">
        <f ca="1">IF(AND($AT843&lt;3,OFFSET(DATA!$C$14,$AS843,0)=AX$6),$AV843,dNULL)</f>
        <v>-99</v>
      </c>
      <c r="AY843">
        <f ca="1">IF(AND($AT843&lt;3,OFFSET(DATA!$C$14,$AS843,0)=AY$6),$AV843,dNULL)</f>
        <v>-99</v>
      </c>
      <c r="AZ843">
        <f ca="1">IF(AND($AT843&lt;3,OFFSET(DATA!$C$14,$AS843,0)=AZ$6),$AV843,dNULL)</f>
        <v>-99</v>
      </c>
      <c r="BA843">
        <f ca="1">IF(AND($AT843&lt;3,OFFSET(DATA!$C$14,$AS843,0)=BA$6),$AV843,dNULL)</f>
        <v>-99</v>
      </c>
      <c r="BB843">
        <f ca="1">IF(AND($AT843&lt;3,OFFSET(DATA!$C$14,$AS843,0)=BB$6),$AV843,dNULL)</f>
        <v>-99</v>
      </c>
      <c r="BC843">
        <f ca="1">IF(AND($AT843&lt;3,OFFSET(DATA!$C$14,$AS843,0)=BC$6),$AV843,dNULL)</f>
        <v>-99</v>
      </c>
      <c r="BD843">
        <f ca="1">IF(AND($AT843&lt;3,OFFSET(DATA!$C$14,$AS843,0)=BD$6),$AV843,dNULL)</f>
        <v>-99</v>
      </c>
      <c r="BE843">
        <f ca="1">IF(AND($AT843&lt;3,OFFSET(DATA!$C$14,$AS843,0)=BE$6),$AV843,dNULL)</f>
        <v>-99</v>
      </c>
      <c r="BF843">
        <f ca="1">IF(AND($AT843&lt;3,OFFSET(DATA!$C$14,$AS843,0)=BF$6),$AV843,dNULL)</f>
        <v>-99</v>
      </c>
      <c r="BG843">
        <f ca="1">IF(AND($AT843&lt;3,OFFSET(DATA!$C$14,$AS843,0)=BG$6),$AV843,dNULL)</f>
        <v>-99</v>
      </c>
      <c r="BH843">
        <f ca="1">IF(AND($AT843&lt;3,OFFSET(DATA!$C$14,$AS843,0)=BH$6),$AV843,dNULL)</f>
        <v>-99</v>
      </c>
    </row>
    <row r="844" spans="45:60" x14ac:dyDescent="0.25">
      <c r="AS844">
        <f t="shared" si="140"/>
        <v>28</v>
      </c>
      <c r="AT844">
        <f t="shared" si="141"/>
        <v>9</v>
      </c>
      <c r="AU844">
        <f t="shared" ca="1" si="142"/>
        <v>-99</v>
      </c>
      <c r="AV844">
        <f t="shared" ca="1" si="143"/>
        <v>-99</v>
      </c>
      <c r="AW844">
        <f ca="1">IF(AND($AT844&lt;3,OFFSET(DATA!$C$14,$AS844,0)=AW$6),$AV844,dNULL)</f>
        <v>-99</v>
      </c>
      <c r="AX844">
        <f ca="1">IF(AND($AT844&lt;3,OFFSET(DATA!$C$14,$AS844,0)=AX$6),$AV844,dNULL)</f>
        <v>-99</v>
      </c>
      <c r="AY844">
        <f ca="1">IF(AND($AT844&lt;3,OFFSET(DATA!$C$14,$AS844,0)=AY$6),$AV844,dNULL)</f>
        <v>-99</v>
      </c>
      <c r="AZ844">
        <f ca="1">IF(AND($AT844&lt;3,OFFSET(DATA!$C$14,$AS844,0)=AZ$6),$AV844,dNULL)</f>
        <v>-99</v>
      </c>
      <c r="BA844">
        <f ca="1">IF(AND($AT844&lt;3,OFFSET(DATA!$C$14,$AS844,0)=BA$6),$AV844,dNULL)</f>
        <v>-99</v>
      </c>
      <c r="BB844">
        <f ca="1">IF(AND($AT844&lt;3,OFFSET(DATA!$C$14,$AS844,0)=BB$6),$AV844,dNULL)</f>
        <v>-99</v>
      </c>
      <c r="BC844">
        <f ca="1">IF(AND($AT844&lt;3,OFFSET(DATA!$C$14,$AS844,0)=BC$6),$AV844,dNULL)</f>
        <v>-99</v>
      </c>
      <c r="BD844">
        <f ca="1">IF(AND($AT844&lt;3,OFFSET(DATA!$C$14,$AS844,0)=BD$6),$AV844,dNULL)</f>
        <v>-99</v>
      </c>
      <c r="BE844">
        <f ca="1">IF(AND($AT844&lt;3,OFFSET(DATA!$C$14,$AS844,0)=BE$6),$AV844,dNULL)</f>
        <v>-99</v>
      </c>
      <c r="BF844">
        <f ca="1">IF(AND($AT844&lt;3,OFFSET(DATA!$C$14,$AS844,0)=BF$6),$AV844,dNULL)</f>
        <v>-99</v>
      </c>
      <c r="BG844">
        <f ca="1">IF(AND($AT844&lt;3,OFFSET(DATA!$C$14,$AS844,0)=BG$6),$AV844,dNULL)</f>
        <v>-99</v>
      </c>
      <c r="BH844">
        <f ca="1">IF(AND($AT844&lt;3,OFFSET(DATA!$C$14,$AS844,0)=BH$6),$AV844,dNULL)</f>
        <v>-99</v>
      </c>
    </row>
    <row r="845" spans="45:60" x14ac:dyDescent="0.25">
      <c r="AS845">
        <f t="shared" si="140"/>
        <v>29</v>
      </c>
      <c r="AT845">
        <f t="shared" si="141"/>
        <v>9</v>
      </c>
      <c r="AU845">
        <f t="shared" ca="1" si="142"/>
        <v>-99</v>
      </c>
      <c r="AV845">
        <f t="shared" ca="1" si="143"/>
        <v>-99</v>
      </c>
      <c r="AW845">
        <f ca="1">IF(AND($AT845&lt;3,OFFSET(DATA!$C$14,$AS845,0)=AW$6),$AV845,dNULL)</f>
        <v>-99</v>
      </c>
      <c r="AX845">
        <f ca="1">IF(AND($AT845&lt;3,OFFSET(DATA!$C$14,$AS845,0)=AX$6),$AV845,dNULL)</f>
        <v>-99</v>
      </c>
      <c r="AY845">
        <f ca="1">IF(AND($AT845&lt;3,OFFSET(DATA!$C$14,$AS845,0)=AY$6),$AV845,dNULL)</f>
        <v>-99</v>
      </c>
      <c r="AZ845">
        <f ca="1">IF(AND($AT845&lt;3,OFFSET(DATA!$C$14,$AS845,0)=AZ$6),$AV845,dNULL)</f>
        <v>-99</v>
      </c>
      <c r="BA845">
        <f ca="1">IF(AND($AT845&lt;3,OFFSET(DATA!$C$14,$AS845,0)=BA$6),$AV845,dNULL)</f>
        <v>-99</v>
      </c>
      <c r="BB845">
        <f ca="1">IF(AND($AT845&lt;3,OFFSET(DATA!$C$14,$AS845,0)=BB$6),$AV845,dNULL)</f>
        <v>-99</v>
      </c>
      <c r="BC845">
        <f ca="1">IF(AND($AT845&lt;3,OFFSET(DATA!$C$14,$AS845,0)=BC$6),$AV845,dNULL)</f>
        <v>-99</v>
      </c>
      <c r="BD845">
        <f ca="1">IF(AND($AT845&lt;3,OFFSET(DATA!$C$14,$AS845,0)=BD$6),$AV845,dNULL)</f>
        <v>-99</v>
      </c>
      <c r="BE845">
        <f ca="1">IF(AND($AT845&lt;3,OFFSET(DATA!$C$14,$AS845,0)=BE$6),$AV845,dNULL)</f>
        <v>-99</v>
      </c>
      <c r="BF845">
        <f ca="1">IF(AND($AT845&lt;3,OFFSET(DATA!$C$14,$AS845,0)=BF$6),$AV845,dNULL)</f>
        <v>-99</v>
      </c>
      <c r="BG845">
        <f ca="1">IF(AND($AT845&lt;3,OFFSET(DATA!$C$14,$AS845,0)=BG$6),$AV845,dNULL)</f>
        <v>-99</v>
      </c>
      <c r="BH845">
        <f ca="1">IF(AND($AT845&lt;3,OFFSET(DATA!$C$14,$AS845,0)=BH$6),$AV845,dNULL)</f>
        <v>-99</v>
      </c>
    </row>
    <row r="846" spans="45:60" x14ac:dyDescent="0.25">
      <c r="AS846">
        <f t="shared" si="140"/>
        <v>30</v>
      </c>
      <c r="AT846">
        <f t="shared" si="141"/>
        <v>9</v>
      </c>
      <c r="AU846">
        <f t="shared" ca="1" si="142"/>
        <v>-99</v>
      </c>
      <c r="AV846">
        <f t="shared" ca="1" si="143"/>
        <v>-99</v>
      </c>
      <c r="AW846">
        <f ca="1">IF(AND($AT846&lt;3,OFFSET(DATA!$C$14,$AS846,0)=AW$6),$AV846,dNULL)</f>
        <v>-99</v>
      </c>
      <c r="AX846">
        <f ca="1">IF(AND($AT846&lt;3,OFFSET(DATA!$C$14,$AS846,0)=AX$6),$AV846,dNULL)</f>
        <v>-99</v>
      </c>
      <c r="AY846">
        <f ca="1">IF(AND($AT846&lt;3,OFFSET(DATA!$C$14,$AS846,0)=AY$6),$AV846,dNULL)</f>
        <v>-99</v>
      </c>
      <c r="AZ846">
        <f ca="1">IF(AND($AT846&lt;3,OFFSET(DATA!$C$14,$AS846,0)=AZ$6),$AV846,dNULL)</f>
        <v>-99</v>
      </c>
      <c r="BA846">
        <f ca="1">IF(AND($AT846&lt;3,OFFSET(DATA!$C$14,$AS846,0)=BA$6),$AV846,dNULL)</f>
        <v>-99</v>
      </c>
      <c r="BB846">
        <f ca="1">IF(AND($AT846&lt;3,OFFSET(DATA!$C$14,$AS846,0)=BB$6),$AV846,dNULL)</f>
        <v>-99</v>
      </c>
      <c r="BC846">
        <f ca="1">IF(AND($AT846&lt;3,OFFSET(DATA!$C$14,$AS846,0)=BC$6),$AV846,dNULL)</f>
        <v>-99</v>
      </c>
      <c r="BD846">
        <f ca="1">IF(AND($AT846&lt;3,OFFSET(DATA!$C$14,$AS846,0)=BD$6),$AV846,dNULL)</f>
        <v>-99</v>
      </c>
      <c r="BE846">
        <f ca="1">IF(AND($AT846&lt;3,OFFSET(DATA!$C$14,$AS846,0)=BE$6),$AV846,dNULL)</f>
        <v>-99</v>
      </c>
      <c r="BF846">
        <f ca="1">IF(AND($AT846&lt;3,OFFSET(DATA!$C$14,$AS846,0)=BF$6),$AV846,dNULL)</f>
        <v>-99</v>
      </c>
      <c r="BG846">
        <f ca="1">IF(AND($AT846&lt;3,OFFSET(DATA!$C$14,$AS846,0)=BG$6),$AV846,dNULL)</f>
        <v>-99</v>
      </c>
      <c r="BH846">
        <f ca="1">IF(AND($AT846&lt;3,OFFSET(DATA!$C$14,$AS846,0)=BH$6),$AV846,dNULL)</f>
        <v>-99</v>
      </c>
    </row>
    <row r="847" spans="45:60" x14ac:dyDescent="0.25">
      <c r="AS847">
        <f t="shared" si="140"/>
        <v>31</v>
      </c>
      <c r="AT847">
        <f t="shared" si="141"/>
        <v>9</v>
      </c>
      <c r="AU847">
        <f t="shared" ca="1" si="142"/>
        <v>-99</v>
      </c>
      <c r="AV847">
        <f t="shared" ca="1" si="143"/>
        <v>-99</v>
      </c>
      <c r="AW847">
        <f ca="1">IF(AND($AT847&lt;3,OFFSET(DATA!$C$14,$AS847,0)=AW$6),$AV847,dNULL)</f>
        <v>-99</v>
      </c>
      <c r="AX847">
        <f ca="1">IF(AND($AT847&lt;3,OFFSET(DATA!$C$14,$AS847,0)=AX$6),$AV847,dNULL)</f>
        <v>-99</v>
      </c>
      <c r="AY847">
        <f ca="1">IF(AND($AT847&lt;3,OFFSET(DATA!$C$14,$AS847,0)=AY$6),$AV847,dNULL)</f>
        <v>-99</v>
      </c>
      <c r="AZ847">
        <f ca="1">IF(AND($AT847&lt;3,OFFSET(DATA!$C$14,$AS847,0)=AZ$6),$AV847,dNULL)</f>
        <v>-99</v>
      </c>
      <c r="BA847">
        <f ca="1">IF(AND($AT847&lt;3,OFFSET(DATA!$C$14,$AS847,0)=BA$6),$AV847,dNULL)</f>
        <v>-99</v>
      </c>
      <c r="BB847">
        <f ca="1">IF(AND($AT847&lt;3,OFFSET(DATA!$C$14,$AS847,0)=BB$6),$AV847,dNULL)</f>
        <v>-99</v>
      </c>
      <c r="BC847">
        <f ca="1">IF(AND($AT847&lt;3,OFFSET(DATA!$C$14,$AS847,0)=BC$6),$AV847,dNULL)</f>
        <v>-99</v>
      </c>
      <c r="BD847">
        <f ca="1">IF(AND($AT847&lt;3,OFFSET(DATA!$C$14,$AS847,0)=BD$6),$AV847,dNULL)</f>
        <v>-99</v>
      </c>
      <c r="BE847">
        <f ca="1">IF(AND($AT847&lt;3,OFFSET(DATA!$C$14,$AS847,0)=BE$6),$AV847,dNULL)</f>
        <v>-99</v>
      </c>
      <c r="BF847">
        <f ca="1">IF(AND($AT847&lt;3,OFFSET(DATA!$C$14,$AS847,0)=BF$6),$AV847,dNULL)</f>
        <v>-99</v>
      </c>
      <c r="BG847">
        <f ca="1">IF(AND($AT847&lt;3,OFFSET(DATA!$C$14,$AS847,0)=BG$6),$AV847,dNULL)</f>
        <v>-99</v>
      </c>
      <c r="BH847">
        <f ca="1">IF(AND($AT847&lt;3,OFFSET(DATA!$C$14,$AS847,0)=BH$6),$AV847,dNULL)</f>
        <v>-99</v>
      </c>
    </row>
    <row r="848" spans="45:60" x14ac:dyDescent="0.25">
      <c r="AS848">
        <f t="shared" si="140"/>
        <v>32</v>
      </c>
      <c r="AT848">
        <f t="shared" si="141"/>
        <v>9</v>
      </c>
      <c r="AU848">
        <f t="shared" ca="1" si="142"/>
        <v>-99</v>
      </c>
      <c r="AV848">
        <f t="shared" ca="1" si="143"/>
        <v>-99</v>
      </c>
      <c r="AW848">
        <f ca="1">IF(AND($AT848&lt;3,OFFSET(DATA!$C$14,$AS848,0)=AW$6),$AV848,dNULL)</f>
        <v>-99</v>
      </c>
      <c r="AX848">
        <f ca="1">IF(AND($AT848&lt;3,OFFSET(DATA!$C$14,$AS848,0)=AX$6),$AV848,dNULL)</f>
        <v>-99</v>
      </c>
      <c r="AY848">
        <f ca="1">IF(AND($AT848&lt;3,OFFSET(DATA!$C$14,$AS848,0)=AY$6),$AV848,dNULL)</f>
        <v>-99</v>
      </c>
      <c r="AZ848">
        <f ca="1">IF(AND($AT848&lt;3,OFFSET(DATA!$C$14,$AS848,0)=AZ$6),$AV848,dNULL)</f>
        <v>-99</v>
      </c>
      <c r="BA848">
        <f ca="1">IF(AND($AT848&lt;3,OFFSET(DATA!$C$14,$AS848,0)=BA$6),$AV848,dNULL)</f>
        <v>-99</v>
      </c>
      <c r="BB848">
        <f ca="1">IF(AND($AT848&lt;3,OFFSET(DATA!$C$14,$AS848,0)=BB$6),$AV848,dNULL)</f>
        <v>-99</v>
      </c>
      <c r="BC848">
        <f ca="1">IF(AND($AT848&lt;3,OFFSET(DATA!$C$14,$AS848,0)=BC$6),$AV848,dNULL)</f>
        <v>-99</v>
      </c>
      <c r="BD848">
        <f ca="1">IF(AND($AT848&lt;3,OFFSET(DATA!$C$14,$AS848,0)=BD$6),$AV848,dNULL)</f>
        <v>-99</v>
      </c>
      <c r="BE848">
        <f ca="1">IF(AND($AT848&lt;3,OFFSET(DATA!$C$14,$AS848,0)=BE$6),$AV848,dNULL)</f>
        <v>-99</v>
      </c>
      <c r="BF848">
        <f ca="1">IF(AND($AT848&lt;3,OFFSET(DATA!$C$14,$AS848,0)=BF$6),$AV848,dNULL)</f>
        <v>-99</v>
      </c>
      <c r="BG848">
        <f ca="1">IF(AND($AT848&lt;3,OFFSET(DATA!$C$14,$AS848,0)=BG$6),$AV848,dNULL)</f>
        <v>-99</v>
      </c>
      <c r="BH848">
        <f ca="1">IF(AND($AT848&lt;3,OFFSET(DATA!$C$14,$AS848,0)=BH$6),$AV848,dNULL)</f>
        <v>-99</v>
      </c>
    </row>
    <row r="849" spans="45:60" x14ac:dyDescent="0.25">
      <c r="AS849">
        <f t="shared" si="140"/>
        <v>33</v>
      </c>
      <c r="AT849">
        <f t="shared" si="141"/>
        <v>9</v>
      </c>
      <c r="AU849">
        <f t="shared" ca="1" si="142"/>
        <v>-99</v>
      </c>
      <c r="AV849">
        <f t="shared" ca="1" si="143"/>
        <v>-99</v>
      </c>
      <c r="AW849">
        <f ca="1">IF(AND($AT849&lt;3,OFFSET(DATA!$C$14,$AS849,0)=AW$6),$AV849,dNULL)</f>
        <v>-99</v>
      </c>
      <c r="AX849">
        <f ca="1">IF(AND($AT849&lt;3,OFFSET(DATA!$C$14,$AS849,0)=AX$6),$AV849,dNULL)</f>
        <v>-99</v>
      </c>
      <c r="AY849">
        <f ca="1">IF(AND($AT849&lt;3,OFFSET(DATA!$C$14,$AS849,0)=AY$6),$AV849,dNULL)</f>
        <v>-99</v>
      </c>
      <c r="AZ849">
        <f ca="1">IF(AND($AT849&lt;3,OFFSET(DATA!$C$14,$AS849,0)=AZ$6),$AV849,dNULL)</f>
        <v>-99</v>
      </c>
      <c r="BA849">
        <f ca="1">IF(AND($AT849&lt;3,OFFSET(DATA!$C$14,$AS849,0)=BA$6),$AV849,dNULL)</f>
        <v>-99</v>
      </c>
      <c r="BB849">
        <f ca="1">IF(AND($AT849&lt;3,OFFSET(DATA!$C$14,$AS849,0)=BB$6),$AV849,dNULL)</f>
        <v>-99</v>
      </c>
      <c r="BC849">
        <f ca="1">IF(AND($AT849&lt;3,OFFSET(DATA!$C$14,$AS849,0)=BC$6),$AV849,dNULL)</f>
        <v>-99</v>
      </c>
      <c r="BD849">
        <f ca="1">IF(AND($AT849&lt;3,OFFSET(DATA!$C$14,$AS849,0)=BD$6),$AV849,dNULL)</f>
        <v>-99</v>
      </c>
      <c r="BE849">
        <f ca="1">IF(AND($AT849&lt;3,OFFSET(DATA!$C$14,$AS849,0)=BE$6),$AV849,dNULL)</f>
        <v>-99</v>
      </c>
      <c r="BF849">
        <f ca="1">IF(AND($AT849&lt;3,OFFSET(DATA!$C$14,$AS849,0)=BF$6),$AV849,dNULL)</f>
        <v>-99</v>
      </c>
      <c r="BG849">
        <f ca="1">IF(AND($AT849&lt;3,OFFSET(DATA!$C$14,$AS849,0)=BG$6),$AV849,dNULL)</f>
        <v>-99</v>
      </c>
      <c r="BH849">
        <f ca="1">IF(AND($AT849&lt;3,OFFSET(DATA!$C$14,$AS849,0)=BH$6),$AV849,dNULL)</f>
        <v>-99</v>
      </c>
    </row>
    <row r="850" spans="45:60" x14ac:dyDescent="0.25">
      <c r="AS850">
        <f t="shared" si="140"/>
        <v>34</v>
      </c>
      <c r="AT850">
        <f t="shared" si="141"/>
        <v>9</v>
      </c>
      <c r="AU850">
        <f t="shared" ca="1" si="142"/>
        <v>-99</v>
      </c>
      <c r="AV850">
        <f t="shared" ca="1" si="143"/>
        <v>-99</v>
      </c>
      <c r="AW850">
        <f ca="1">IF(AND($AT850&lt;3,OFFSET(DATA!$C$14,$AS850,0)=AW$6),$AV850,dNULL)</f>
        <v>-99</v>
      </c>
      <c r="AX850">
        <f ca="1">IF(AND($AT850&lt;3,OFFSET(DATA!$C$14,$AS850,0)=AX$6),$AV850,dNULL)</f>
        <v>-99</v>
      </c>
      <c r="AY850">
        <f ca="1">IF(AND($AT850&lt;3,OFFSET(DATA!$C$14,$AS850,0)=AY$6),$AV850,dNULL)</f>
        <v>-99</v>
      </c>
      <c r="AZ850">
        <f ca="1">IF(AND($AT850&lt;3,OFFSET(DATA!$C$14,$AS850,0)=AZ$6),$AV850,dNULL)</f>
        <v>-99</v>
      </c>
      <c r="BA850">
        <f ca="1">IF(AND($AT850&lt;3,OFFSET(DATA!$C$14,$AS850,0)=BA$6),$AV850,dNULL)</f>
        <v>-99</v>
      </c>
      <c r="BB850">
        <f ca="1">IF(AND($AT850&lt;3,OFFSET(DATA!$C$14,$AS850,0)=BB$6),$AV850,dNULL)</f>
        <v>-99</v>
      </c>
      <c r="BC850">
        <f ca="1">IF(AND($AT850&lt;3,OFFSET(DATA!$C$14,$AS850,0)=BC$6),$AV850,dNULL)</f>
        <v>-99</v>
      </c>
      <c r="BD850">
        <f ca="1">IF(AND($AT850&lt;3,OFFSET(DATA!$C$14,$AS850,0)=BD$6),$AV850,dNULL)</f>
        <v>-99</v>
      </c>
      <c r="BE850">
        <f ca="1">IF(AND($AT850&lt;3,OFFSET(DATA!$C$14,$AS850,0)=BE$6),$AV850,dNULL)</f>
        <v>-99</v>
      </c>
      <c r="BF850">
        <f ca="1">IF(AND($AT850&lt;3,OFFSET(DATA!$C$14,$AS850,0)=BF$6),$AV850,dNULL)</f>
        <v>-99</v>
      </c>
      <c r="BG850">
        <f ca="1">IF(AND($AT850&lt;3,OFFSET(DATA!$C$14,$AS850,0)=BG$6),$AV850,dNULL)</f>
        <v>-99</v>
      </c>
      <c r="BH850">
        <f ca="1">IF(AND($AT850&lt;3,OFFSET(DATA!$C$14,$AS850,0)=BH$6),$AV850,dNULL)</f>
        <v>-99</v>
      </c>
    </row>
    <row r="851" spans="45:60" x14ac:dyDescent="0.25">
      <c r="AS851">
        <f t="shared" si="140"/>
        <v>35</v>
      </c>
      <c r="AT851">
        <f t="shared" si="141"/>
        <v>9</v>
      </c>
      <c r="AU851">
        <f t="shared" ca="1" si="142"/>
        <v>-99</v>
      </c>
      <c r="AV851">
        <f t="shared" ca="1" si="143"/>
        <v>-99</v>
      </c>
      <c r="AW851">
        <f ca="1">IF(AND($AT851&lt;3,OFFSET(DATA!$C$14,$AS851,0)=AW$6),$AV851,dNULL)</f>
        <v>-99</v>
      </c>
      <c r="AX851">
        <f ca="1">IF(AND($AT851&lt;3,OFFSET(DATA!$C$14,$AS851,0)=AX$6),$AV851,dNULL)</f>
        <v>-99</v>
      </c>
      <c r="AY851">
        <f ca="1">IF(AND($AT851&lt;3,OFFSET(DATA!$C$14,$AS851,0)=AY$6),$AV851,dNULL)</f>
        <v>-99</v>
      </c>
      <c r="AZ851">
        <f ca="1">IF(AND($AT851&lt;3,OFFSET(DATA!$C$14,$AS851,0)=AZ$6),$AV851,dNULL)</f>
        <v>-99</v>
      </c>
      <c r="BA851">
        <f ca="1">IF(AND($AT851&lt;3,OFFSET(DATA!$C$14,$AS851,0)=BA$6),$AV851,dNULL)</f>
        <v>-99</v>
      </c>
      <c r="BB851">
        <f ca="1">IF(AND($AT851&lt;3,OFFSET(DATA!$C$14,$AS851,0)=BB$6),$AV851,dNULL)</f>
        <v>-99</v>
      </c>
      <c r="BC851">
        <f ca="1">IF(AND($AT851&lt;3,OFFSET(DATA!$C$14,$AS851,0)=BC$6),$AV851,dNULL)</f>
        <v>-99</v>
      </c>
      <c r="BD851">
        <f ca="1">IF(AND($AT851&lt;3,OFFSET(DATA!$C$14,$AS851,0)=BD$6),$AV851,dNULL)</f>
        <v>-99</v>
      </c>
      <c r="BE851">
        <f ca="1">IF(AND($AT851&lt;3,OFFSET(DATA!$C$14,$AS851,0)=BE$6),$AV851,dNULL)</f>
        <v>-99</v>
      </c>
      <c r="BF851">
        <f ca="1">IF(AND($AT851&lt;3,OFFSET(DATA!$C$14,$AS851,0)=BF$6),$AV851,dNULL)</f>
        <v>-99</v>
      </c>
      <c r="BG851">
        <f ca="1">IF(AND($AT851&lt;3,OFFSET(DATA!$C$14,$AS851,0)=BG$6),$AV851,dNULL)</f>
        <v>-99</v>
      </c>
      <c r="BH851">
        <f ca="1">IF(AND($AT851&lt;3,OFFSET(DATA!$C$14,$AS851,0)=BH$6),$AV851,dNULL)</f>
        <v>-99</v>
      </c>
    </row>
    <row r="852" spans="45:60" x14ac:dyDescent="0.25">
      <c r="AS852">
        <f t="shared" si="140"/>
        <v>36</v>
      </c>
      <c r="AT852">
        <f t="shared" si="141"/>
        <v>9</v>
      </c>
      <c r="AU852">
        <f t="shared" ca="1" si="142"/>
        <v>-99</v>
      </c>
      <c r="AV852">
        <f t="shared" ca="1" si="143"/>
        <v>-99</v>
      </c>
      <c r="AW852">
        <f ca="1">IF(AND($AT852&lt;3,OFFSET(DATA!$C$14,$AS852,0)=AW$6),$AV852,dNULL)</f>
        <v>-99</v>
      </c>
      <c r="AX852">
        <f ca="1">IF(AND($AT852&lt;3,OFFSET(DATA!$C$14,$AS852,0)=AX$6),$AV852,dNULL)</f>
        <v>-99</v>
      </c>
      <c r="AY852">
        <f ca="1">IF(AND($AT852&lt;3,OFFSET(DATA!$C$14,$AS852,0)=AY$6),$AV852,dNULL)</f>
        <v>-99</v>
      </c>
      <c r="AZ852">
        <f ca="1">IF(AND($AT852&lt;3,OFFSET(DATA!$C$14,$AS852,0)=AZ$6),$AV852,dNULL)</f>
        <v>-99</v>
      </c>
      <c r="BA852">
        <f ca="1">IF(AND($AT852&lt;3,OFFSET(DATA!$C$14,$AS852,0)=BA$6),$AV852,dNULL)</f>
        <v>-99</v>
      </c>
      <c r="BB852">
        <f ca="1">IF(AND($AT852&lt;3,OFFSET(DATA!$C$14,$AS852,0)=BB$6),$AV852,dNULL)</f>
        <v>-99</v>
      </c>
      <c r="BC852">
        <f ca="1">IF(AND($AT852&lt;3,OFFSET(DATA!$C$14,$AS852,0)=BC$6),$AV852,dNULL)</f>
        <v>-99</v>
      </c>
      <c r="BD852">
        <f ca="1">IF(AND($AT852&lt;3,OFFSET(DATA!$C$14,$AS852,0)=BD$6),$AV852,dNULL)</f>
        <v>-99</v>
      </c>
      <c r="BE852">
        <f ca="1">IF(AND($AT852&lt;3,OFFSET(DATA!$C$14,$AS852,0)=BE$6),$AV852,dNULL)</f>
        <v>-99</v>
      </c>
      <c r="BF852">
        <f ca="1">IF(AND($AT852&lt;3,OFFSET(DATA!$C$14,$AS852,0)=BF$6),$AV852,dNULL)</f>
        <v>-99</v>
      </c>
      <c r="BG852">
        <f ca="1">IF(AND($AT852&lt;3,OFFSET(DATA!$C$14,$AS852,0)=BG$6),$AV852,dNULL)</f>
        <v>-99</v>
      </c>
      <c r="BH852">
        <f ca="1">IF(AND($AT852&lt;3,OFFSET(DATA!$C$14,$AS852,0)=BH$6),$AV852,dNULL)</f>
        <v>-99</v>
      </c>
    </row>
    <row r="853" spans="45:60" x14ac:dyDescent="0.25">
      <c r="AS853">
        <f t="shared" si="140"/>
        <v>37</v>
      </c>
      <c r="AT853">
        <f t="shared" si="141"/>
        <v>9</v>
      </c>
      <c r="AU853">
        <f t="shared" ca="1" si="142"/>
        <v>-99</v>
      </c>
      <c r="AV853">
        <f t="shared" ca="1" si="143"/>
        <v>-99</v>
      </c>
      <c r="AW853">
        <f ca="1">IF(AND($AT853&lt;3,OFFSET(DATA!$C$14,$AS853,0)=AW$6),$AV853,dNULL)</f>
        <v>-99</v>
      </c>
      <c r="AX853">
        <f ca="1">IF(AND($AT853&lt;3,OFFSET(DATA!$C$14,$AS853,0)=AX$6),$AV853,dNULL)</f>
        <v>-99</v>
      </c>
      <c r="AY853">
        <f ca="1">IF(AND($AT853&lt;3,OFFSET(DATA!$C$14,$AS853,0)=AY$6),$AV853,dNULL)</f>
        <v>-99</v>
      </c>
      <c r="AZ853">
        <f ca="1">IF(AND($AT853&lt;3,OFFSET(DATA!$C$14,$AS853,0)=AZ$6),$AV853,dNULL)</f>
        <v>-99</v>
      </c>
      <c r="BA853">
        <f ca="1">IF(AND($AT853&lt;3,OFFSET(DATA!$C$14,$AS853,0)=BA$6),$AV853,dNULL)</f>
        <v>-99</v>
      </c>
      <c r="BB853">
        <f ca="1">IF(AND($AT853&lt;3,OFFSET(DATA!$C$14,$AS853,0)=BB$6),$AV853,dNULL)</f>
        <v>-99</v>
      </c>
      <c r="BC853">
        <f ca="1">IF(AND($AT853&lt;3,OFFSET(DATA!$C$14,$AS853,0)=BC$6),$AV853,dNULL)</f>
        <v>-99</v>
      </c>
      <c r="BD853">
        <f ca="1">IF(AND($AT853&lt;3,OFFSET(DATA!$C$14,$AS853,0)=BD$6),$AV853,dNULL)</f>
        <v>-99</v>
      </c>
      <c r="BE853">
        <f ca="1">IF(AND($AT853&lt;3,OFFSET(DATA!$C$14,$AS853,0)=BE$6),$AV853,dNULL)</f>
        <v>-99</v>
      </c>
      <c r="BF853">
        <f ca="1">IF(AND($AT853&lt;3,OFFSET(DATA!$C$14,$AS853,0)=BF$6),$AV853,dNULL)</f>
        <v>-99</v>
      </c>
      <c r="BG853">
        <f ca="1">IF(AND($AT853&lt;3,OFFSET(DATA!$C$14,$AS853,0)=BG$6),$AV853,dNULL)</f>
        <v>-99</v>
      </c>
      <c r="BH853">
        <f ca="1">IF(AND($AT853&lt;3,OFFSET(DATA!$C$14,$AS853,0)=BH$6),$AV853,dNULL)</f>
        <v>-99</v>
      </c>
    </row>
    <row r="854" spans="45:60" x14ac:dyDescent="0.25">
      <c r="AS854">
        <f t="shared" si="140"/>
        <v>38</v>
      </c>
      <c r="AT854">
        <f t="shared" si="141"/>
        <v>9</v>
      </c>
      <c r="AU854">
        <f t="shared" ca="1" si="142"/>
        <v>-99</v>
      </c>
      <c r="AV854">
        <f t="shared" ca="1" si="143"/>
        <v>-99</v>
      </c>
      <c r="AW854">
        <f ca="1">IF(AND($AT854&lt;3,OFFSET(DATA!$C$14,$AS854,0)=AW$6),$AV854,dNULL)</f>
        <v>-99</v>
      </c>
      <c r="AX854">
        <f ca="1">IF(AND($AT854&lt;3,OFFSET(DATA!$C$14,$AS854,0)=AX$6),$AV854,dNULL)</f>
        <v>-99</v>
      </c>
      <c r="AY854">
        <f ca="1">IF(AND($AT854&lt;3,OFFSET(DATA!$C$14,$AS854,0)=AY$6),$AV854,dNULL)</f>
        <v>-99</v>
      </c>
      <c r="AZ854">
        <f ca="1">IF(AND($AT854&lt;3,OFFSET(DATA!$C$14,$AS854,0)=AZ$6),$AV854,dNULL)</f>
        <v>-99</v>
      </c>
      <c r="BA854">
        <f ca="1">IF(AND($AT854&lt;3,OFFSET(DATA!$C$14,$AS854,0)=BA$6),$AV854,dNULL)</f>
        <v>-99</v>
      </c>
      <c r="BB854">
        <f ca="1">IF(AND($AT854&lt;3,OFFSET(DATA!$C$14,$AS854,0)=BB$6),$AV854,dNULL)</f>
        <v>-99</v>
      </c>
      <c r="BC854">
        <f ca="1">IF(AND($AT854&lt;3,OFFSET(DATA!$C$14,$AS854,0)=BC$6),$AV854,dNULL)</f>
        <v>-99</v>
      </c>
      <c r="BD854">
        <f ca="1">IF(AND($AT854&lt;3,OFFSET(DATA!$C$14,$AS854,0)=BD$6),$AV854,dNULL)</f>
        <v>-99</v>
      </c>
      <c r="BE854">
        <f ca="1">IF(AND($AT854&lt;3,OFFSET(DATA!$C$14,$AS854,0)=BE$6),$AV854,dNULL)</f>
        <v>-99</v>
      </c>
      <c r="BF854">
        <f ca="1">IF(AND($AT854&lt;3,OFFSET(DATA!$C$14,$AS854,0)=BF$6),$AV854,dNULL)</f>
        <v>-99</v>
      </c>
      <c r="BG854">
        <f ca="1">IF(AND($AT854&lt;3,OFFSET(DATA!$C$14,$AS854,0)=BG$6),$AV854,dNULL)</f>
        <v>-99</v>
      </c>
      <c r="BH854">
        <f ca="1">IF(AND($AT854&lt;3,OFFSET(DATA!$C$14,$AS854,0)=BH$6),$AV854,dNULL)</f>
        <v>-99</v>
      </c>
    </row>
    <row r="855" spans="45:60" x14ac:dyDescent="0.25">
      <c r="AS855">
        <f t="shared" si="140"/>
        <v>39</v>
      </c>
      <c r="AT855">
        <f t="shared" si="141"/>
        <v>9</v>
      </c>
      <c r="AU855">
        <f t="shared" ca="1" si="142"/>
        <v>-99</v>
      </c>
      <c r="AV855">
        <f t="shared" ca="1" si="143"/>
        <v>-99</v>
      </c>
      <c r="AW855">
        <f ca="1">IF(AND($AT855&lt;3,OFFSET(DATA!$C$14,$AS855,0)=AW$6),$AV855,dNULL)</f>
        <v>-99</v>
      </c>
      <c r="AX855">
        <f ca="1">IF(AND($AT855&lt;3,OFFSET(DATA!$C$14,$AS855,0)=AX$6),$AV855,dNULL)</f>
        <v>-99</v>
      </c>
      <c r="AY855">
        <f ca="1">IF(AND($AT855&lt;3,OFFSET(DATA!$C$14,$AS855,0)=AY$6),$AV855,dNULL)</f>
        <v>-99</v>
      </c>
      <c r="AZ855">
        <f ca="1">IF(AND($AT855&lt;3,OFFSET(DATA!$C$14,$AS855,0)=AZ$6),$AV855,dNULL)</f>
        <v>-99</v>
      </c>
      <c r="BA855">
        <f ca="1">IF(AND($AT855&lt;3,OFFSET(DATA!$C$14,$AS855,0)=BA$6),$AV855,dNULL)</f>
        <v>-99</v>
      </c>
      <c r="BB855">
        <f ca="1">IF(AND($AT855&lt;3,OFFSET(DATA!$C$14,$AS855,0)=BB$6),$AV855,dNULL)</f>
        <v>-99</v>
      </c>
      <c r="BC855">
        <f ca="1">IF(AND($AT855&lt;3,OFFSET(DATA!$C$14,$AS855,0)=BC$6),$AV855,dNULL)</f>
        <v>-99</v>
      </c>
      <c r="BD855">
        <f ca="1">IF(AND($AT855&lt;3,OFFSET(DATA!$C$14,$AS855,0)=BD$6),$AV855,dNULL)</f>
        <v>-99</v>
      </c>
      <c r="BE855">
        <f ca="1">IF(AND($AT855&lt;3,OFFSET(DATA!$C$14,$AS855,0)=BE$6),$AV855,dNULL)</f>
        <v>-99</v>
      </c>
      <c r="BF855">
        <f ca="1">IF(AND($AT855&lt;3,OFFSET(DATA!$C$14,$AS855,0)=BF$6),$AV855,dNULL)</f>
        <v>-99</v>
      </c>
      <c r="BG855">
        <f ca="1">IF(AND($AT855&lt;3,OFFSET(DATA!$C$14,$AS855,0)=BG$6),$AV855,dNULL)</f>
        <v>-99</v>
      </c>
      <c r="BH855">
        <f ca="1">IF(AND($AT855&lt;3,OFFSET(DATA!$C$14,$AS855,0)=BH$6),$AV855,dNULL)</f>
        <v>-99</v>
      </c>
    </row>
    <row r="856" spans="45:60" x14ac:dyDescent="0.25">
      <c r="AS856">
        <f t="shared" si="140"/>
        <v>40</v>
      </c>
      <c r="AT856">
        <f t="shared" si="141"/>
        <v>9</v>
      </c>
      <c r="AU856">
        <f t="shared" ca="1" si="142"/>
        <v>-99</v>
      </c>
      <c r="AV856">
        <f t="shared" ca="1" si="143"/>
        <v>-99</v>
      </c>
      <c r="AW856">
        <f ca="1">IF(AND($AT856&lt;3,OFFSET(DATA!$C$14,$AS856,0)=AW$6),$AV856,dNULL)</f>
        <v>-99</v>
      </c>
      <c r="AX856">
        <f ca="1">IF(AND($AT856&lt;3,OFFSET(DATA!$C$14,$AS856,0)=AX$6),$AV856,dNULL)</f>
        <v>-99</v>
      </c>
      <c r="AY856">
        <f ca="1">IF(AND($AT856&lt;3,OFFSET(DATA!$C$14,$AS856,0)=AY$6),$AV856,dNULL)</f>
        <v>-99</v>
      </c>
      <c r="AZ856">
        <f ca="1">IF(AND($AT856&lt;3,OFFSET(DATA!$C$14,$AS856,0)=AZ$6),$AV856,dNULL)</f>
        <v>-99</v>
      </c>
      <c r="BA856">
        <f ca="1">IF(AND($AT856&lt;3,OFFSET(DATA!$C$14,$AS856,0)=BA$6),$AV856,dNULL)</f>
        <v>-99</v>
      </c>
      <c r="BB856">
        <f ca="1">IF(AND($AT856&lt;3,OFFSET(DATA!$C$14,$AS856,0)=BB$6),$AV856,dNULL)</f>
        <v>-99</v>
      </c>
      <c r="BC856">
        <f ca="1">IF(AND($AT856&lt;3,OFFSET(DATA!$C$14,$AS856,0)=BC$6),$AV856,dNULL)</f>
        <v>-99</v>
      </c>
      <c r="BD856">
        <f ca="1">IF(AND($AT856&lt;3,OFFSET(DATA!$C$14,$AS856,0)=BD$6),$AV856,dNULL)</f>
        <v>-99</v>
      </c>
      <c r="BE856">
        <f ca="1">IF(AND($AT856&lt;3,OFFSET(DATA!$C$14,$AS856,0)=BE$6),$AV856,dNULL)</f>
        <v>-99</v>
      </c>
      <c r="BF856">
        <f ca="1">IF(AND($AT856&lt;3,OFFSET(DATA!$C$14,$AS856,0)=BF$6),$AV856,dNULL)</f>
        <v>-99</v>
      </c>
      <c r="BG856">
        <f ca="1">IF(AND($AT856&lt;3,OFFSET(DATA!$C$14,$AS856,0)=BG$6),$AV856,dNULL)</f>
        <v>-99</v>
      </c>
      <c r="BH856">
        <f ca="1">IF(AND($AT856&lt;3,OFFSET(DATA!$C$14,$AS856,0)=BH$6),$AV856,dNULL)</f>
        <v>-99</v>
      </c>
    </row>
    <row r="857" spans="45:60" x14ac:dyDescent="0.25">
      <c r="AS857">
        <f t="shared" si="140"/>
        <v>41</v>
      </c>
      <c r="AT857">
        <f t="shared" si="141"/>
        <v>9</v>
      </c>
      <c r="AU857">
        <f t="shared" ca="1" si="142"/>
        <v>-99</v>
      </c>
      <c r="AV857">
        <f t="shared" ca="1" si="143"/>
        <v>-99</v>
      </c>
      <c r="AW857">
        <f ca="1">IF(AND($AT857&lt;3,OFFSET(DATA!$C$14,$AS857,0)=AW$6),$AV857,dNULL)</f>
        <v>-99</v>
      </c>
      <c r="AX857">
        <f ca="1">IF(AND($AT857&lt;3,OFFSET(DATA!$C$14,$AS857,0)=AX$6),$AV857,dNULL)</f>
        <v>-99</v>
      </c>
      <c r="AY857">
        <f ca="1">IF(AND($AT857&lt;3,OFFSET(DATA!$C$14,$AS857,0)=AY$6),$AV857,dNULL)</f>
        <v>-99</v>
      </c>
      <c r="AZ857">
        <f ca="1">IF(AND($AT857&lt;3,OFFSET(DATA!$C$14,$AS857,0)=AZ$6),$AV857,dNULL)</f>
        <v>-99</v>
      </c>
      <c r="BA857">
        <f ca="1">IF(AND($AT857&lt;3,OFFSET(DATA!$C$14,$AS857,0)=BA$6),$AV857,dNULL)</f>
        <v>-99</v>
      </c>
      <c r="BB857">
        <f ca="1">IF(AND($AT857&lt;3,OFFSET(DATA!$C$14,$AS857,0)=BB$6),$AV857,dNULL)</f>
        <v>-99</v>
      </c>
      <c r="BC857">
        <f ca="1">IF(AND($AT857&lt;3,OFFSET(DATA!$C$14,$AS857,0)=BC$6),$AV857,dNULL)</f>
        <v>-99</v>
      </c>
      <c r="BD857">
        <f ca="1">IF(AND($AT857&lt;3,OFFSET(DATA!$C$14,$AS857,0)=BD$6),$AV857,dNULL)</f>
        <v>-99</v>
      </c>
      <c r="BE857">
        <f ca="1">IF(AND($AT857&lt;3,OFFSET(DATA!$C$14,$AS857,0)=BE$6),$AV857,dNULL)</f>
        <v>-99</v>
      </c>
      <c r="BF857">
        <f ca="1">IF(AND($AT857&lt;3,OFFSET(DATA!$C$14,$AS857,0)=BF$6),$AV857,dNULL)</f>
        <v>-99</v>
      </c>
      <c r="BG857">
        <f ca="1">IF(AND($AT857&lt;3,OFFSET(DATA!$C$14,$AS857,0)=BG$6),$AV857,dNULL)</f>
        <v>-99</v>
      </c>
      <c r="BH857">
        <f ca="1">IF(AND($AT857&lt;3,OFFSET(DATA!$C$14,$AS857,0)=BH$6),$AV857,dNULL)</f>
        <v>-99</v>
      </c>
    </row>
    <row r="858" spans="45:60" x14ac:dyDescent="0.25">
      <c r="AS858">
        <f t="shared" si="140"/>
        <v>42</v>
      </c>
      <c r="AT858">
        <f t="shared" si="141"/>
        <v>9</v>
      </c>
      <c r="AU858">
        <f t="shared" ca="1" si="142"/>
        <v>-99</v>
      </c>
      <c r="AV858">
        <f t="shared" ca="1" si="143"/>
        <v>-99</v>
      </c>
      <c r="AW858">
        <f ca="1">IF(AND($AT858&lt;3,OFFSET(DATA!$C$14,$AS858,0)=AW$6),$AV858,dNULL)</f>
        <v>-99</v>
      </c>
      <c r="AX858">
        <f ca="1">IF(AND($AT858&lt;3,OFFSET(DATA!$C$14,$AS858,0)=AX$6),$AV858,dNULL)</f>
        <v>-99</v>
      </c>
      <c r="AY858">
        <f ca="1">IF(AND($AT858&lt;3,OFFSET(DATA!$C$14,$AS858,0)=AY$6),$AV858,dNULL)</f>
        <v>-99</v>
      </c>
      <c r="AZ858">
        <f ca="1">IF(AND($AT858&lt;3,OFFSET(DATA!$C$14,$AS858,0)=AZ$6),$AV858,dNULL)</f>
        <v>-99</v>
      </c>
      <c r="BA858">
        <f ca="1">IF(AND($AT858&lt;3,OFFSET(DATA!$C$14,$AS858,0)=BA$6),$AV858,dNULL)</f>
        <v>-99</v>
      </c>
      <c r="BB858">
        <f ca="1">IF(AND($AT858&lt;3,OFFSET(DATA!$C$14,$AS858,0)=BB$6),$AV858,dNULL)</f>
        <v>-99</v>
      </c>
      <c r="BC858">
        <f ca="1">IF(AND($AT858&lt;3,OFFSET(DATA!$C$14,$AS858,0)=BC$6),$AV858,dNULL)</f>
        <v>-99</v>
      </c>
      <c r="BD858">
        <f ca="1">IF(AND($AT858&lt;3,OFFSET(DATA!$C$14,$AS858,0)=BD$6),$AV858,dNULL)</f>
        <v>-99</v>
      </c>
      <c r="BE858">
        <f ca="1">IF(AND($AT858&lt;3,OFFSET(DATA!$C$14,$AS858,0)=BE$6),$AV858,dNULL)</f>
        <v>-99</v>
      </c>
      <c r="BF858">
        <f ca="1">IF(AND($AT858&lt;3,OFFSET(DATA!$C$14,$AS858,0)=BF$6),$AV858,dNULL)</f>
        <v>-99</v>
      </c>
      <c r="BG858">
        <f ca="1">IF(AND($AT858&lt;3,OFFSET(DATA!$C$14,$AS858,0)=BG$6),$AV858,dNULL)</f>
        <v>-99</v>
      </c>
      <c r="BH858">
        <f ca="1">IF(AND($AT858&lt;3,OFFSET(DATA!$C$14,$AS858,0)=BH$6),$AV858,dNULL)</f>
        <v>-99</v>
      </c>
    </row>
    <row r="859" spans="45:60" x14ac:dyDescent="0.25">
      <c r="AS859">
        <f t="shared" si="140"/>
        <v>43</v>
      </c>
      <c r="AT859">
        <f t="shared" si="141"/>
        <v>9</v>
      </c>
      <c r="AU859">
        <f t="shared" ca="1" si="142"/>
        <v>-99</v>
      </c>
      <c r="AV859">
        <f t="shared" ca="1" si="143"/>
        <v>-99</v>
      </c>
      <c r="AW859">
        <f ca="1">IF(AND($AT859&lt;3,OFFSET(DATA!$C$14,$AS859,0)=AW$6),$AV859,dNULL)</f>
        <v>-99</v>
      </c>
      <c r="AX859">
        <f ca="1">IF(AND($AT859&lt;3,OFFSET(DATA!$C$14,$AS859,0)=AX$6),$AV859,dNULL)</f>
        <v>-99</v>
      </c>
      <c r="AY859">
        <f ca="1">IF(AND($AT859&lt;3,OFFSET(DATA!$C$14,$AS859,0)=AY$6),$AV859,dNULL)</f>
        <v>-99</v>
      </c>
      <c r="AZ859">
        <f ca="1">IF(AND($AT859&lt;3,OFFSET(DATA!$C$14,$AS859,0)=AZ$6),$AV859,dNULL)</f>
        <v>-99</v>
      </c>
      <c r="BA859">
        <f ca="1">IF(AND($AT859&lt;3,OFFSET(DATA!$C$14,$AS859,0)=BA$6),$AV859,dNULL)</f>
        <v>-99</v>
      </c>
      <c r="BB859">
        <f ca="1">IF(AND($AT859&lt;3,OFFSET(DATA!$C$14,$AS859,0)=BB$6),$AV859,dNULL)</f>
        <v>-99</v>
      </c>
      <c r="BC859">
        <f ca="1">IF(AND($AT859&lt;3,OFFSET(DATA!$C$14,$AS859,0)=BC$6),$AV859,dNULL)</f>
        <v>-99</v>
      </c>
      <c r="BD859">
        <f ca="1">IF(AND($AT859&lt;3,OFFSET(DATA!$C$14,$AS859,0)=BD$6),$AV859,dNULL)</f>
        <v>-99</v>
      </c>
      <c r="BE859">
        <f ca="1">IF(AND($AT859&lt;3,OFFSET(DATA!$C$14,$AS859,0)=BE$6),$AV859,dNULL)</f>
        <v>-99</v>
      </c>
      <c r="BF859">
        <f ca="1">IF(AND($AT859&lt;3,OFFSET(DATA!$C$14,$AS859,0)=BF$6),$AV859,dNULL)</f>
        <v>-99</v>
      </c>
      <c r="BG859">
        <f ca="1">IF(AND($AT859&lt;3,OFFSET(DATA!$C$14,$AS859,0)=BG$6),$AV859,dNULL)</f>
        <v>-99</v>
      </c>
      <c r="BH859">
        <f ca="1">IF(AND($AT859&lt;3,OFFSET(DATA!$C$14,$AS859,0)=BH$6),$AV859,dNULL)</f>
        <v>-99</v>
      </c>
    </row>
    <row r="860" spans="45:60" x14ac:dyDescent="0.25">
      <c r="AS860">
        <f t="shared" si="140"/>
        <v>44</v>
      </c>
      <c r="AT860">
        <f t="shared" si="141"/>
        <v>9</v>
      </c>
      <c r="AU860">
        <f t="shared" ca="1" si="142"/>
        <v>-99</v>
      </c>
      <c r="AV860">
        <f t="shared" ca="1" si="143"/>
        <v>-99</v>
      </c>
      <c r="AW860">
        <f ca="1">IF(AND($AT860&lt;3,OFFSET(DATA!$C$14,$AS860,0)=AW$6),$AV860,dNULL)</f>
        <v>-99</v>
      </c>
      <c r="AX860">
        <f ca="1">IF(AND($AT860&lt;3,OFFSET(DATA!$C$14,$AS860,0)=AX$6),$AV860,dNULL)</f>
        <v>-99</v>
      </c>
      <c r="AY860">
        <f ca="1">IF(AND($AT860&lt;3,OFFSET(DATA!$C$14,$AS860,0)=AY$6),$AV860,dNULL)</f>
        <v>-99</v>
      </c>
      <c r="AZ860">
        <f ca="1">IF(AND($AT860&lt;3,OFFSET(DATA!$C$14,$AS860,0)=AZ$6),$AV860,dNULL)</f>
        <v>-99</v>
      </c>
      <c r="BA860">
        <f ca="1">IF(AND($AT860&lt;3,OFFSET(DATA!$C$14,$AS860,0)=BA$6),$AV860,dNULL)</f>
        <v>-99</v>
      </c>
      <c r="BB860">
        <f ca="1">IF(AND($AT860&lt;3,OFFSET(DATA!$C$14,$AS860,0)=BB$6),$AV860,dNULL)</f>
        <v>-99</v>
      </c>
      <c r="BC860">
        <f ca="1">IF(AND($AT860&lt;3,OFFSET(DATA!$C$14,$AS860,0)=BC$6),$AV860,dNULL)</f>
        <v>-99</v>
      </c>
      <c r="BD860">
        <f ca="1">IF(AND($AT860&lt;3,OFFSET(DATA!$C$14,$AS860,0)=BD$6),$AV860,dNULL)</f>
        <v>-99</v>
      </c>
      <c r="BE860">
        <f ca="1">IF(AND($AT860&lt;3,OFFSET(DATA!$C$14,$AS860,0)=BE$6),$AV860,dNULL)</f>
        <v>-99</v>
      </c>
      <c r="BF860">
        <f ca="1">IF(AND($AT860&lt;3,OFFSET(DATA!$C$14,$AS860,0)=BF$6),$AV860,dNULL)</f>
        <v>-99</v>
      </c>
      <c r="BG860">
        <f ca="1">IF(AND($AT860&lt;3,OFFSET(DATA!$C$14,$AS860,0)=BG$6),$AV860,dNULL)</f>
        <v>-99</v>
      </c>
      <c r="BH860">
        <f ca="1">IF(AND($AT860&lt;3,OFFSET(DATA!$C$14,$AS860,0)=BH$6),$AV860,dNULL)</f>
        <v>-99</v>
      </c>
    </row>
    <row r="861" spans="45:60" x14ac:dyDescent="0.25">
      <c r="AS861">
        <f t="shared" si="140"/>
        <v>45</v>
      </c>
      <c r="AT861">
        <f t="shared" si="141"/>
        <v>9</v>
      </c>
      <c r="AU861">
        <f t="shared" ca="1" si="142"/>
        <v>-99</v>
      </c>
      <c r="AV861">
        <f t="shared" ca="1" si="143"/>
        <v>-99</v>
      </c>
      <c r="AW861">
        <f ca="1">IF(AND($AT861&lt;3,OFFSET(DATA!$C$14,$AS861,0)=AW$6),$AV861,dNULL)</f>
        <v>-99</v>
      </c>
      <c r="AX861">
        <f ca="1">IF(AND($AT861&lt;3,OFFSET(DATA!$C$14,$AS861,0)=AX$6),$AV861,dNULL)</f>
        <v>-99</v>
      </c>
      <c r="AY861">
        <f ca="1">IF(AND($AT861&lt;3,OFFSET(DATA!$C$14,$AS861,0)=AY$6),$AV861,dNULL)</f>
        <v>-99</v>
      </c>
      <c r="AZ861">
        <f ca="1">IF(AND($AT861&lt;3,OFFSET(DATA!$C$14,$AS861,0)=AZ$6),$AV861,dNULL)</f>
        <v>-99</v>
      </c>
      <c r="BA861">
        <f ca="1">IF(AND($AT861&lt;3,OFFSET(DATA!$C$14,$AS861,0)=BA$6),$AV861,dNULL)</f>
        <v>-99</v>
      </c>
      <c r="BB861">
        <f ca="1">IF(AND($AT861&lt;3,OFFSET(DATA!$C$14,$AS861,0)=BB$6),$AV861,dNULL)</f>
        <v>-99</v>
      </c>
      <c r="BC861">
        <f ca="1">IF(AND($AT861&lt;3,OFFSET(DATA!$C$14,$AS861,0)=BC$6),$AV861,dNULL)</f>
        <v>-99</v>
      </c>
      <c r="BD861">
        <f ca="1">IF(AND($AT861&lt;3,OFFSET(DATA!$C$14,$AS861,0)=BD$6),$AV861,dNULL)</f>
        <v>-99</v>
      </c>
      <c r="BE861">
        <f ca="1">IF(AND($AT861&lt;3,OFFSET(DATA!$C$14,$AS861,0)=BE$6),$AV861,dNULL)</f>
        <v>-99</v>
      </c>
      <c r="BF861">
        <f ca="1">IF(AND($AT861&lt;3,OFFSET(DATA!$C$14,$AS861,0)=BF$6),$AV861,dNULL)</f>
        <v>-99</v>
      </c>
      <c r="BG861">
        <f ca="1">IF(AND($AT861&lt;3,OFFSET(DATA!$C$14,$AS861,0)=BG$6),$AV861,dNULL)</f>
        <v>-99</v>
      </c>
      <c r="BH861">
        <f ca="1">IF(AND($AT861&lt;3,OFFSET(DATA!$C$14,$AS861,0)=BH$6),$AV861,dNULL)</f>
        <v>-99</v>
      </c>
    </row>
    <row r="862" spans="45:60" x14ac:dyDescent="0.25">
      <c r="AS862">
        <f t="shared" si="140"/>
        <v>46</v>
      </c>
      <c r="AT862">
        <f t="shared" si="141"/>
        <v>9</v>
      </c>
      <c r="AU862">
        <f t="shared" ca="1" si="142"/>
        <v>-99</v>
      </c>
      <c r="AV862">
        <f t="shared" ca="1" si="143"/>
        <v>-99</v>
      </c>
      <c r="AW862">
        <f ca="1">IF(AND($AT862&lt;3,OFFSET(DATA!$C$14,$AS862,0)=AW$6),$AV862,dNULL)</f>
        <v>-99</v>
      </c>
      <c r="AX862">
        <f ca="1">IF(AND($AT862&lt;3,OFFSET(DATA!$C$14,$AS862,0)=AX$6),$AV862,dNULL)</f>
        <v>-99</v>
      </c>
      <c r="AY862">
        <f ca="1">IF(AND($AT862&lt;3,OFFSET(DATA!$C$14,$AS862,0)=AY$6),$AV862,dNULL)</f>
        <v>-99</v>
      </c>
      <c r="AZ862">
        <f ca="1">IF(AND($AT862&lt;3,OFFSET(DATA!$C$14,$AS862,0)=AZ$6),$AV862,dNULL)</f>
        <v>-99</v>
      </c>
      <c r="BA862">
        <f ca="1">IF(AND($AT862&lt;3,OFFSET(DATA!$C$14,$AS862,0)=BA$6),$AV862,dNULL)</f>
        <v>-99</v>
      </c>
      <c r="BB862">
        <f ca="1">IF(AND($AT862&lt;3,OFFSET(DATA!$C$14,$AS862,0)=BB$6),$AV862,dNULL)</f>
        <v>-99</v>
      </c>
      <c r="BC862">
        <f ca="1">IF(AND($AT862&lt;3,OFFSET(DATA!$C$14,$AS862,0)=BC$6),$AV862,dNULL)</f>
        <v>-99</v>
      </c>
      <c r="BD862">
        <f ca="1">IF(AND($AT862&lt;3,OFFSET(DATA!$C$14,$AS862,0)=BD$6),$AV862,dNULL)</f>
        <v>-99</v>
      </c>
      <c r="BE862">
        <f ca="1">IF(AND($AT862&lt;3,OFFSET(DATA!$C$14,$AS862,0)=BE$6),$AV862,dNULL)</f>
        <v>-99</v>
      </c>
      <c r="BF862">
        <f ca="1">IF(AND($AT862&lt;3,OFFSET(DATA!$C$14,$AS862,0)=BF$6),$AV862,dNULL)</f>
        <v>-99</v>
      </c>
      <c r="BG862">
        <f ca="1">IF(AND($AT862&lt;3,OFFSET(DATA!$C$14,$AS862,0)=BG$6),$AV862,dNULL)</f>
        <v>-99</v>
      </c>
      <c r="BH862">
        <f ca="1">IF(AND($AT862&lt;3,OFFSET(DATA!$C$14,$AS862,0)=BH$6),$AV862,dNULL)</f>
        <v>-99</v>
      </c>
    </row>
    <row r="863" spans="45:60" x14ac:dyDescent="0.25">
      <c r="AS863">
        <f t="shared" si="140"/>
        <v>47</v>
      </c>
      <c r="AT863">
        <f t="shared" si="141"/>
        <v>9</v>
      </c>
      <c r="AU863">
        <f t="shared" ca="1" si="142"/>
        <v>-99</v>
      </c>
      <c r="AV863">
        <f t="shared" ca="1" si="143"/>
        <v>-99</v>
      </c>
      <c r="AW863">
        <f ca="1">IF(AND($AT863&lt;3,OFFSET(DATA!$C$14,$AS863,0)=AW$6),$AV863,dNULL)</f>
        <v>-99</v>
      </c>
      <c r="AX863">
        <f ca="1">IF(AND($AT863&lt;3,OFFSET(DATA!$C$14,$AS863,0)=AX$6),$AV863,dNULL)</f>
        <v>-99</v>
      </c>
      <c r="AY863">
        <f ca="1">IF(AND($AT863&lt;3,OFFSET(DATA!$C$14,$AS863,0)=AY$6),$AV863,dNULL)</f>
        <v>-99</v>
      </c>
      <c r="AZ863">
        <f ca="1">IF(AND($AT863&lt;3,OFFSET(DATA!$C$14,$AS863,0)=AZ$6),$AV863,dNULL)</f>
        <v>-99</v>
      </c>
      <c r="BA863">
        <f ca="1">IF(AND($AT863&lt;3,OFFSET(DATA!$C$14,$AS863,0)=BA$6),$AV863,dNULL)</f>
        <v>-99</v>
      </c>
      <c r="BB863">
        <f ca="1">IF(AND($AT863&lt;3,OFFSET(DATA!$C$14,$AS863,0)=BB$6),$AV863,dNULL)</f>
        <v>-99</v>
      </c>
      <c r="BC863">
        <f ca="1">IF(AND($AT863&lt;3,OFFSET(DATA!$C$14,$AS863,0)=BC$6),$AV863,dNULL)</f>
        <v>-99</v>
      </c>
      <c r="BD863">
        <f ca="1">IF(AND($AT863&lt;3,OFFSET(DATA!$C$14,$AS863,0)=BD$6),$AV863,dNULL)</f>
        <v>-99</v>
      </c>
      <c r="BE863">
        <f ca="1">IF(AND($AT863&lt;3,OFFSET(DATA!$C$14,$AS863,0)=BE$6),$AV863,dNULL)</f>
        <v>-99</v>
      </c>
      <c r="BF863">
        <f ca="1">IF(AND($AT863&lt;3,OFFSET(DATA!$C$14,$AS863,0)=BF$6),$AV863,dNULL)</f>
        <v>-99</v>
      </c>
      <c r="BG863">
        <f ca="1">IF(AND($AT863&lt;3,OFFSET(DATA!$C$14,$AS863,0)=BG$6),$AV863,dNULL)</f>
        <v>-99</v>
      </c>
      <c r="BH863">
        <f ca="1">IF(AND($AT863&lt;3,OFFSET(DATA!$C$14,$AS863,0)=BH$6),$AV863,dNULL)</f>
        <v>-99</v>
      </c>
    </row>
    <row r="864" spans="45:60" x14ac:dyDescent="0.25">
      <c r="AS864">
        <f t="shared" si="140"/>
        <v>48</v>
      </c>
      <c r="AT864">
        <f t="shared" si="141"/>
        <v>9</v>
      </c>
      <c r="AU864">
        <f t="shared" ca="1" si="142"/>
        <v>-99</v>
      </c>
      <c r="AV864">
        <f t="shared" ca="1" si="143"/>
        <v>-99</v>
      </c>
      <c r="AW864">
        <f ca="1">IF(AND($AT864&lt;3,OFFSET(DATA!$C$14,$AS864,0)=AW$6),$AV864,dNULL)</f>
        <v>-99</v>
      </c>
      <c r="AX864">
        <f ca="1">IF(AND($AT864&lt;3,OFFSET(DATA!$C$14,$AS864,0)=AX$6),$AV864,dNULL)</f>
        <v>-99</v>
      </c>
      <c r="AY864">
        <f ca="1">IF(AND($AT864&lt;3,OFFSET(DATA!$C$14,$AS864,0)=AY$6),$AV864,dNULL)</f>
        <v>-99</v>
      </c>
      <c r="AZ864">
        <f ca="1">IF(AND($AT864&lt;3,OFFSET(DATA!$C$14,$AS864,0)=AZ$6),$AV864,dNULL)</f>
        <v>-99</v>
      </c>
      <c r="BA864">
        <f ca="1">IF(AND($AT864&lt;3,OFFSET(DATA!$C$14,$AS864,0)=BA$6),$AV864,dNULL)</f>
        <v>-99</v>
      </c>
      <c r="BB864">
        <f ca="1">IF(AND($AT864&lt;3,OFFSET(DATA!$C$14,$AS864,0)=BB$6),$AV864,dNULL)</f>
        <v>-99</v>
      </c>
      <c r="BC864">
        <f ca="1">IF(AND($AT864&lt;3,OFFSET(DATA!$C$14,$AS864,0)=BC$6),$AV864,dNULL)</f>
        <v>-99</v>
      </c>
      <c r="BD864">
        <f ca="1">IF(AND($AT864&lt;3,OFFSET(DATA!$C$14,$AS864,0)=BD$6),$AV864,dNULL)</f>
        <v>-99</v>
      </c>
      <c r="BE864">
        <f ca="1">IF(AND($AT864&lt;3,OFFSET(DATA!$C$14,$AS864,0)=BE$6),$AV864,dNULL)</f>
        <v>-99</v>
      </c>
      <c r="BF864">
        <f ca="1">IF(AND($AT864&lt;3,OFFSET(DATA!$C$14,$AS864,0)=BF$6),$AV864,dNULL)</f>
        <v>-99</v>
      </c>
      <c r="BG864">
        <f ca="1">IF(AND($AT864&lt;3,OFFSET(DATA!$C$14,$AS864,0)=BG$6),$AV864,dNULL)</f>
        <v>-99</v>
      </c>
      <c r="BH864">
        <f ca="1">IF(AND($AT864&lt;3,OFFSET(DATA!$C$14,$AS864,0)=BH$6),$AV864,dNULL)</f>
        <v>-99</v>
      </c>
    </row>
    <row r="865" spans="45:60" x14ac:dyDescent="0.25">
      <c r="AS865">
        <f t="shared" si="140"/>
        <v>49</v>
      </c>
      <c r="AT865">
        <f t="shared" si="141"/>
        <v>9</v>
      </c>
      <c r="AU865">
        <f t="shared" ca="1" si="142"/>
        <v>-99</v>
      </c>
      <c r="AV865">
        <f t="shared" ca="1" si="143"/>
        <v>-99</v>
      </c>
      <c r="AW865">
        <f ca="1">IF(AND($AT865&lt;3,OFFSET(DATA!$C$14,$AS865,0)=AW$6),$AV865,dNULL)</f>
        <v>-99</v>
      </c>
      <c r="AX865">
        <f ca="1">IF(AND($AT865&lt;3,OFFSET(DATA!$C$14,$AS865,0)=AX$6),$AV865,dNULL)</f>
        <v>-99</v>
      </c>
      <c r="AY865">
        <f ca="1">IF(AND($AT865&lt;3,OFFSET(DATA!$C$14,$AS865,0)=AY$6),$AV865,dNULL)</f>
        <v>-99</v>
      </c>
      <c r="AZ865">
        <f ca="1">IF(AND($AT865&lt;3,OFFSET(DATA!$C$14,$AS865,0)=AZ$6),$AV865,dNULL)</f>
        <v>-99</v>
      </c>
      <c r="BA865">
        <f ca="1">IF(AND($AT865&lt;3,OFFSET(DATA!$C$14,$AS865,0)=BA$6),$AV865,dNULL)</f>
        <v>-99</v>
      </c>
      <c r="BB865">
        <f ca="1">IF(AND($AT865&lt;3,OFFSET(DATA!$C$14,$AS865,0)=BB$6),$AV865,dNULL)</f>
        <v>-99</v>
      </c>
      <c r="BC865">
        <f ca="1">IF(AND($AT865&lt;3,OFFSET(DATA!$C$14,$AS865,0)=BC$6),$AV865,dNULL)</f>
        <v>-99</v>
      </c>
      <c r="BD865">
        <f ca="1">IF(AND($AT865&lt;3,OFFSET(DATA!$C$14,$AS865,0)=BD$6),$AV865,dNULL)</f>
        <v>-99</v>
      </c>
      <c r="BE865">
        <f ca="1">IF(AND($AT865&lt;3,OFFSET(DATA!$C$14,$AS865,0)=BE$6),$AV865,dNULL)</f>
        <v>-99</v>
      </c>
      <c r="BF865">
        <f ca="1">IF(AND($AT865&lt;3,OFFSET(DATA!$C$14,$AS865,0)=BF$6),$AV865,dNULL)</f>
        <v>-99</v>
      </c>
      <c r="BG865">
        <f ca="1">IF(AND($AT865&lt;3,OFFSET(DATA!$C$14,$AS865,0)=BG$6),$AV865,dNULL)</f>
        <v>-99</v>
      </c>
      <c r="BH865">
        <f ca="1">IF(AND($AT865&lt;3,OFFSET(DATA!$C$14,$AS865,0)=BH$6),$AV865,dNULL)</f>
        <v>-99</v>
      </c>
    </row>
    <row r="866" spans="45:60" x14ac:dyDescent="0.25">
      <c r="AS866">
        <f t="shared" si="140"/>
        <v>50</v>
      </c>
      <c r="AT866">
        <f t="shared" si="141"/>
        <v>9</v>
      </c>
      <c r="AU866">
        <f t="shared" ca="1" si="142"/>
        <v>-99</v>
      </c>
      <c r="AV866">
        <f t="shared" ca="1" si="143"/>
        <v>-99</v>
      </c>
      <c r="AW866">
        <f ca="1">IF(AND($AT866&lt;3,OFFSET(DATA!$C$14,$AS866,0)=AW$6),$AV866,dNULL)</f>
        <v>-99</v>
      </c>
      <c r="AX866">
        <f ca="1">IF(AND($AT866&lt;3,OFFSET(DATA!$C$14,$AS866,0)=AX$6),$AV866,dNULL)</f>
        <v>-99</v>
      </c>
      <c r="AY866">
        <f ca="1">IF(AND($AT866&lt;3,OFFSET(DATA!$C$14,$AS866,0)=AY$6),$AV866,dNULL)</f>
        <v>-99</v>
      </c>
      <c r="AZ866">
        <f ca="1">IF(AND($AT866&lt;3,OFFSET(DATA!$C$14,$AS866,0)=AZ$6),$AV866,dNULL)</f>
        <v>-99</v>
      </c>
      <c r="BA866">
        <f ca="1">IF(AND($AT866&lt;3,OFFSET(DATA!$C$14,$AS866,0)=BA$6),$AV866,dNULL)</f>
        <v>-99</v>
      </c>
      <c r="BB866">
        <f ca="1">IF(AND($AT866&lt;3,OFFSET(DATA!$C$14,$AS866,0)=BB$6),$AV866,dNULL)</f>
        <v>-99</v>
      </c>
      <c r="BC866">
        <f ca="1">IF(AND($AT866&lt;3,OFFSET(DATA!$C$14,$AS866,0)=BC$6),$AV866,dNULL)</f>
        <v>-99</v>
      </c>
      <c r="BD866">
        <f ca="1">IF(AND($AT866&lt;3,OFFSET(DATA!$C$14,$AS866,0)=BD$6),$AV866,dNULL)</f>
        <v>-99</v>
      </c>
      <c r="BE866">
        <f ca="1">IF(AND($AT866&lt;3,OFFSET(DATA!$C$14,$AS866,0)=BE$6),$AV866,dNULL)</f>
        <v>-99</v>
      </c>
      <c r="BF866">
        <f ca="1">IF(AND($AT866&lt;3,OFFSET(DATA!$C$14,$AS866,0)=BF$6),$AV866,dNULL)</f>
        <v>-99</v>
      </c>
      <c r="BG866">
        <f ca="1">IF(AND($AT866&lt;3,OFFSET(DATA!$C$14,$AS866,0)=BG$6),$AV866,dNULL)</f>
        <v>-99</v>
      </c>
      <c r="BH866">
        <f ca="1">IF(AND($AT866&lt;3,OFFSET(DATA!$C$14,$AS866,0)=BH$6),$AV866,dNULL)</f>
        <v>-99</v>
      </c>
    </row>
    <row r="867" spans="45:60" x14ac:dyDescent="0.25">
      <c r="AS867">
        <f t="shared" si="140"/>
        <v>51</v>
      </c>
      <c r="AT867">
        <f t="shared" si="141"/>
        <v>9</v>
      </c>
      <c r="AU867">
        <f t="shared" ca="1" si="142"/>
        <v>-99</v>
      </c>
      <c r="AV867">
        <f t="shared" ca="1" si="143"/>
        <v>-99</v>
      </c>
      <c r="AW867">
        <f ca="1">IF(AND($AT867&lt;3,OFFSET(DATA!$C$14,$AS867,0)=AW$6),$AV867,dNULL)</f>
        <v>-99</v>
      </c>
      <c r="AX867">
        <f ca="1">IF(AND($AT867&lt;3,OFFSET(DATA!$C$14,$AS867,0)=AX$6),$AV867,dNULL)</f>
        <v>-99</v>
      </c>
      <c r="AY867">
        <f ca="1">IF(AND($AT867&lt;3,OFFSET(DATA!$C$14,$AS867,0)=AY$6),$AV867,dNULL)</f>
        <v>-99</v>
      </c>
      <c r="AZ867">
        <f ca="1">IF(AND($AT867&lt;3,OFFSET(DATA!$C$14,$AS867,0)=AZ$6),$AV867,dNULL)</f>
        <v>-99</v>
      </c>
      <c r="BA867">
        <f ca="1">IF(AND($AT867&lt;3,OFFSET(DATA!$C$14,$AS867,0)=BA$6),$AV867,dNULL)</f>
        <v>-99</v>
      </c>
      <c r="BB867">
        <f ca="1">IF(AND($AT867&lt;3,OFFSET(DATA!$C$14,$AS867,0)=BB$6),$AV867,dNULL)</f>
        <v>-99</v>
      </c>
      <c r="BC867">
        <f ca="1">IF(AND($AT867&lt;3,OFFSET(DATA!$C$14,$AS867,0)=BC$6),$AV867,dNULL)</f>
        <v>-99</v>
      </c>
      <c r="BD867">
        <f ca="1">IF(AND($AT867&lt;3,OFFSET(DATA!$C$14,$AS867,0)=BD$6),$AV867,dNULL)</f>
        <v>-99</v>
      </c>
      <c r="BE867">
        <f ca="1">IF(AND($AT867&lt;3,OFFSET(DATA!$C$14,$AS867,0)=BE$6),$AV867,dNULL)</f>
        <v>-99</v>
      </c>
      <c r="BF867">
        <f ca="1">IF(AND($AT867&lt;3,OFFSET(DATA!$C$14,$AS867,0)=BF$6),$AV867,dNULL)</f>
        <v>-99</v>
      </c>
      <c r="BG867">
        <f ca="1">IF(AND($AT867&lt;3,OFFSET(DATA!$C$14,$AS867,0)=BG$6),$AV867,dNULL)</f>
        <v>-99</v>
      </c>
      <c r="BH867">
        <f ca="1">IF(AND($AT867&lt;3,OFFSET(DATA!$C$14,$AS867,0)=BH$6),$AV867,dNULL)</f>
        <v>-99</v>
      </c>
    </row>
    <row r="868" spans="45:60" x14ac:dyDescent="0.25">
      <c r="AS868">
        <f t="shared" si="140"/>
        <v>52</v>
      </c>
      <c r="AT868">
        <f t="shared" si="141"/>
        <v>9</v>
      </c>
      <c r="AU868">
        <f t="shared" ca="1" si="142"/>
        <v>-99</v>
      </c>
      <c r="AV868">
        <f t="shared" ca="1" si="143"/>
        <v>-99</v>
      </c>
      <c r="AW868">
        <f ca="1">IF(AND($AT868&lt;3,OFFSET(DATA!$C$14,$AS868,0)=AW$6),$AV868,dNULL)</f>
        <v>-99</v>
      </c>
      <c r="AX868">
        <f ca="1">IF(AND($AT868&lt;3,OFFSET(DATA!$C$14,$AS868,0)=AX$6),$AV868,dNULL)</f>
        <v>-99</v>
      </c>
      <c r="AY868">
        <f ca="1">IF(AND($AT868&lt;3,OFFSET(DATA!$C$14,$AS868,0)=AY$6),$AV868,dNULL)</f>
        <v>-99</v>
      </c>
      <c r="AZ868">
        <f ca="1">IF(AND($AT868&lt;3,OFFSET(DATA!$C$14,$AS868,0)=AZ$6),$AV868,dNULL)</f>
        <v>-99</v>
      </c>
      <c r="BA868">
        <f ca="1">IF(AND($AT868&lt;3,OFFSET(DATA!$C$14,$AS868,0)=BA$6),$AV868,dNULL)</f>
        <v>-99</v>
      </c>
      <c r="BB868">
        <f ca="1">IF(AND($AT868&lt;3,OFFSET(DATA!$C$14,$AS868,0)=BB$6),$AV868,dNULL)</f>
        <v>-99</v>
      </c>
      <c r="BC868">
        <f ca="1">IF(AND($AT868&lt;3,OFFSET(DATA!$C$14,$AS868,0)=BC$6),$AV868,dNULL)</f>
        <v>-99</v>
      </c>
      <c r="BD868">
        <f ca="1">IF(AND($AT868&lt;3,OFFSET(DATA!$C$14,$AS868,0)=BD$6),$AV868,dNULL)</f>
        <v>-99</v>
      </c>
      <c r="BE868">
        <f ca="1">IF(AND($AT868&lt;3,OFFSET(DATA!$C$14,$AS868,0)=BE$6),$AV868,dNULL)</f>
        <v>-99</v>
      </c>
      <c r="BF868">
        <f ca="1">IF(AND($AT868&lt;3,OFFSET(DATA!$C$14,$AS868,0)=BF$6),$AV868,dNULL)</f>
        <v>-99</v>
      </c>
      <c r="BG868">
        <f ca="1">IF(AND($AT868&lt;3,OFFSET(DATA!$C$14,$AS868,0)=BG$6),$AV868,dNULL)</f>
        <v>-99</v>
      </c>
      <c r="BH868">
        <f ca="1">IF(AND($AT868&lt;3,OFFSET(DATA!$C$14,$AS868,0)=BH$6),$AV868,dNULL)</f>
        <v>-99</v>
      </c>
    </row>
    <row r="869" spans="45:60" x14ac:dyDescent="0.25">
      <c r="AS869">
        <f t="shared" si="140"/>
        <v>53</v>
      </c>
      <c r="AT869">
        <f t="shared" si="141"/>
        <v>9</v>
      </c>
      <c r="AU869">
        <f t="shared" ca="1" si="142"/>
        <v>-99</v>
      </c>
      <c r="AV869">
        <f t="shared" ca="1" si="143"/>
        <v>-99</v>
      </c>
      <c r="AW869">
        <f ca="1">IF(AND($AT869&lt;3,OFFSET(DATA!$C$14,$AS869,0)=AW$6),$AV869,dNULL)</f>
        <v>-99</v>
      </c>
      <c r="AX869">
        <f ca="1">IF(AND($AT869&lt;3,OFFSET(DATA!$C$14,$AS869,0)=AX$6),$AV869,dNULL)</f>
        <v>-99</v>
      </c>
      <c r="AY869">
        <f ca="1">IF(AND($AT869&lt;3,OFFSET(DATA!$C$14,$AS869,0)=AY$6),$AV869,dNULL)</f>
        <v>-99</v>
      </c>
      <c r="AZ869">
        <f ca="1">IF(AND($AT869&lt;3,OFFSET(DATA!$C$14,$AS869,0)=AZ$6),$AV869,dNULL)</f>
        <v>-99</v>
      </c>
      <c r="BA869">
        <f ca="1">IF(AND($AT869&lt;3,OFFSET(DATA!$C$14,$AS869,0)=BA$6),$AV869,dNULL)</f>
        <v>-99</v>
      </c>
      <c r="BB869">
        <f ca="1">IF(AND($AT869&lt;3,OFFSET(DATA!$C$14,$AS869,0)=BB$6),$AV869,dNULL)</f>
        <v>-99</v>
      </c>
      <c r="BC869">
        <f ca="1">IF(AND($AT869&lt;3,OFFSET(DATA!$C$14,$AS869,0)=BC$6),$AV869,dNULL)</f>
        <v>-99</v>
      </c>
      <c r="BD869">
        <f ca="1">IF(AND($AT869&lt;3,OFFSET(DATA!$C$14,$AS869,0)=BD$6),$AV869,dNULL)</f>
        <v>-99</v>
      </c>
      <c r="BE869">
        <f ca="1">IF(AND($AT869&lt;3,OFFSET(DATA!$C$14,$AS869,0)=BE$6),$AV869,dNULL)</f>
        <v>-99</v>
      </c>
      <c r="BF869">
        <f ca="1">IF(AND($AT869&lt;3,OFFSET(DATA!$C$14,$AS869,0)=BF$6),$AV869,dNULL)</f>
        <v>-99</v>
      </c>
      <c r="BG869">
        <f ca="1">IF(AND($AT869&lt;3,OFFSET(DATA!$C$14,$AS869,0)=BG$6),$AV869,dNULL)</f>
        <v>-99</v>
      </c>
      <c r="BH869">
        <f ca="1">IF(AND($AT869&lt;3,OFFSET(DATA!$C$14,$AS869,0)=BH$6),$AV869,dNULL)</f>
        <v>-99</v>
      </c>
    </row>
    <row r="870" spans="45:60" x14ac:dyDescent="0.25">
      <c r="AS870">
        <f t="shared" si="140"/>
        <v>54</v>
      </c>
      <c r="AT870">
        <f t="shared" si="141"/>
        <v>9</v>
      </c>
      <c r="AU870">
        <f t="shared" ca="1" si="142"/>
        <v>-99</v>
      </c>
      <c r="AV870">
        <f t="shared" ca="1" si="143"/>
        <v>-99</v>
      </c>
      <c r="AW870">
        <f ca="1">IF(AND($AT870&lt;3,OFFSET(DATA!$C$14,$AS870,0)=AW$6),$AV870,dNULL)</f>
        <v>-99</v>
      </c>
      <c r="AX870">
        <f ca="1">IF(AND($AT870&lt;3,OFFSET(DATA!$C$14,$AS870,0)=AX$6),$AV870,dNULL)</f>
        <v>-99</v>
      </c>
      <c r="AY870">
        <f ca="1">IF(AND($AT870&lt;3,OFFSET(DATA!$C$14,$AS870,0)=AY$6),$AV870,dNULL)</f>
        <v>-99</v>
      </c>
      <c r="AZ870">
        <f ca="1">IF(AND($AT870&lt;3,OFFSET(DATA!$C$14,$AS870,0)=AZ$6),$AV870,dNULL)</f>
        <v>-99</v>
      </c>
      <c r="BA870">
        <f ca="1">IF(AND($AT870&lt;3,OFFSET(DATA!$C$14,$AS870,0)=BA$6),$AV870,dNULL)</f>
        <v>-99</v>
      </c>
      <c r="BB870">
        <f ca="1">IF(AND($AT870&lt;3,OFFSET(DATA!$C$14,$AS870,0)=BB$6),$AV870,dNULL)</f>
        <v>-99</v>
      </c>
      <c r="BC870">
        <f ca="1">IF(AND($AT870&lt;3,OFFSET(DATA!$C$14,$AS870,0)=BC$6),$AV870,dNULL)</f>
        <v>-99</v>
      </c>
      <c r="BD870">
        <f ca="1">IF(AND($AT870&lt;3,OFFSET(DATA!$C$14,$AS870,0)=BD$6),$AV870,dNULL)</f>
        <v>-99</v>
      </c>
      <c r="BE870">
        <f ca="1">IF(AND($AT870&lt;3,OFFSET(DATA!$C$14,$AS870,0)=BE$6),$AV870,dNULL)</f>
        <v>-99</v>
      </c>
      <c r="BF870">
        <f ca="1">IF(AND($AT870&lt;3,OFFSET(DATA!$C$14,$AS870,0)=BF$6),$AV870,dNULL)</f>
        <v>-99</v>
      </c>
      <c r="BG870">
        <f ca="1">IF(AND($AT870&lt;3,OFFSET(DATA!$C$14,$AS870,0)=BG$6),$AV870,dNULL)</f>
        <v>-99</v>
      </c>
      <c r="BH870">
        <f ca="1">IF(AND($AT870&lt;3,OFFSET(DATA!$C$14,$AS870,0)=BH$6),$AV870,dNULL)</f>
        <v>-99</v>
      </c>
    </row>
    <row r="871" spans="45:60" x14ac:dyDescent="0.25">
      <c r="AS871">
        <f t="shared" si="140"/>
        <v>55</v>
      </c>
      <c r="AT871">
        <f t="shared" si="141"/>
        <v>9</v>
      </c>
      <c r="AU871">
        <f t="shared" ca="1" si="142"/>
        <v>-99</v>
      </c>
      <c r="AV871">
        <f t="shared" ca="1" si="143"/>
        <v>-99</v>
      </c>
      <c r="AW871">
        <f ca="1">IF(AND($AT871&lt;3,OFFSET(DATA!$C$14,$AS871,0)=AW$6),$AV871,dNULL)</f>
        <v>-99</v>
      </c>
      <c r="AX871">
        <f ca="1">IF(AND($AT871&lt;3,OFFSET(DATA!$C$14,$AS871,0)=AX$6),$AV871,dNULL)</f>
        <v>-99</v>
      </c>
      <c r="AY871">
        <f ca="1">IF(AND($AT871&lt;3,OFFSET(DATA!$C$14,$AS871,0)=AY$6),$AV871,dNULL)</f>
        <v>-99</v>
      </c>
      <c r="AZ871">
        <f ca="1">IF(AND($AT871&lt;3,OFFSET(DATA!$C$14,$AS871,0)=AZ$6),$AV871,dNULL)</f>
        <v>-99</v>
      </c>
      <c r="BA871">
        <f ca="1">IF(AND($AT871&lt;3,OFFSET(DATA!$C$14,$AS871,0)=BA$6),$AV871,dNULL)</f>
        <v>-99</v>
      </c>
      <c r="BB871">
        <f ca="1">IF(AND($AT871&lt;3,OFFSET(DATA!$C$14,$AS871,0)=BB$6),$AV871,dNULL)</f>
        <v>-99</v>
      </c>
      <c r="BC871">
        <f ca="1">IF(AND($AT871&lt;3,OFFSET(DATA!$C$14,$AS871,0)=BC$6),$AV871,dNULL)</f>
        <v>-99</v>
      </c>
      <c r="BD871">
        <f ca="1">IF(AND($AT871&lt;3,OFFSET(DATA!$C$14,$AS871,0)=BD$6),$AV871,dNULL)</f>
        <v>-99</v>
      </c>
      <c r="BE871">
        <f ca="1">IF(AND($AT871&lt;3,OFFSET(DATA!$C$14,$AS871,0)=BE$6),$AV871,dNULL)</f>
        <v>-99</v>
      </c>
      <c r="BF871">
        <f ca="1">IF(AND($AT871&lt;3,OFFSET(DATA!$C$14,$AS871,0)=BF$6),$AV871,dNULL)</f>
        <v>-99</v>
      </c>
      <c r="BG871">
        <f ca="1">IF(AND($AT871&lt;3,OFFSET(DATA!$C$14,$AS871,0)=BG$6),$AV871,dNULL)</f>
        <v>-99</v>
      </c>
      <c r="BH871">
        <f ca="1">IF(AND($AT871&lt;3,OFFSET(DATA!$C$14,$AS871,0)=BH$6),$AV871,dNULL)</f>
        <v>-99</v>
      </c>
    </row>
    <row r="872" spans="45:60" x14ac:dyDescent="0.25">
      <c r="AS872">
        <f t="shared" si="140"/>
        <v>56</v>
      </c>
      <c r="AT872">
        <f t="shared" si="141"/>
        <v>9</v>
      </c>
      <c r="AU872">
        <f t="shared" ca="1" si="142"/>
        <v>-99</v>
      </c>
      <c r="AV872">
        <f t="shared" ca="1" si="143"/>
        <v>-99</v>
      </c>
      <c r="AW872">
        <f ca="1">IF(AND($AT872&lt;3,OFFSET(DATA!$C$14,$AS872,0)=AW$6),$AV872,dNULL)</f>
        <v>-99</v>
      </c>
      <c r="AX872">
        <f ca="1">IF(AND($AT872&lt;3,OFFSET(DATA!$C$14,$AS872,0)=AX$6),$AV872,dNULL)</f>
        <v>-99</v>
      </c>
      <c r="AY872">
        <f ca="1">IF(AND($AT872&lt;3,OFFSET(DATA!$C$14,$AS872,0)=AY$6),$AV872,dNULL)</f>
        <v>-99</v>
      </c>
      <c r="AZ872">
        <f ca="1">IF(AND($AT872&lt;3,OFFSET(DATA!$C$14,$AS872,0)=AZ$6),$AV872,dNULL)</f>
        <v>-99</v>
      </c>
      <c r="BA872">
        <f ca="1">IF(AND($AT872&lt;3,OFFSET(DATA!$C$14,$AS872,0)=BA$6),$AV872,dNULL)</f>
        <v>-99</v>
      </c>
      <c r="BB872">
        <f ca="1">IF(AND($AT872&lt;3,OFFSET(DATA!$C$14,$AS872,0)=BB$6),$AV872,dNULL)</f>
        <v>-99</v>
      </c>
      <c r="BC872">
        <f ca="1">IF(AND($AT872&lt;3,OFFSET(DATA!$C$14,$AS872,0)=BC$6),$AV872,dNULL)</f>
        <v>-99</v>
      </c>
      <c r="BD872">
        <f ca="1">IF(AND($AT872&lt;3,OFFSET(DATA!$C$14,$AS872,0)=BD$6),$AV872,dNULL)</f>
        <v>-99</v>
      </c>
      <c r="BE872">
        <f ca="1">IF(AND($AT872&lt;3,OFFSET(DATA!$C$14,$AS872,0)=BE$6),$AV872,dNULL)</f>
        <v>-99</v>
      </c>
      <c r="BF872">
        <f ca="1">IF(AND($AT872&lt;3,OFFSET(DATA!$C$14,$AS872,0)=BF$6),$AV872,dNULL)</f>
        <v>-99</v>
      </c>
      <c r="BG872">
        <f ca="1">IF(AND($AT872&lt;3,OFFSET(DATA!$C$14,$AS872,0)=BG$6),$AV872,dNULL)</f>
        <v>-99</v>
      </c>
      <c r="BH872">
        <f ca="1">IF(AND($AT872&lt;3,OFFSET(DATA!$C$14,$AS872,0)=BH$6),$AV872,dNULL)</f>
        <v>-99</v>
      </c>
    </row>
    <row r="873" spans="45:60" x14ac:dyDescent="0.25">
      <c r="AS873">
        <f t="shared" si="140"/>
        <v>57</v>
      </c>
      <c r="AT873">
        <f t="shared" si="141"/>
        <v>9</v>
      </c>
      <c r="AU873">
        <f t="shared" ca="1" si="142"/>
        <v>-99</v>
      </c>
      <c r="AV873">
        <f t="shared" ca="1" si="143"/>
        <v>-99</v>
      </c>
      <c r="AW873">
        <f ca="1">IF(AND($AT873&lt;3,OFFSET(DATA!$C$14,$AS873,0)=AW$6),$AV873,dNULL)</f>
        <v>-99</v>
      </c>
      <c r="AX873">
        <f ca="1">IF(AND($AT873&lt;3,OFFSET(DATA!$C$14,$AS873,0)=AX$6),$AV873,dNULL)</f>
        <v>-99</v>
      </c>
      <c r="AY873">
        <f ca="1">IF(AND($AT873&lt;3,OFFSET(DATA!$C$14,$AS873,0)=AY$6),$AV873,dNULL)</f>
        <v>-99</v>
      </c>
      <c r="AZ873">
        <f ca="1">IF(AND($AT873&lt;3,OFFSET(DATA!$C$14,$AS873,0)=AZ$6),$AV873,dNULL)</f>
        <v>-99</v>
      </c>
      <c r="BA873">
        <f ca="1">IF(AND($AT873&lt;3,OFFSET(DATA!$C$14,$AS873,0)=BA$6),$AV873,dNULL)</f>
        <v>-99</v>
      </c>
      <c r="BB873">
        <f ca="1">IF(AND($AT873&lt;3,OFFSET(DATA!$C$14,$AS873,0)=BB$6),$AV873,dNULL)</f>
        <v>-99</v>
      </c>
      <c r="BC873">
        <f ca="1">IF(AND($AT873&lt;3,OFFSET(DATA!$C$14,$AS873,0)=BC$6),$AV873,dNULL)</f>
        <v>-99</v>
      </c>
      <c r="BD873">
        <f ca="1">IF(AND($AT873&lt;3,OFFSET(DATA!$C$14,$AS873,0)=BD$6),$AV873,dNULL)</f>
        <v>-99</v>
      </c>
      <c r="BE873">
        <f ca="1">IF(AND($AT873&lt;3,OFFSET(DATA!$C$14,$AS873,0)=BE$6),$AV873,dNULL)</f>
        <v>-99</v>
      </c>
      <c r="BF873">
        <f ca="1">IF(AND($AT873&lt;3,OFFSET(DATA!$C$14,$AS873,0)=BF$6),$AV873,dNULL)</f>
        <v>-99</v>
      </c>
      <c r="BG873">
        <f ca="1">IF(AND($AT873&lt;3,OFFSET(DATA!$C$14,$AS873,0)=BG$6),$AV873,dNULL)</f>
        <v>-99</v>
      </c>
      <c r="BH873">
        <f ca="1">IF(AND($AT873&lt;3,OFFSET(DATA!$C$14,$AS873,0)=BH$6),$AV873,dNULL)</f>
        <v>-99</v>
      </c>
    </row>
    <row r="874" spans="45:60" x14ac:dyDescent="0.25">
      <c r="AS874">
        <f t="shared" si="140"/>
        <v>58</v>
      </c>
      <c r="AT874">
        <f t="shared" si="141"/>
        <v>9</v>
      </c>
      <c r="AU874">
        <f t="shared" ca="1" si="142"/>
        <v>-99</v>
      </c>
      <c r="AV874">
        <f t="shared" ca="1" si="143"/>
        <v>-99</v>
      </c>
      <c r="AW874">
        <f ca="1">IF(AND($AT874&lt;3,OFFSET(DATA!$C$14,$AS874,0)=AW$6),$AV874,dNULL)</f>
        <v>-99</v>
      </c>
      <c r="AX874">
        <f ca="1">IF(AND($AT874&lt;3,OFFSET(DATA!$C$14,$AS874,0)=AX$6),$AV874,dNULL)</f>
        <v>-99</v>
      </c>
      <c r="AY874">
        <f ca="1">IF(AND($AT874&lt;3,OFFSET(DATA!$C$14,$AS874,0)=AY$6),$AV874,dNULL)</f>
        <v>-99</v>
      </c>
      <c r="AZ874">
        <f ca="1">IF(AND($AT874&lt;3,OFFSET(DATA!$C$14,$AS874,0)=AZ$6),$AV874,dNULL)</f>
        <v>-99</v>
      </c>
      <c r="BA874">
        <f ca="1">IF(AND($AT874&lt;3,OFFSET(DATA!$C$14,$AS874,0)=BA$6),$AV874,dNULL)</f>
        <v>-99</v>
      </c>
      <c r="BB874">
        <f ca="1">IF(AND($AT874&lt;3,OFFSET(DATA!$C$14,$AS874,0)=BB$6),$AV874,dNULL)</f>
        <v>-99</v>
      </c>
      <c r="BC874">
        <f ca="1">IF(AND($AT874&lt;3,OFFSET(DATA!$C$14,$AS874,0)=BC$6),$AV874,dNULL)</f>
        <v>-99</v>
      </c>
      <c r="BD874">
        <f ca="1">IF(AND($AT874&lt;3,OFFSET(DATA!$C$14,$AS874,0)=BD$6),$AV874,dNULL)</f>
        <v>-99</v>
      </c>
      <c r="BE874">
        <f ca="1">IF(AND($AT874&lt;3,OFFSET(DATA!$C$14,$AS874,0)=BE$6),$AV874,dNULL)</f>
        <v>-99</v>
      </c>
      <c r="BF874">
        <f ca="1">IF(AND($AT874&lt;3,OFFSET(DATA!$C$14,$AS874,0)=BF$6),$AV874,dNULL)</f>
        <v>-99</v>
      </c>
      <c r="BG874">
        <f ca="1">IF(AND($AT874&lt;3,OFFSET(DATA!$C$14,$AS874,0)=BG$6),$AV874,dNULL)</f>
        <v>-99</v>
      </c>
      <c r="BH874">
        <f ca="1">IF(AND($AT874&lt;3,OFFSET(DATA!$C$14,$AS874,0)=BH$6),$AV874,dNULL)</f>
        <v>-99</v>
      </c>
    </row>
    <row r="875" spans="45:60" x14ac:dyDescent="0.25">
      <c r="AS875">
        <f t="shared" si="140"/>
        <v>59</v>
      </c>
      <c r="AT875">
        <f t="shared" si="141"/>
        <v>9</v>
      </c>
      <c r="AU875">
        <f t="shared" ca="1" si="142"/>
        <v>-99</v>
      </c>
      <c r="AV875">
        <f t="shared" ca="1" si="143"/>
        <v>-99</v>
      </c>
      <c r="AW875">
        <f ca="1">IF(AND($AT875&lt;3,OFFSET(DATA!$C$14,$AS875,0)=AW$6),$AV875,dNULL)</f>
        <v>-99</v>
      </c>
      <c r="AX875">
        <f ca="1">IF(AND($AT875&lt;3,OFFSET(DATA!$C$14,$AS875,0)=AX$6),$AV875,dNULL)</f>
        <v>-99</v>
      </c>
      <c r="AY875">
        <f ca="1">IF(AND($AT875&lt;3,OFFSET(DATA!$C$14,$AS875,0)=AY$6),$AV875,dNULL)</f>
        <v>-99</v>
      </c>
      <c r="AZ875">
        <f ca="1">IF(AND($AT875&lt;3,OFFSET(DATA!$C$14,$AS875,0)=AZ$6),$AV875,dNULL)</f>
        <v>-99</v>
      </c>
      <c r="BA875">
        <f ca="1">IF(AND($AT875&lt;3,OFFSET(DATA!$C$14,$AS875,0)=BA$6),$AV875,dNULL)</f>
        <v>-99</v>
      </c>
      <c r="BB875">
        <f ca="1">IF(AND($AT875&lt;3,OFFSET(DATA!$C$14,$AS875,0)=BB$6),$AV875,dNULL)</f>
        <v>-99</v>
      </c>
      <c r="BC875">
        <f ca="1">IF(AND($AT875&lt;3,OFFSET(DATA!$C$14,$AS875,0)=BC$6),$AV875,dNULL)</f>
        <v>-99</v>
      </c>
      <c r="BD875">
        <f ca="1">IF(AND($AT875&lt;3,OFFSET(DATA!$C$14,$AS875,0)=BD$6),$AV875,dNULL)</f>
        <v>-99</v>
      </c>
      <c r="BE875">
        <f ca="1">IF(AND($AT875&lt;3,OFFSET(DATA!$C$14,$AS875,0)=BE$6),$AV875,dNULL)</f>
        <v>-99</v>
      </c>
      <c r="BF875">
        <f ca="1">IF(AND($AT875&lt;3,OFFSET(DATA!$C$14,$AS875,0)=BF$6),$AV875,dNULL)</f>
        <v>-99</v>
      </c>
      <c r="BG875">
        <f ca="1">IF(AND($AT875&lt;3,OFFSET(DATA!$C$14,$AS875,0)=BG$6),$AV875,dNULL)</f>
        <v>-99</v>
      </c>
      <c r="BH875">
        <f ca="1">IF(AND($AT875&lt;3,OFFSET(DATA!$C$14,$AS875,0)=BH$6),$AV875,dNULL)</f>
        <v>-99</v>
      </c>
    </row>
    <row r="876" spans="45:60" x14ac:dyDescent="0.25">
      <c r="AS876">
        <f t="shared" si="140"/>
        <v>60</v>
      </c>
      <c r="AT876">
        <f t="shared" si="141"/>
        <v>9</v>
      </c>
      <c r="AU876">
        <f t="shared" ca="1" si="142"/>
        <v>-99</v>
      </c>
      <c r="AV876">
        <f t="shared" ca="1" si="143"/>
        <v>-99</v>
      </c>
      <c r="AW876">
        <f ca="1">IF(AND($AT876&lt;3,OFFSET(DATA!$C$14,$AS876,0)=AW$6),$AV876,dNULL)</f>
        <v>-99</v>
      </c>
      <c r="AX876">
        <f ca="1">IF(AND($AT876&lt;3,OFFSET(DATA!$C$14,$AS876,0)=AX$6),$AV876,dNULL)</f>
        <v>-99</v>
      </c>
      <c r="AY876">
        <f ca="1">IF(AND($AT876&lt;3,OFFSET(DATA!$C$14,$AS876,0)=AY$6),$AV876,dNULL)</f>
        <v>-99</v>
      </c>
      <c r="AZ876">
        <f ca="1">IF(AND($AT876&lt;3,OFFSET(DATA!$C$14,$AS876,0)=AZ$6),$AV876,dNULL)</f>
        <v>-99</v>
      </c>
      <c r="BA876">
        <f ca="1">IF(AND($AT876&lt;3,OFFSET(DATA!$C$14,$AS876,0)=BA$6),$AV876,dNULL)</f>
        <v>-99</v>
      </c>
      <c r="BB876">
        <f ca="1">IF(AND($AT876&lt;3,OFFSET(DATA!$C$14,$AS876,0)=BB$6),$AV876,dNULL)</f>
        <v>-99</v>
      </c>
      <c r="BC876">
        <f ca="1">IF(AND($AT876&lt;3,OFFSET(DATA!$C$14,$AS876,0)=BC$6),$AV876,dNULL)</f>
        <v>-99</v>
      </c>
      <c r="BD876">
        <f ca="1">IF(AND($AT876&lt;3,OFFSET(DATA!$C$14,$AS876,0)=BD$6),$AV876,dNULL)</f>
        <v>-99</v>
      </c>
      <c r="BE876">
        <f ca="1">IF(AND($AT876&lt;3,OFFSET(DATA!$C$14,$AS876,0)=BE$6),$AV876,dNULL)</f>
        <v>-99</v>
      </c>
      <c r="BF876">
        <f ca="1">IF(AND($AT876&lt;3,OFFSET(DATA!$C$14,$AS876,0)=BF$6),$AV876,dNULL)</f>
        <v>-99</v>
      </c>
      <c r="BG876">
        <f ca="1">IF(AND($AT876&lt;3,OFFSET(DATA!$C$14,$AS876,0)=BG$6),$AV876,dNULL)</f>
        <v>-99</v>
      </c>
      <c r="BH876">
        <f ca="1">IF(AND($AT876&lt;3,OFFSET(DATA!$C$14,$AS876,0)=BH$6),$AV876,dNULL)</f>
        <v>-99</v>
      </c>
    </row>
    <row r="877" spans="45:60" x14ac:dyDescent="0.25">
      <c r="AS877">
        <f t="shared" si="140"/>
        <v>61</v>
      </c>
      <c r="AT877">
        <f t="shared" si="141"/>
        <v>9</v>
      </c>
      <c r="AU877">
        <f t="shared" ca="1" si="142"/>
        <v>-99</v>
      </c>
      <c r="AV877">
        <f t="shared" ca="1" si="143"/>
        <v>-99</v>
      </c>
      <c r="AW877">
        <f ca="1">IF(AND($AT877&lt;3,OFFSET(DATA!$C$14,$AS877,0)=AW$6),$AV877,dNULL)</f>
        <v>-99</v>
      </c>
      <c r="AX877">
        <f ca="1">IF(AND($AT877&lt;3,OFFSET(DATA!$C$14,$AS877,0)=AX$6),$AV877,dNULL)</f>
        <v>-99</v>
      </c>
      <c r="AY877">
        <f ca="1">IF(AND($AT877&lt;3,OFFSET(DATA!$C$14,$AS877,0)=AY$6),$AV877,dNULL)</f>
        <v>-99</v>
      </c>
      <c r="AZ877">
        <f ca="1">IF(AND($AT877&lt;3,OFFSET(DATA!$C$14,$AS877,0)=AZ$6),$AV877,dNULL)</f>
        <v>-99</v>
      </c>
      <c r="BA877">
        <f ca="1">IF(AND($AT877&lt;3,OFFSET(DATA!$C$14,$AS877,0)=BA$6),$AV877,dNULL)</f>
        <v>-99</v>
      </c>
      <c r="BB877">
        <f ca="1">IF(AND($AT877&lt;3,OFFSET(DATA!$C$14,$AS877,0)=BB$6),$AV877,dNULL)</f>
        <v>-99</v>
      </c>
      <c r="BC877">
        <f ca="1">IF(AND($AT877&lt;3,OFFSET(DATA!$C$14,$AS877,0)=BC$6),$AV877,dNULL)</f>
        <v>-99</v>
      </c>
      <c r="BD877">
        <f ca="1">IF(AND($AT877&lt;3,OFFSET(DATA!$C$14,$AS877,0)=BD$6),$AV877,dNULL)</f>
        <v>-99</v>
      </c>
      <c r="BE877">
        <f ca="1">IF(AND($AT877&lt;3,OFFSET(DATA!$C$14,$AS877,0)=BE$6),$AV877,dNULL)</f>
        <v>-99</v>
      </c>
      <c r="BF877">
        <f ca="1">IF(AND($AT877&lt;3,OFFSET(DATA!$C$14,$AS877,0)=BF$6),$AV877,dNULL)</f>
        <v>-99</v>
      </c>
      <c r="BG877">
        <f ca="1">IF(AND($AT877&lt;3,OFFSET(DATA!$C$14,$AS877,0)=BG$6),$AV877,dNULL)</f>
        <v>-99</v>
      </c>
      <c r="BH877">
        <f ca="1">IF(AND($AT877&lt;3,OFFSET(DATA!$C$14,$AS877,0)=BH$6),$AV877,dNULL)</f>
        <v>-99</v>
      </c>
    </row>
    <row r="878" spans="45:60" x14ac:dyDescent="0.25">
      <c r="AS878">
        <f t="shared" si="140"/>
        <v>62</v>
      </c>
      <c r="AT878">
        <f t="shared" si="141"/>
        <v>9</v>
      </c>
      <c r="AU878">
        <f t="shared" ca="1" si="142"/>
        <v>-99</v>
      </c>
      <c r="AV878">
        <f t="shared" ca="1" si="143"/>
        <v>-99</v>
      </c>
      <c r="AW878">
        <f ca="1">IF(AND($AT878&lt;3,OFFSET(DATA!$C$14,$AS878,0)=AW$6),$AV878,dNULL)</f>
        <v>-99</v>
      </c>
      <c r="AX878">
        <f ca="1">IF(AND($AT878&lt;3,OFFSET(DATA!$C$14,$AS878,0)=AX$6),$AV878,dNULL)</f>
        <v>-99</v>
      </c>
      <c r="AY878">
        <f ca="1">IF(AND($AT878&lt;3,OFFSET(DATA!$C$14,$AS878,0)=AY$6),$AV878,dNULL)</f>
        <v>-99</v>
      </c>
      <c r="AZ878">
        <f ca="1">IF(AND($AT878&lt;3,OFFSET(DATA!$C$14,$AS878,0)=AZ$6),$AV878,dNULL)</f>
        <v>-99</v>
      </c>
      <c r="BA878">
        <f ca="1">IF(AND($AT878&lt;3,OFFSET(DATA!$C$14,$AS878,0)=BA$6),$AV878,dNULL)</f>
        <v>-99</v>
      </c>
      <c r="BB878">
        <f ca="1">IF(AND($AT878&lt;3,OFFSET(DATA!$C$14,$AS878,0)=BB$6),$AV878,dNULL)</f>
        <v>-99</v>
      </c>
      <c r="BC878">
        <f ca="1">IF(AND($AT878&lt;3,OFFSET(DATA!$C$14,$AS878,0)=BC$6),$AV878,dNULL)</f>
        <v>-99</v>
      </c>
      <c r="BD878">
        <f ca="1">IF(AND($AT878&lt;3,OFFSET(DATA!$C$14,$AS878,0)=BD$6),$AV878,dNULL)</f>
        <v>-99</v>
      </c>
      <c r="BE878">
        <f ca="1">IF(AND($AT878&lt;3,OFFSET(DATA!$C$14,$AS878,0)=BE$6),$AV878,dNULL)</f>
        <v>-99</v>
      </c>
      <c r="BF878">
        <f ca="1">IF(AND($AT878&lt;3,OFFSET(DATA!$C$14,$AS878,0)=BF$6),$AV878,dNULL)</f>
        <v>-99</v>
      </c>
      <c r="BG878">
        <f ca="1">IF(AND($AT878&lt;3,OFFSET(DATA!$C$14,$AS878,0)=BG$6),$AV878,dNULL)</f>
        <v>-99</v>
      </c>
      <c r="BH878">
        <f ca="1">IF(AND($AT878&lt;3,OFFSET(DATA!$C$14,$AS878,0)=BH$6),$AV878,dNULL)</f>
        <v>-99</v>
      </c>
    </row>
    <row r="879" spans="45:60" x14ac:dyDescent="0.25">
      <c r="AS879">
        <f t="shared" si="140"/>
        <v>63</v>
      </c>
      <c r="AT879">
        <f t="shared" si="141"/>
        <v>9</v>
      </c>
      <c r="AU879">
        <f t="shared" ca="1" si="142"/>
        <v>-99</v>
      </c>
      <c r="AV879">
        <f t="shared" ca="1" si="143"/>
        <v>-99</v>
      </c>
      <c r="AW879">
        <f ca="1">IF(AND($AT879&lt;3,OFFSET(DATA!$C$14,$AS879,0)=AW$6),$AV879,dNULL)</f>
        <v>-99</v>
      </c>
      <c r="AX879">
        <f ca="1">IF(AND($AT879&lt;3,OFFSET(DATA!$C$14,$AS879,0)=AX$6),$AV879,dNULL)</f>
        <v>-99</v>
      </c>
      <c r="AY879">
        <f ca="1">IF(AND($AT879&lt;3,OFFSET(DATA!$C$14,$AS879,0)=AY$6),$AV879,dNULL)</f>
        <v>-99</v>
      </c>
      <c r="AZ879">
        <f ca="1">IF(AND($AT879&lt;3,OFFSET(DATA!$C$14,$AS879,0)=AZ$6),$AV879,dNULL)</f>
        <v>-99</v>
      </c>
      <c r="BA879">
        <f ca="1">IF(AND($AT879&lt;3,OFFSET(DATA!$C$14,$AS879,0)=BA$6),$AV879,dNULL)</f>
        <v>-99</v>
      </c>
      <c r="BB879">
        <f ca="1">IF(AND($AT879&lt;3,OFFSET(DATA!$C$14,$AS879,0)=BB$6),$AV879,dNULL)</f>
        <v>-99</v>
      </c>
      <c r="BC879">
        <f ca="1">IF(AND($AT879&lt;3,OFFSET(DATA!$C$14,$AS879,0)=BC$6),$AV879,dNULL)</f>
        <v>-99</v>
      </c>
      <c r="BD879">
        <f ca="1">IF(AND($AT879&lt;3,OFFSET(DATA!$C$14,$AS879,0)=BD$6),$AV879,dNULL)</f>
        <v>-99</v>
      </c>
      <c r="BE879">
        <f ca="1">IF(AND($AT879&lt;3,OFFSET(DATA!$C$14,$AS879,0)=BE$6),$AV879,dNULL)</f>
        <v>-99</v>
      </c>
      <c r="BF879">
        <f ca="1">IF(AND($AT879&lt;3,OFFSET(DATA!$C$14,$AS879,0)=BF$6),$AV879,dNULL)</f>
        <v>-99</v>
      </c>
      <c r="BG879">
        <f ca="1">IF(AND($AT879&lt;3,OFFSET(DATA!$C$14,$AS879,0)=BG$6),$AV879,dNULL)</f>
        <v>-99</v>
      </c>
      <c r="BH879">
        <f ca="1">IF(AND($AT879&lt;3,OFFSET(DATA!$C$14,$AS879,0)=BH$6),$AV879,dNULL)</f>
        <v>-99</v>
      </c>
    </row>
    <row r="880" spans="45:60" x14ac:dyDescent="0.25">
      <c r="AS880">
        <f t="shared" si="140"/>
        <v>64</v>
      </c>
      <c r="AT880">
        <f t="shared" si="141"/>
        <v>9</v>
      </c>
      <c r="AU880">
        <f t="shared" ca="1" si="142"/>
        <v>-99</v>
      </c>
      <c r="AV880">
        <f t="shared" ca="1" si="143"/>
        <v>-99</v>
      </c>
      <c r="AW880">
        <f ca="1">IF(AND($AT880&lt;3,OFFSET(DATA!$C$14,$AS880,0)=AW$6),$AV880,dNULL)</f>
        <v>-99</v>
      </c>
      <c r="AX880">
        <f ca="1">IF(AND($AT880&lt;3,OFFSET(DATA!$C$14,$AS880,0)=AX$6),$AV880,dNULL)</f>
        <v>-99</v>
      </c>
      <c r="AY880">
        <f ca="1">IF(AND($AT880&lt;3,OFFSET(DATA!$C$14,$AS880,0)=AY$6),$AV880,dNULL)</f>
        <v>-99</v>
      </c>
      <c r="AZ880">
        <f ca="1">IF(AND($AT880&lt;3,OFFSET(DATA!$C$14,$AS880,0)=AZ$6),$AV880,dNULL)</f>
        <v>-99</v>
      </c>
      <c r="BA880">
        <f ca="1">IF(AND($AT880&lt;3,OFFSET(DATA!$C$14,$AS880,0)=BA$6),$AV880,dNULL)</f>
        <v>-99</v>
      </c>
      <c r="BB880">
        <f ca="1">IF(AND($AT880&lt;3,OFFSET(DATA!$C$14,$AS880,0)=BB$6),$AV880,dNULL)</f>
        <v>-99</v>
      </c>
      <c r="BC880">
        <f ca="1">IF(AND($AT880&lt;3,OFFSET(DATA!$C$14,$AS880,0)=BC$6),$AV880,dNULL)</f>
        <v>-99</v>
      </c>
      <c r="BD880">
        <f ca="1">IF(AND($AT880&lt;3,OFFSET(DATA!$C$14,$AS880,0)=BD$6),$AV880,dNULL)</f>
        <v>-99</v>
      </c>
      <c r="BE880">
        <f ca="1">IF(AND($AT880&lt;3,OFFSET(DATA!$C$14,$AS880,0)=BE$6),$AV880,dNULL)</f>
        <v>-99</v>
      </c>
      <c r="BF880">
        <f ca="1">IF(AND($AT880&lt;3,OFFSET(DATA!$C$14,$AS880,0)=BF$6),$AV880,dNULL)</f>
        <v>-99</v>
      </c>
      <c r="BG880">
        <f ca="1">IF(AND($AT880&lt;3,OFFSET(DATA!$C$14,$AS880,0)=BG$6),$AV880,dNULL)</f>
        <v>-99</v>
      </c>
      <c r="BH880">
        <f ca="1">IF(AND($AT880&lt;3,OFFSET(DATA!$C$14,$AS880,0)=BH$6),$AV880,dNULL)</f>
        <v>-99</v>
      </c>
    </row>
    <row r="881" spans="45:60" x14ac:dyDescent="0.25">
      <c r="AS881">
        <f t="shared" si="140"/>
        <v>65</v>
      </c>
      <c r="AT881">
        <f t="shared" si="141"/>
        <v>9</v>
      </c>
      <c r="AU881">
        <f t="shared" ca="1" si="142"/>
        <v>-99</v>
      </c>
      <c r="AV881">
        <f t="shared" ca="1" si="143"/>
        <v>-99</v>
      </c>
      <c r="AW881">
        <f ca="1">IF(AND($AT881&lt;3,OFFSET(DATA!$C$14,$AS881,0)=AW$6),$AV881,dNULL)</f>
        <v>-99</v>
      </c>
      <c r="AX881">
        <f ca="1">IF(AND($AT881&lt;3,OFFSET(DATA!$C$14,$AS881,0)=AX$6),$AV881,dNULL)</f>
        <v>-99</v>
      </c>
      <c r="AY881">
        <f ca="1">IF(AND($AT881&lt;3,OFFSET(DATA!$C$14,$AS881,0)=AY$6),$AV881,dNULL)</f>
        <v>-99</v>
      </c>
      <c r="AZ881">
        <f ca="1">IF(AND($AT881&lt;3,OFFSET(DATA!$C$14,$AS881,0)=AZ$6),$AV881,dNULL)</f>
        <v>-99</v>
      </c>
      <c r="BA881">
        <f ca="1">IF(AND($AT881&lt;3,OFFSET(DATA!$C$14,$AS881,0)=BA$6),$AV881,dNULL)</f>
        <v>-99</v>
      </c>
      <c r="BB881">
        <f ca="1">IF(AND($AT881&lt;3,OFFSET(DATA!$C$14,$AS881,0)=BB$6),$AV881,dNULL)</f>
        <v>-99</v>
      </c>
      <c r="BC881">
        <f ca="1">IF(AND($AT881&lt;3,OFFSET(DATA!$C$14,$AS881,0)=BC$6),$AV881,dNULL)</f>
        <v>-99</v>
      </c>
      <c r="BD881">
        <f ca="1">IF(AND($AT881&lt;3,OFFSET(DATA!$C$14,$AS881,0)=BD$6),$AV881,dNULL)</f>
        <v>-99</v>
      </c>
      <c r="BE881">
        <f ca="1">IF(AND($AT881&lt;3,OFFSET(DATA!$C$14,$AS881,0)=BE$6),$AV881,dNULL)</f>
        <v>-99</v>
      </c>
      <c r="BF881">
        <f ca="1">IF(AND($AT881&lt;3,OFFSET(DATA!$C$14,$AS881,0)=BF$6),$AV881,dNULL)</f>
        <v>-99</v>
      </c>
      <c r="BG881">
        <f ca="1">IF(AND($AT881&lt;3,OFFSET(DATA!$C$14,$AS881,0)=BG$6),$AV881,dNULL)</f>
        <v>-99</v>
      </c>
      <c r="BH881">
        <f ca="1">IF(AND($AT881&lt;3,OFFSET(DATA!$C$14,$AS881,0)=BH$6),$AV881,dNULL)</f>
        <v>-99</v>
      </c>
    </row>
    <row r="882" spans="45:60" x14ac:dyDescent="0.25">
      <c r="AS882">
        <f t="shared" si="140"/>
        <v>66</v>
      </c>
      <c r="AT882">
        <f t="shared" si="141"/>
        <v>9</v>
      </c>
      <c r="AU882">
        <f t="shared" ca="1" si="142"/>
        <v>-99</v>
      </c>
      <c r="AV882">
        <f t="shared" ca="1" si="143"/>
        <v>-99</v>
      </c>
      <c r="AW882">
        <f ca="1">IF(AND($AT882&lt;3,OFFSET(DATA!$C$14,$AS882,0)=AW$6),$AV882,dNULL)</f>
        <v>-99</v>
      </c>
      <c r="AX882">
        <f ca="1">IF(AND($AT882&lt;3,OFFSET(DATA!$C$14,$AS882,0)=AX$6),$AV882,dNULL)</f>
        <v>-99</v>
      </c>
      <c r="AY882">
        <f ca="1">IF(AND($AT882&lt;3,OFFSET(DATA!$C$14,$AS882,0)=AY$6),$AV882,dNULL)</f>
        <v>-99</v>
      </c>
      <c r="AZ882">
        <f ca="1">IF(AND($AT882&lt;3,OFFSET(DATA!$C$14,$AS882,0)=AZ$6),$AV882,dNULL)</f>
        <v>-99</v>
      </c>
      <c r="BA882">
        <f ca="1">IF(AND($AT882&lt;3,OFFSET(DATA!$C$14,$AS882,0)=BA$6),$AV882,dNULL)</f>
        <v>-99</v>
      </c>
      <c r="BB882">
        <f ca="1">IF(AND($AT882&lt;3,OFFSET(DATA!$C$14,$AS882,0)=BB$6),$AV882,dNULL)</f>
        <v>-99</v>
      </c>
      <c r="BC882">
        <f ca="1">IF(AND($AT882&lt;3,OFFSET(DATA!$C$14,$AS882,0)=BC$6),$AV882,dNULL)</f>
        <v>-99</v>
      </c>
      <c r="BD882">
        <f ca="1">IF(AND($AT882&lt;3,OFFSET(DATA!$C$14,$AS882,0)=BD$6),$AV882,dNULL)</f>
        <v>-99</v>
      </c>
      <c r="BE882">
        <f ca="1">IF(AND($AT882&lt;3,OFFSET(DATA!$C$14,$AS882,0)=BE$6),$AV882,dNULL)</f>
        <v>-99</v>
      </c>
      <c r="BF882">
        <f ca="1">IF(AND($AT882&lt;3,OFFSET(DATA!$C$14,$AS882,0)=BF$6),$AV882,dNULL)</f>
        <v>-99</v>
      </c>
      <c r="BG882">
        <f ca="1">IF(AND($AT882&lt;3,OFFSET(DATA!$C$14,$AS882,0)=BG$6),$AV882,dNULL)</f>
        <v>-99</v>
      </c>
      <c r="BH882">
        <f ca="1">IF(AND($AT882&lt;3,OFFSET(DATA!$C$14,$AS882,0)=BH$6),$AV882,dNULL)</f>
        <v>-99</v>
      </c>
    </row>
    <row r="883" spans="45:60" x14ac:dyDescent="0.25">
      <c r="AS883">
        <f t="shared" si="140"/>
        <v>67</v>
      </c>
      <c r="AT883">
        <f t="shared" si="141"/>
        <v>9</v>
      </c>
      <c r="AU883">
        <f t="shared" ca="1" si="142"/>
        <v>-99</v>
      </c>
      <c r="AV883">
        <f t="shared" ca="1" si="143"/>
        <v>-99</v>
      </c>
      <c r="AW883">
        <f ca="1">IF(AND($AT883&lt;3,OFFSET(DATA!$C$14,$AS883,0)=AW$6),$AV883,dNULL)</f>
        <v>-99</v>
      </c>
      <c r="AX883">
        <f ca="1">IF(AND($AT883&lt;3,OFFSET(DATA!$C$14,$AS883,0)=AX$6),$AV883,dNULL)</f>
        <v>-99</v>
      </c>
      <c r="AY883">
        <f ca="1">IF(AND($AT883&lt;3,OFFSET(DATA!$C$14,$AS883,0)=AY$6),$AV883,dNULL)</f>
        <v>-99</v>
      </c>
      <c r="AZ883">
        <f ca="1">IF(AND($AT883&lt;3,OFFSET(DATA!$C$14,$AS883,0)=AZ$6),$AV883,dNULL)</f>
        <v>-99</v>
      </c>
      <c r="BA883">
        <f ca="1">IF(AND($AT883&lt;3,OFFSET(DATA!$C$14,$AS883,0)=BA$6),$AV883,dNULL)</f>
        <v>-99</v>
      </c>
      <c r="BB883">
        <f ca="1">IF(AND($AT883&lt;3,OFFSET(DATA!$C$14,$AS883,0)=BB$6),$AV883,dNULL)</f>
        <v>-99</v>
      </c>
      <c r="BC883">
        <f ca="1">IF(AND($AT883&lt;3,OFFSET(DATA!$C$14,$AS883,0)=BC$6),$AV883,dNULL)</f>
        <v>-99</v>
      </c>
      <c r="BD883">
        <f ca="1">IF(AND($AT883&lt;3,OFFSET(DATA!$C$14,$AS883,0)=BD$6),$AV883,dNULL)</f>
        <v>-99</v>
      </c>
      <c r="BE883">
        <f ca="1">IF(AND($AT883&lt;3,OFFSET(DATA!$C$14,$AS883,0)=BE$6),$AV883,dNULL)</f>
        <v>-99</v>
      </c>
      <c r="BF883">
        <f ca="1">IF(AND($AT883&lt;3,OFFSET(DATA!$C$14,$AS883,0)=BF$6),$AV883,dNULL)</f>
        <v>-99</v>
      </c>
      <c r="BG883">
        <f ca="1">IF(AND($AT883&lt;3,OFFSET(DATA!$C$14,$AS883,0)=BG$6),$AV883,dNULL)</f>
        <v>-99</v>
      </c>
      <c r="BH883">
        <f ca="1">IF(AND($AT883&lt;3,OFFSET(DATA!$C$14,$AS883,0)=BH$6),$AV883,dNULL)</f>
        <v>-99</v>
      </c>
    </row>
    <row r="884" spans="45:60" x14ac:dyDescent="0.25">
      <c r="AS884">
        <f t="shared" si="140"/>
        <v>68</v>
      </c>
      <c r="AT884">
        <f t="shared" si="141"/>
        <v>9</v>
      </c>
      <c r="AU884">
        <f t="shared" ca="1" si="142"/>
        <v>-99</v>
      </c>
      <c r="AV884">
        <f t="shared" ca="1" si="143"/>
        <v>-99</v>
      </c>
      <c r="AW884">
        <f ca="1">IF(AND($AT884&lt;3,OFFSET(DATA!$C$14,$AS884,0)=AW$6),$AV884,dNULL)</f>
        <v>-99</v>
      </c>
      <c r="AX884">
        <f ca="1">IF(AND($AT884&lt;3,OFFSET(DATA!$C$14,$AS884,0)=AX$6),$AV884,dNULL)</f>
        <v>-99</v>
      </c>
      <c r="AY884">
        <f ca="1">IF(AND($AT884&lt;3,OFFSET(DATA!$C$14,$AS884,0)=AY$6),$AV884,dNULL)</f>
        <v>-99</v>
      </c>
      <c r="AZ884">
        <f ca="1">IF(AND($AT884&lt;3,OFFSET(DATA!$C$14,$AS884,0)=AZ$6),$AV884,dNULL)</f>
        <v>-99</v>
      </c>
      <c r="BA884">
        <f ca="1">IF(AND($AT884&lt;3,OFFSET(DATA!$C$14,$AS884,0)=BA$6),$AV884,dNULL)</f>
        <v>-99</v>
      </c>
      <c r="BB884">
        <f ca="1">IF(AND($AT884&lt;3,OFFSET(DATA!$C$14,$AS884,0)=BB$6),$AV884,dNULL)</f>
        <v>-99</v>
      </c>
      <c r="BC884">
        <f ca="1">IF(AND($AT884&lt;3,OFFSET(DATA!$C$14,$AS884,0)=BC$6),$AV884,dNULL)</f>
        <v>-99</v>
      </c>
      <c r="BD884">
        <f ca="1">IF(AND($AT884&lt;3,OFFSET(DATA!$C$14,$AS884,0)=BD$6),$AV884,dNULL)</f>
        <v>-99</v>
      </c>
      <c r="BE884">
        <f ca="1">IF(AND($AT884&lt;3,OFFSET(DATA!$C$14,$AS884,0)=BE$6),$AV884,dNULL)</f>
        <v>-99</v>
      </c>
      <c r="BF884">
        <f ca="1">IF(AND($AT884&lt;3,OFFSET(DATA!$C$14,$AS884,0)=BF$6),$AV884,dNULL)</f>
        <v>-99</v>
      </c>
      <c r="BG884">
        <f ca="1">IF(AND($AT884&lt;3,OFFSET(DATA!$C$14,$AS884,0)=BG$6),$AV884,dNULL)</f>
        <v>-99</v>
      </c>
      <c r="BH884">
        <f ca="1">IF(AND($AT884&lt;3,OFFSET(DATA!$C$14,$AS884,0)=BH$6),$AV884,dNULL)</f>
        <v>-99</v>
      </c>
    </row>
    <row r="885" spans="45:60" x14ac:dyDescent="0.25">
      <c r="AS885">
        <f t="shared" si="140"/>
        <v>69</v>
      </c>
      <c r="AT885">
        <f t="shared" si="141"/>
        <v>9</v>
      </c>
      <c r="AU885">
        <f t="shared" ca="1" si="142"/>
        <v>-99</v>
      </c>
      <c r="AV885">
        <f t="shared" ca="1" si="143"/>
        <v>-99</v>
      </c>
      <c r="AW885">
        <f ca="1">IF(AND($AT885&lt;3,OFFSET(DATA!$C$14,$AS885,0)=AW$6),$AV885,dNULL)</f>
        <v>-99</v>
      </c>
      <c r="AX885">
        <f ca="1">IF(AND($AT885&lt;3,OFFSET(DATA!$C$14,$AS885,0)=AX$6),$AV885,dNULL)</f>
        <v>-99</v>
      </c>
      <c r="AY885">
        <f ca="1">IF(AND($AT885&lt;3,OFFSET(DATA!$C$14,$AS885,0)=AY$6),$AV885,dNULL)</f>
        <v>-99</v>
      </c>
      <c r="AZ885">
        <f ca="1">IF(AND($AT885&lt;3,OFFSET(DATA!$C$14,$AS885,0)=AZ$6),$AV885,dNULL)</f>
        <v>-99</v>
      </c>
      <c r="BA885">
        <f ca="1">IF(AND($AT885&lt;3,OFFSET(DATA!$C$14,$AS885,0)=BA$6),$AV885,dNULL)</f>
        <v>-99</v>
      </c>
      <c r="BB885">
        <f ca="1">IF(AND($AT885&lt;3,OFFSET(DATA!$C$14,$AS885,0)=BB$6),$AV885,dNULL)</f>
        <v>-99</v>
      </c>
      <c r="BC885">
        <f ca="1">IF(AND($AT885&lt;3,OFFSET(DATA!$C$14,$AS885,0)=BC$6),$AV885,dNULL)</f>
        <v>-99</v>
      </c>
      <c r="BD885">
        <f ca="1">IF(AND($AT885&lt;3,OFFSET(DATA!$C$14,$AS885,0)=BD$6),$AV885,dNULL)</f>
        <v>-99</v>
      </c>
      <c r="BE885">
        <f ca="1">IF(AND($AT885&lt;3,OFFSET(DATA!$C$14,$AS885,0)=BE$6),$AV885,dNULL)</f>
        <v>-99</v>
      </c>
      <c r="BF885">
        <f ca="1">IF(AND($AT885&lt;3,OFFSET(DATA!$C$14,$AS885,0)=BF$6),$AV885,dNULL)</f>
        <v>-99</v>
      </c>
      <c r="BG885">
        <f ca="1">IF(AND($AT885&lt;3,OFFSET(DATA!$C$14,$AS885,0)=BG$6),$AV885,dNULL)</f>
        <v>-99</v>
      </c>
      <c r="BH885">
        <f ca="1">IF(AND($AT885&lt;3,OFFSET(DATA!$C$14,$AS885,0)=BH$6),$AV885,dNULL)</f>
        <v>-99</v>
      </c>
    </row>
    <row r="886" spans="45:60" x14ac:dyDescent="0.25">
      <c r="AS886">
        <f t="shared" si="140"/>
        <v>70</v>
      </c>
      <c r="AT886">
        <f t="shared" si="141"/>
        <v>9</v>
      </c>
      <c r="AU886">
        <f t="shared" ca="1" si="142"/>
        <v>-99</v>
      </c>
      <c r="AV886">
        <f t="shared" ca="1" si="143"/>
        <v>-99</v>
      </c>
      <c r="AW886">
        <f ca="1">IF(AND($AT886&lt;3,OFFSET(DATA!$C$14,$AS886,0)=AW$6),$AV886,dNULL)</f>
        <v>-99</v>
      </c>
      <c r="AX886">
        <f ca="1">IF(AND($AT886&lt;3,OFFSET(DATA!$C$14,$AS886,0)=AX$6),$AV886,dNULL)</f>
        <v>-99</v>
      </c>
      <c r="AY886">
        <f ca="1">IF(AND($AT886&lt;3,OFFSET(DATA!$C$14,$AS886,0)=AY$6),$AV886,dNULL)</f>
        <v>-99</v>
      </c>
      <c r="AZ886">
        <f ca="1">IF(AND($AT886&lt;3,OFFSET(DATA!$C$14,$AS886,0)=AZ$6),$AV886,dNULL)</f>
        <v>-99</v>
      </c>
      <c r="BA886">
        <f ca="1">IF(AND($AT886&lt;3,OFFSET(DATA!$C$14,$AS886,0)=BA$6),$AV886,dNULL)</f>
        <v>-99</v>
      </c>
      <c r="BB886">
        <f ca="1">IF(AND($AT886&lt;3,OFFSET(DATA!$C$14,$AS886,0)=BB$6),$AV886,dNULL)</f>
        <v>-99</v>
      </c>
      <c r="BC886">
        <f ca="1">IF(AND($AT886&lt;3,OFFSET(DATA!$C$14,$AS886,0)=BC$6),$AV886,dNULL)</f>
        <v>-99</v>
      </c>
      <c r="BD886">
        <f ca="1">IF(AND($AT886&lt;3,OFFSET(DATA!$C$14,$AS886,0)=BD$6),$AV886,dNULL)</f>
        <v>-99</v>
      </c>
      <c r="BE886">
        <f ca="1">IF(AND($AT886&lt;3,OFFSET(DATA!$C$14,$AS886,0)=BE$6),$AV886,dNULL)</f>
        <v>-99</v>
      </c>
      <c r="BF886">
        <f ca="1">IF(AND($AT886&lt;3,OFFSET(DATA!$C$14,$AS886,0)=BF$6),$AV886,dNULL)</f>
        <v>-99</v>
      </c>
      <c r="BG886">
        <f ca="1">IF(AND($AT886&lt;3,OFFSET(DATA!$C$14,$AS886,0)=BG$6),$AV886,dNULL)</f>
        <v>-99</v>
      </c>
      <c r="BH886">
        <f ca="1">IF(AND($AT886&lt;3,OFFSET(DATA!$C$14,$AS886,0)=BH$6),$AV886,dNULL)</f>
        <v>-99</v>
      </c>
    </row>
    <row r="887" spans="45:60" x14ac:dyDescent="0.25">
      <c r="AS887">
        <f t="shared" si="140"/>
        <v>71</v>
      </c>
      <c r="AT887">
        <f t="shared" si="141"/>
        <v>9</v>
      </c>
      <c r="AU887">
        <f t="shared" ca="1" si="142"/>
        <v>-99</v>
      </c>
      <c r="AV887">
        <f t="shared" ca="1" si="143"/>
        <v>-99</v>
      </c>
      <c r="AW887">
        <f ca="1">IF(AND($AT887&lt;3,OFFSET(DATA!$C$14,$AS887,0)=AW$6),$AV887,dNULL)</f>
        <v>-99</v>
      </c>
      <c r="AX887">
        <f ca="1">IF(AND($AT887&lt;3,OFFSET(DATA!$C$14,$AS887,0)=AX$6),$AV887,dNULL)</f>
        <v>-99</v>
      </c>
      <c r="AY887">
        <f ca="1">IF(AND($AT887&lt;3,OFFSET(DATA!$C$14,$AS887,0)=AY$6),$AV887,dNULL)</f>
        <v>-99</v>
      </c>
      <c r="AZ887">
        <f ca="1">IF(AND($AT887&lt;3,OFFSET(DATA!$C$14,$AS887,0)=AZ$6),$AV887,dNULL)</f>
        <v>-99</v>
      </c>
      <c r="BA887">
        <f ca="1">IF(AND($AT887&lt;3,OFFSET(DATA!$C$14,$AS887,0)=BA$6),$AV887,dNULL)</f>
        <v>-99</v>
      </c>
      <c r="BB887">
        <f ca="1">IF(AND($AT887&lt;3,OFFSET(DATA!$C$14,$AS887,0)=BB$6),$AV887,dNULL)</f>
        <v>-99</v>
      </c>
      <c r="BC887">
        <f ca="1">IF(AND($AT887&lt;3,OFFSET(DATA!$C$14,$AS887,0)=BC$6),$AV887,dNULL)</f>
        <v>-99</v>
      </c>
      <c r="BD887">
        <f ca="1">IF(AND($AT887&lt;3,OFFSET(DATA!$C$14,$AS887,0)=BD$6),$AV887,dNULL)</f>
        <v>-99</v>
      </c>
      <c r="BE887">
        <f ca="1">IF(AND($AT887&lt;3,OFFSET(DATA!$C$14,$AS887,0)=BE$6),$AV887,dNULL)</f>
        <v>-99</v>
      </c>
      <c r="BF887">
        <f ca="1">IF(AND($AT887&lt;3,OFFSET(DATA!$C$14,$AS887,0)=BF$6),$AV887,dNULL)</f>
        <v>-99</v>
      </c>
      <c r="BG887">
        <f ca="1">IF(AND($AT887&lt;3,OFFSET(DATA!$C$14,$AS887,0)=BG$6),$AV887,dNULL)</f>
        <v>-99</v>
      </c>
      <c r="BH887">
        <f ca="1">IF(AND($AT887&lt;3,OFFSET(DATA!$C$14,$AS887,0)=BH$6),$AV887,dNULL)</f>
        <v>-99</v>
      </c>
    </row>
    <row r="888" spans="45:60" x14ac:dyDescent="0.25">
      <c r="AS888">
        <f t="shared" si="140"/>
        <v>72</v>
      </c>
      <c r="AT888">
        <f t="shared" si="141"/>
        <v>9</v>
      </c>
      <c r="AU888">
        <f t="shared" ca="1" si="142"/>
        <v>-99</v>
      </c>
      <c r="AV888">
        <f t="shared" ca="1" si="143"/>
        <v>-99</v>
      </c>
      <c r="AW888">
        <f ca="1">IF(AND($AT888&lt;3,OFFSET(DATA!$C$14,$AS888,0)=AW$6),$AV888,dNULL)</f>
        <v>-99</v>
      </c>
      <c r="AX888">
        <f ca="1">IF(AND($AT888&lt;3,OFFSET(DATA!$C$14,$AS888,0)=AX$6),$AV888,dNULL)</f>
        <v>-99</v>
      </c>
      <c r="AY888">
        <f ca="1">IF(AND($AT888&lt;3,OFFSET(DATA!$C$14,$AS888,0)=AY$6),$AV888,dNULL)</f>
        <v>-99</v>
      </c>
      <c r="AZ888">
        <f ca="1">IF(AND($AT888&lt;3,OFFSET(DATA!$C$14,$AS888,0)=AZ$6),$AV888,dNULL)</f>
        <v>-99</v>
      </c>
      <c r="BA888">
        <f ca="1">IF(AND($AT888&lt;3,OFFSET(DATA!$C$14,$AS888,0)=BA$6),$AV888,dNULL)</f>
        <v>-99</v>
      </c>
      <c r="BB888">
        <f ca="1">IF(AND($AT888&lt;3,OFFSET(DATA!$C$14,$AS888,0)=BB$6),$AV888,dNULL)</f>
        <v>-99</v>
      </c>
      <c r="BC888">
        <f ca="1">IF(AND($AT888&lt;3,OFFSET(DATA!$C$14,$AS888,0)=BC$6),$AV888,dNULL)</f>
        <v>-99</v>
      </c>
      <c r="BD888">
        <f ca="1">IF(AND($AT888&lt;3,OFFSET(DATA!$C$14,$AS888,0)=BD$6),$AV888,dNULL)</f>
        <v>-99</v>
      </c>
      <c r="BE888">
        <f ca="1">IF(AND($AT888&lt;3,OFFSET(DATA!$C$14,$AS888,0)=BE$6),$AV888,dNULL)</f>
        <v>-99</v>
      </c>
      <c r="BF888">
        <f ca="1">IF(AND($AT888&lt;3,OFFSET(DATA!$C$14,$AS888,0)=BF$6),$AV888,dNULL)</f>
        <v>-99</v>
      </c>
      <c r="BG888">
        <f ca="1">IF(AND($AT888&lt;3,OFFSET(DATA!$C$14,$AS888,0)=BG$6),$AV888,dNULL)</f>
        <v>-99</v>
      </c>
      <c r="BH888">
        <f ca="1">IF(AND($AT888&lt;3,OFFSET(DATA!$C$14,$AS888,0)=BH$6),$AV888,dNULL)</f>
        <v>-99</v>
      </c>
    </row>
    <row r="889" spans="45:60" x14ac:dyDescent="0.25">
      <c r="AS889">
        <f t="shared" si="140"/>
        <v>73</v>
      </c>
      <c r="AT889">
        <f t="shared" si="141"/>
        <v>9</v>
      </c>
      <c r="AU889">
        <f t="shared" ca="1" si="142"/>
        <v>-99</v>
      </c>
      <c r="AV889">
        <f t="shared" ca="1" si="143"/>
        <v>-99</v>
      </c>
      <c r="AW889">
        <f ca="1">IF(AND($AT889&lt;3,OFFSET(DATA!$C$14,$AS889,0)=AW$6),$AV889,dNULL)</f>
        <v>-99</v>
      </c>
      <c r="AX889">
        <f ca="1">IF(AND($AT889&lt;3,OFFSET(DATA!$C$14,$AS889,0)=AX$6),$AV889,dNULL)</f>
        <v>-99</v>
      </c>
      <c r="AY889">
        <f ca="1">IF(AND($AT889&lt;3,OFFSET(DATA!$C$14,$AS889,0)=AY$6),$AV889,dNULL)</f>
        <v>-99</v>
      </c>
      <c r="AZ889">
        <f ca="1">IF(AND($AT889&lt;3,OFFSET(DATA!$C$14,$AS889,0)=AZ$6),$AV889,dNULL)</f>
        <v>-99</v>
      </c>
      <c r="BA889">
        <f ca="1">IF(AND($AT889&lt;3,OFFSET(DATA!$C$14,$AS889,0)=BA$6),$AV889,dNULL)</f>
        <v>-99</v>
      </c>
      <c r="BB889">
        <f ca="1">IF(AND($AT889&lt;3,OFFSET(DATA!$C$14,$AS889,0)=BB$6),$AV889,dNULL)</f>
        <v>-99</v>
      </c>
      <c r="BC889">
        <f ca="1">IF(AND($AT889&lt;3,OFFSET(DATA!$C$14,$AS889,0)=BC$6),$AV889,dNULL)</f>
        <v>-99</v>
      </c>
      <c r="BD889">
        <f ca="1">IF(AND($AT889&lt;3,OFFSET(DATA!$C$14,$AS889,0)=BD$6),$AV889,dNULL)</f>
        <v>-99</v>
      </c>
      <c r="BE889">
        <f ca="1">IF(AND($AT889&lt;3,OFFSET(DATA!$C$14,$AS889,0)=BE$6),$AV889,dNULL)</f>
        <v>-99</v>
      </c>
      <c r="BF889">
        <f ca="1">IF(AND($AT889&lt;3,OFFSET(DATA!$C$14,$AS889,0)=BF$6),$AV889,dNULL)</f>
        <v>-99</v>
      </c>
      <c r="BG889">
        <f ca="1">IF(AND($AT889&lt;3,OFFSET(DATA!$C$14,$AS889,0)=BG$6),$AV889,dNULL)</f>
        <v>-99</v>
      </c>
      <c r="BH889">
        <f ca="1">IF(AND($AT889&lt;3,OFFSET(DATA!$C$14,$AS889,0)=BH$6),$AV889,dNULL)</f>
        <v>-99</v>
      </c>
    </row>
    <row r="890" spans="45:60" x14ac:dyDescent="0.25">
      <c r="AS890">
        <f t="shared" si="140"/>
        <v>74</v>
      </c>
      <c r="AT890">
        <f t="shared" si="141"/>
        <v>9</v>
      </c>
      <c r="AU890">
        <f t="shared" ca="1" si="142"/>
        <v>-99</v>
      </c>
      <c r="AV890">
        <f t="shared" ca="1" si="143"/>
        <v>-99</v>
      </c>
      <c r="AW890">
        <f ca="1">IF(AND($AT890&lt;3,OFFSET(DATA!$C$14,$AS890,0)=AW$6),$AV890,dNULL)</f>
        <v>-99</v>
      </c>
      <c r="AX890">
        <f ca="1">IF(AND($AT890&lt;3,OFFSET(DATA!$C$14,$AS890,0)=AX$6),$AV890,dNULL)</f>
        <v>-99</v>
      </c>
      <c r="AY890">
        <f ca="1">IF(AND($AT890&lt;3,OFFSET(DATA!$C$14,$AS890,0)=AY$6),$AV890,dNULL)</f>
        <v>-99</v>
      </c>
      <c r="AZ890">
        <f ca="1">IF(AND($AT890&lt;3,OFFSET(DATA!$C$14,$AS890,0)=AZ$6),$AV890,dNULL)</f>
        <v>-99</v>
      </c>
      <c r="BA890">
        <f ca="1">IF(AND($AT890&lt;3,OFFSET(DATA!$C$14,$AS890,0)=BA$6),$AV890,dNULL)</f>
        <v>-99</v>
      </c>
      <c r="BB890">
        <f ca="1">IF(AND($AT890&lt;3,OFFSET(DATA!$C$14,$AS890,0)=BB$6),$AV890,dNULL)</f>
        <v>-99</v>
      </c>
      <c r="BC890">
        <f ca="1">IF(AND($AT890&lt;3,OFFSET(DATA!$C$14,$AS890,0)=BC$6),$AV890,dNULL)</f>
        <v>-99</v>
      </c>
      <c r="BD890">
        <f ca="1">IF(AND($AT890&lt;3,OFFSET(DATA!$C$14,$AS890,0)=BD$6),$AV890,dNULL)</f>
        <v>-99</v>
      </c>
      <c r="BE890">
        <f ca="1">IF(AND($AT890&lt;3,OFFSET(DATA!$C$14,$AS890,0)=BE$6),$AV890,dNULL)</f>
        <v>-99</v>
      </c>
      <c r="BF890">
        <f ca="1">IF(AND($AT890&lt;3,OFFSET(DATA!$C$14,$AS890,0)=BF$6),$AV890,dNULL)</f>
        <v>-99</v>
      </c>
      <c r="BG890">
        <f ca="1">IF(AND($AT890&lt;3,OFFSET(DATA!$C$14,$AS890,0)=BG$6),$AV890,dNULL)</f>
        <v>-99</v>
      </c>
      <c r="BH890">
        <f ca="1">IF(AND($AT890&lt;3,OFFSET(DATA!$C$14,$AS890,0)=BH$6),$AV890,dNULL)</f>
        <v>-99</v>
      </c>
    </row>
    <row r="891" spans="45:60" x14ac:dyDescent="0.25">
      <c r="AS891">
        <f t="shared" si="140"/>
        <v>75</v>
      </c>
      <c r="AT891">
        <f t="shared" si="141"/>
        <v>9</v>
      </c>
      <c r="AU891">
        <f t="shared" ca="1" si="142"/>
        <v>-99</v>
      </c>
      <c r="AV891">
        <f t="shared" ca="1" si="143"/>
        <v>-99</v>
      </c>
      <c r="AW891">
        <f ca="1">IF(AND($AT891&lt;3,OFFSET(DATA!$C$14,$AS891,0)=AW$6),$AV891,dNULL)</f>
        <v>-99</v>
      </c>
      <c r="AX891">
        <f ca="1">IF(AND($AT891&lt;3,OFFSET(DATA!$C$14,$AS891,0)=AX$6),$AV891,dNULL)</f>
        <v>-99</v>
      </c>
      <c r="AY891">
        <f ca="1">IF(AND($AT891&lt;3,OFFSET(DATA!$C$14,$AS891,0)=AY$6),$AV891,dNULL)</f>
        <v>-99</v>
      </c>
      <c r="AZ891">
        <f ca="1">IF(AND($AT891&lt;3,OFFSET(DATA!$C$14,$AS891,0)=AZ$6),$AV891,dNULL)</f>
        <v>-99</v>
      </c>
      <c r="BA891">
        <f ca="1">IF(AND($AT891&lt;3,OFFSET(DATA!$C$14,$AS891,0)=BA$6),$AV891,dNULL)</f>
        <v>-99</v>
      </c>
      <c r="BB891">
        <f ca="1">IF(AND($AT891&lt;3,OFFSET(DATA!$C$14,$AS891,0)=BB$6),$AV891,dNULL)</f>
        <v>-99</v>
      </c>
      <c r="BC891">
        <f ca="1">IF(AND($AT891&lt;3,OFFSET(DATA!$C$14,$AS891,0)=BC$6),$AV891,dNULL)</f>
        <v>-99</v>
      </c>
      <c r="BD891">
        <f ca="1">IF(AND($AT891&lt;3,OFFSET(DATA!$C$14,$AS891,0)=BD$6),$AV891,dNULL)</f>
        <v>-99</v>
      </c>
      <c r="BE891">
        <f ca="1">IF(AND($AT891&lt;3,OFFSET(DATA!$C$14,$AS891,0)=BE$6),$AV891,dNULL)</f>
        <v>-99</v>
      </c>
      <c r="BF891">
        <f ca="1">IF(AND($AT891&lt;3,OFFSET(DATA!$C$14,$AS891,0)=BF$6),$AV891,dNULL)</f>
        <v>-99</v>
      </c>
      <c r="BG891">
        <f ca="1">IF(AND($AT891&lt;3,OFFSET(DATA!$C$14,$AS891,0)=BG$6),$AV891,dNULL)</f>
        <v>-99</v>
      </c>
      <c r="BH891">
        <f ca="1">IF(AND($AT891&lt;3,OFFSET(DATA!$C$14,$AS891,0)=BH$6),$AV891,dNULL)</f>
        <v>-99</v>
      </c>
    </row>
    <row r="892" spans="45:60" x14ac:dyDescent="0.25">
      <c r="AS892">
        <f t="shared" si="140"/>
        <v>76</v>
      </c>
      <c r="AT892">
        <f t="shared" si="141"/>
        <v>9</v>
      </c>
      <c r="AU892">
        <f t="shared" ca="1" si="142"/>
        <v>-99</v>
      </c>
      <c r="AV892">
        <f t="shared" ca="1" si="143"/>
        <v>-99</v>
      </c>
      <c r="AW892">
        <f ca="1">IF(AND($AT892&lt;3,OFFSET(DATA!$C$14,$AS892,0)=AW$6),$AV892,dNULL)</f>
        <v>-99</v>
      </c>
      <c r="AX892">
        <f ca="1">IF(AND($AT892&lt;3,OFFSET(DATA!$C$14,$AS892,0)=AX$6),$AV892,dNULL)</f>
        <v>-99</v>
      </c>
      <c r="AY892">
        <f ca="1">IF(AND($AT892&lt;3,OFFSET(DATA!$C$14,$AS892,0)=AY$6),$AV892,dNULL)</f>
        <v>-99</v>
      </c>
      <c r="AZ892">
        <f ca="1">IF(AND($AT892&lt;3,OFFSET(DATA!$C$14,$AS892,0)=AZ$6),$AV892,dNULL)</f>
        <v>-99</v>
      </c>
      <c r="BA892">
        <f ca="1">IF(AND($AT892&lt;3,OFFSET(DATA!$C$14,$AS892,0)=BA$6),$AV892,dNULL)</f>
        <v>-99</v>
      </c>
      <c r="BB892">
        <f ca="1">IF(AND($AT892&lt;3,OFFSET(DATA!$C$14,$AS892,0)=BB$6),$AV892,dNULL)</f>
        <v>-99</v>
      </c>
      <c r="BC892">
        <f ca="1">IF(AND($AT892&lt;3,OFFSET(DATA!$C$14,$AS892,0)=BC$6),$AV892,dNULL)</f>
        <v>-99</v>
      </c>
      <c r="BD892">
        <f ca="1">IF(AND($AT892&lt;3,OFFSET(DATA!$C$14,$AS892,0)=BD$6),$AV892,dNULL)</f>
        <v>-99</v>
      </c>
      <c r="BE892">
        <f ca="1">IF(AND($AT892&lt;3,OFFSET(DATA!$C$14,$AS892,0)=BE$6),$AV892,dNULL)</f>
        <v>-99</v>
      </c>
      <c r="BF892">
        <f ca="1">IF(AND($AT892&lt;3,OFFSET(DATA!$C$14,$AS892,0)=BF$6),$AV892,dNULL)</f>
        <v>-99</v>
      </c>
      <c r="BG892">
        <f ca="1">IF(AND($AT892&lt;3,OFFSET(DATA!$C$14,$AS892,0)=BG$6),$AV892,dNULL)</f>
        <v>-99</v>
      </c>
      <c r="BH892">
        <f ca="1">IF(AND($AT892&lt;3,OFFSET(DATA!$C$14,$AS892,0)=BH$6),$AV892,dNULL)</f>
        <v>-99</v>
      </c>
    </row>
    <row r="893" spans="45:60" x14ac:dyDescent="0.25">
      <c r="AS893">
        <f t="shared" si="140"/>
        <v>77</v>
      </c>
      <c r="AT893">
        <f t="shared" si="141"/>
        <v>9</v>
      </c>
      <c r="AU893">
        <f t="shared" ca="1" si="142"/>
        <v>-99</v>
      </c>
      <c r="AV893">
        <f t="shared" ca="1" si="143"/>
        <v>-99</v>
      </c>
      <c r="AW893">
        <f ca="1">IF(AND($AT893&lt;3,OFFSET(DATA!$C$14,$AS893,0)=AW$6),$AV893,dNULL)</f>
        <v>-99</v>
      </c>
      <c r="AX893">
        <f ca="1">IF(AND($AT893&lt;3,OFFSET(DATA!$C$14,$AS893,0)=AX$6),$AV893,dNULL)</f>
        <v>-99</v>
      </c>
      <c r="AY893">
        <f ca="1">IF(AND($AT893&lt;3,OFFSET(DATA!$C$14,$AS893,0)=AY$6),$AV893,dNULL)</f>
        <v>-99</v>
      </c>
      <c r="AZ893">
        <f ca="1">IF(AND($AT893&lt;3,OFFSET(DATA!$C$14,$AS893,0)=AZ$6),$AV893,dNULL)</f>
        <v>-99</v>
      </c>
      <c r="BA893">
        <f ca="1">IF(AND($AT893&lt;3,OFFSET(DATA!$C$14,$AS893,0)=BA$6),$AV893,dNULL)</f>
        <v>-99</v>
      </c>
      <c r="BB893">
        <f ca="1">IF(AND($AT893&lt;3,OFFSET(DATA!$C$14,$AS893,0)=BB$6),$AV893,dNULL)</f>
        <v>-99</v>
      </c>
      <c r="BC893">
        <f ca="1">IF(AND($AT893&lt;3,OFFSET(DATA!$C$14,$AS893,0)=BC$6),$AV893,dNULL)</f>
        <v>-99</v>
      </c>
      <c r="BD893">
        <f ca="1">IF(AND($AT893&lt;3,OFFSET(DATA!$C$14,$AS893,0)=BD$6),$AV893,dNULL)</f>
        <v>-99</v>
      </c>
      <c r="BE893">
        <f ca="1">IF(AND($AT893&lt;3,OFFSET(DATA!$C$14,$AS893,0)=BE$6),$AV893,dNULL)</f>
        <v>-99</v>
      </c>
      <c r="BF893">
        <f ca="1">IF(AND($AT893&lt;3,OFFSET(DATA!$C$14,$AS893,0)=BF$6),$AV893,dNULL)</f>
        <v>-99</v>
      </c>
      <c r="BG893">
        <f ca="1">IF(AND($AT893&lt;3,OFFSET(DATA!$C$14,$AS893,0)=BG$6),$AV893,dNULL)</f>
        <v>-99</v>
      </c>
      <c r="BH893">
        <f ca="1">IF(AND($AT893&lt;3,OFFSET(DATA!$C$14,$AS893,0)=BH$6),$AV893,dNULL)</f>
        <v>-99</v>
      </c>
    </row>
    <row r="894" spans="45:60" x14ac:dyDescent="0.25">
      <c r="AS894">
        <f t="shared" si="140"/>
        <v>78</v>
      </c>
      <c r="AT894">
        <f t="shared" si="141"/>
        <v>9</v>
      </c>
      <c r="AU894">
        <f t="shared" ca="1" si="142"/>
        <v>-99</v>
      </c>
      <c r="AV894">
        <f t="shared" ca="1" si="143"/>
        <v>-99</v>
      </c>
      <c r="AW894">
        <f ca="1">IF(AND($AT894&lt;3,OFFSET(DATA!$C$14,$AS894,0)=AW$6),$AV894,dNULL)</f>
        <v>-99</v>
      </c>
      <c r="AX894">
        <f ca="1">IF(AND($AT894&lt;3,OFFSET(DATA!$C$14,$AS894,0)=AX$6),$AV894,dNULL)</f>
        <v>-99</v>
      </c>
      <c r="AY894">
        <f ca="1">IF(AND($AT894&lt;3,OFFSET(DATA!$C$14,$AS894,0)=AY$6),$AV894,dNULL)</f>
        <v>-99</v>
      </c>
      <c r="AZ894">
        <f ca="1">IF(AND($AT894&lt;3,OFFSET(DATA!$C$14,$AS894,0)=AZ$6),$AV894,dNULL)</f>
        <v>-99</v>
      </c>
      <c r="BA894">
        <f ca="1">IF(AND($AT894&lt;3,OFFSET(DATA!$C$14,$AS894,0)=BA$6),$AV894,dNULL)</f>
        <v>-99</v>
      </c>
      <c r="BB894">
        <f ca="1">IF(AND($AT894&lt;3,OFFSET(DATA!$C$14,$AS894,0)=BB$6),$AV894,dNULL)</f>
        <v>-99</v>
      </c>
      <c r="BC894">
        <f ca="1">IF(AND($AT894&lt;3,OFFSET(DATA!$C$14,$AS894,0)=BC$6),$AV894,dNULL)</f>
        <v>-99</v>
      </c>
      <c r="BD894">
        <f ca="1">IF(AND($AT894&lt;3,OFFSET(DATA!$C$14,$AS894,0)=BD$6),$AV894,dNULL)</f>
        <v>-99</v>
      </c>
      <c r="BE894">
        <f ca="1">IF(AND($AT894&lt;3,OFFSET(DATA!$C$14,$AS894,0)=BE$6),$AV894,dNULL)</f>
        <v>-99</v>
      </c>
      <c r="BF894">
        <f ca="1">IF(AND($AT894&lt;3,OFFSET(DATA!$C$14,$AS894,0)=BF$6),$AV894,dNULL)</f>
        <v>-99</v>
      </c>
      <c r="BG894">
        <f ca="1">IF(AND($AT894&lt;3,OFFSET(DATA!$C$14,$AS894,0)=BG$6),$AV894,dNULL)</f>
        <v>-99</v>
      </c>
      <c r="BH894">
        <f ca="1">IF(AND($AT894&lt;3,OFFSET(DATA!$C$14,$AS894,0)=BH$6),$AV894,dNULL)</f>
        <v>-99</v>
      </c>
    </row>
    <row r="895" spans="45:60" x14ac:dyDescent="0.25">
      <c r="AS895">
        <f t="shared" si="140"/>
        <v>79</v>
      </c>
      <c r="AT895">
        <f t="shared" si="141"/>
        <v>9</v>
      </c>
      <c r="AU895">
        <f t="shared" ca="1" si="142"/>
        <v>-99</v>
      </c>
      <c r="AV895">
        <f t="shared" ca="1" si="143"/>
        <v>-99</v>
      </c>
      <c r="AW895">
        <f ca="1">IF(AND($AT895&lt;3,OFFSET(DATA!$C$14,$AS895,0)=AW$6),$AV895,dNULL)</f>
        <v>-99</v>
      </c>
      <c r="AX895">
        <f ca="1">IF(AND($AT895&lt;3,OFFSET(DATA!$C$14,$AS895,0)=AX$6),$AV895,dNULL)</f>
        <v>-99</v>
      </c>
      <c r="AY895">
        <f ca="1">IF(AND($AT895&lt;3,OFFSET(DATA!$C$14,$AS895,0)=AY$6),$AV895,dNULL)</f>
        <v>-99</v>
      </c>
      <c r="AZ895">
        <f ca="1">IF(AND($AT895&lt;3,OFFSET(DATA!$C$14,$AS895,0)=AZ$6),$AV895,dNULL)</f>
        <v>-99</v>
      </c>
      <c r="BA895">
        <f ca="1">IF(AND($AT895&lt;3,OFFSET(DATA!$C$14,$AS895,0)=BA$6),$AV895,dNULL)</f>
        <v>-99</v>
      </c>
      <c r="BB895">
        <f ca="1">IF(AND($AT895&lt;3,OFFSET(DATA!$C$14,$AS895,0)=BB$6),$AV895,dNULL)</f>
        <v>-99</v>
      </c>
      <c r="BC895">
        <f ca="1">IF(AND($AT895&lt;3,OFFSET(DATA!$C$14,$AS895,0)=BC$6),$AV895,dNULL)</f>
        <v>-99</v>
      </c>
      <c r="BD895">
        <f ca="1">IF(AND($AT895&lt;3,OFFSET(DATA!$C$14,$AS895,0)=BD$6),$AV895,dNULL)</f>
        <v>-99</v>
      </c>
      <c r="BE895">
        <f ca="1">IF(AND($AT895&lt;3,OFFSET(DATA!$C$14,$AS895,0)=BE$6),$AV895,dNULL)</f>
        <v>-99</v>
      </c>
      <c r="BF895">
        <f ca="1">IF(AND($AT895&lt;3,OFFSET(DATA!$C$14,$AS895,0)=BF$6),$AV895,dNULL)</f>
        <v>-99</v>
      </c>
      <c r="BG895">
        <f ca="1">IF(AND($AT895&lt;3,OFFSET(DATA!$C$14,$AS895,0)=BG$6),$AV895,dNULL)</f>
        <v>-99</v>
      </c>
      <c r="BH895">
        <f ca="1">IF(AND($AT895&lt;3,OFFSET(DATA!$C$14,$AS895,0)=BH$6),$AV895,dNULL)</f>
        <v>-99</v>
      </c>
    </row>
    <row r="896" spans="45:60" x14ac:dyDescent="0.25">
      <c r="AS896">
        <f t="shared" si="140"/>
        <v>80</v>
      </c>
      <c r="AT896">
        <f t="shared" si="141"/>
        <v>9</v>
      </c>
      <c r="AU896">
        <f t="shared" ca="1" si="142"/>
        <v>-99</v>
      </c>
      <c r="AV896">
        <f t="shared" ca="1" si="143"/>
        <v>-99</v>
      </c>
      <c r="AW896">
        <f ca="1">IF(AND($AT896&lt;3,OFFSET(DATA!$C$14,$AS896,0)=AW$6),$AV896,dNULL)</f>
        <v>-99</v>
      </c>
      <c r="AX896">
        <f ca="1">IF(AND($AT896&lt;3,OFFSET(DATA!$C$14,$AS896,0)=AX$6),$AV896,dNULL)</f>
        <v>-99</v>
      </c>
      <c r="AY896">
        <f ca="1">IF(AND($AT896&lt;3,OFFSET(DATA!$C$14,$AS896,0)=AY$6),$AV896,dNULL)</f>
        <v>-99</v>
      </c>
      <c r="AZ896">
        <f ca="1">IF(AND($AT896&lt;3,OFFSET(DATA!$C$14,$AS896,0)=AZ$6),$AV896,dNULL)</f>
        <v>-99</v>
      </c>
      <c r="BA896">
        <f ca="1">IF(AND($AT896&lt;3,OFFSET(DATA!$C$14,$AS896,0)=BA$6),$AV896,dNULL)</f>
        <v>-99</v>
      </c>
      <c r="BB896">
        <f ca="1">IF(AND($AT896&lt;3,OFFSET(DATA!$C$14,$AS896,0)=BB$6),$AV896,dNULL)</f>
        <v>-99</v>
      </c>
      <c r="BC896">
        <f ca="1">IF(AND($AT896&lt;3,OFFSET(DATA!$C$14,$AS896,0)=BC$6),$AV896,dNULL)</f>
        <v>-99</v>
      </c>
      <c r="BD896">
        <f ca="1">IF(AND($AT896&lt;3,OFFSET(DATA!$C$14,$AS896,0)=BD$6),$AV896,dNULL)</f>
        <v>-99</v>
      </c>
      <c r="BE896">
        <f ca="1">IF(AND($AT896&lt;3,OFFSET(DATA!$C$14,$AS896,0)=BE$6),$AV896,dNULL)</f>
        <v>-99</v>
      </c>
      <c r="BF896">
        <f ca="1">IF(AND($AT896&lt;3,OFFSET(DATA!$C$14,$AS896,0)=BF$6),$AV896,dNULL)</f>
        <v>-99</v>
      </c>
      <c r="BG896">
        <f ca="1">IF(AND($AT896&lt;3,OFFSET(DATA!$C$14,$AS896,0)=BG$6),$AV896,dNULL)</f>
        <v>-99</v>
      </c>
      <c r="BH896">
        <f ca="1">IF(AND($AT896&lt;3,OFFSET(DATA!$C$14,$AS896,0)=BH$6),$AV896,dNULL)</f>
        <v>-99</v>
      </c>
    </row>
    <row r="897" spans="45:60" x14ac:dyDescent="0.25">
      <c r="AS897">
        <f t="shared" si="140"/>
        <v>81</v>
      </c>
      <c r="AT897">
        <f t="shared" si="141"/>
        <v>9</v>
      </c>
      <c r="AU897">
        <f t="shared" ca="1" si="142"/>
        <v>-99</v>
      </c>
      <c r="AV897">
        <f t="shared" ca="1" si="143"/>
        <v>-99</v>
      </c>
      <c r="AW897">
        <f ca="1">IF(AND($AT897&lt;3,OFFSET(DATA!$C$14,$AS897,0)=AW$6),$AV897,dNULL)</f>
        <v>-99</v>
      </c>
      <c r="AX897">
        <f ca="1">IF(AND($AT897&lt;3,OFFSET(DATA!$C$14,$AS897,0)=AX$6),$AV897,dNULL)</f>
        <v>-99</v>
      </c>
      <c r="AY897">
        <f ca="1">IF(AND($AT897&lt;3,OFFSET(DATA!$C$14,$AS897,0)=AY$6),$AV897,dNULL)</f>
        <v>-99</v>
      </c>
      <c r="AZ897">
        <f ca="1">IF(AND($AT897&lt;3,OFFSET(DATA!$C$14,$AS897,0)=AZ$6),$AV897,dNULL)</f>
        <v>-99</v>
      </c>
      <c r="BA897">
        <f ca="1">IF(AND($AT897&lt;3,OFFSET(DATA!$C$14,$AS897,0)=BA$6),$AV897,dNULL)</f>
        <v>-99</v>
      </c>
      <c r="BB897">
        <f ca="1">IF(AND($AT897&lt;3,OFFSET(DATA!$C$14,$AS897,0)=BB$6),$AV897,dNULL)</f>
        <v>-99</v>
      </c>
      <c r="BC897">
        <f ca="1">IF(AND($AT897&lt;3,OFFSET(DATA!$C$14,$AS897,0)=BC$6),$AV897,dNULL)</f>
        <v>-99</v>
      </c>
      <c r="BD897">
        <f ca="1">IF(AND($AT897&lt;3,OFFSET(DATA!$C$14,$AS897,0)=BD$6),$AV897,dNULL)</f>
        <v>-99</v>
      </c>
      <c r="BE897">
        <f ca="1">IF(AND($AT897&lt;3,OFFSET(DATA!$C$14,$AS897,0)=BE$6),$AV897,dNULL)</f>
        <v>-99</v>
      </c>
      <c r="BF897">
        <f ca="1">IF(AND($AT897&lt;3,OFFSET(DATA!$C$14,$AS897,0)=BF$6),$AV897,dNULL)</f>
        <v>-99</v>
      </c>
      <c r="BG897">
        <f ca="1">IF(AND($AT897&lt;3,OFFSET(DATA!$C$14,$AS897,0)=BG$6),$AV897,dNULL)</f>
        <v>-99</v>
      </c>
      <c r="BH897">
        <f ca="1">IF(AND($AT897&lt;3,OFFSET(DATA!$C$14,$AS897,0)=BH$6),$AV897,dNULL)</f>
        <v>-99</v>
      </c>
    </row>
    <row r="898" spans="45:60" x14ac:dyDescent="0.25">
      <c r="AS898">
        <f t="shared" si="140"/>
        <v>82</v>
      </c>
      <c r="AT898">
        <f t="shared" si="141"/>
        <v>9</v>
      </c>
      <c r="AU898">
        <f t="shared" ca="1" si="142"/>
        <v>-99</v>
      </c>
      <c r="AV898">
        <f t="shared" ca="1" si="143"/>
        <v>-99</v>
      </c>
      <c r="AW898">
        <f ca="1">IF(AND($AT898&lt;3,OFFSET(DATA!$C$14,$AS898,0)=AW$6),$AV898,dNULL)</f>
        <v>-99</v>
      </c>
      <c r="AX898">
        <f ca="1">IF(AND($AT898&lt;3,OFFSET(DATA!$C$14,$AS898,0)=AX$6),$AV898,dNULL)</f>
        <v>-99</v>
      </c>
      <c r="AY898">
        <f ca="1">IF(AND($AT898&lt;3,OFFSET(DATA!$C$14,$AS898,0)=AY$6),$AV898,dNULL)</f>
        <v>-99</v>
      </c>
      <c r="AZ898">
        <f ca="1">IF(AND($AT898&lt;3,OFFSET(DATA!$C$14,$AS898,0)=AZ$6),$AV898,dNULL)</f>
        <v>-99</v>
      </c>
      <c r="BA898">
        <f ca="1">IF(AND($AT898&lt;3,OFFSET(DATA!$C$14,$AS898,0)=BA$6),$AV898,dNULL)</f>
        <v>-99</v>
      </c>
      <c r="BB898">
        <f ca="1">IF(AND($AT898&lt;3,OFFSET(DATA!$C$14,$AS898,0)=BB$6),$AV898,dNULL)</f>
        <v>-99</v>
      </c>
      <c r="BC898">
        <f ca="1">IF(AND($AT898&lt;3,OFFSET(DATA!$C$14,$AS898,0)=BC$6),$AV898,dNULL)</f>
        <v>-99</v>
      </c>
      <c r="BD898">
        <f ca="1">IF(AND($AT898&lt;3,OFFSET(DATA!$C$14,$AS898,0)=BD$6),$AV898,dNULL)</f>
        <v>-99</v>
      </c>
      <c r="BE898">
        <f ca="1">IF(AND($AT898&lt;3,OFFSET(DATA!$C$14,$AS898,0)=BE$6),$AV898,dNULL)</f>
        <v>-99</v>
      </c>
      <c r="BF898">
        <f ca="1">IF(AND($AT898&lt;3,OFFSET(DATA!$C$14,$AS898,0)=BF$6),$AV898,dNULL)</f>
        <v>-99</v>
      </c>
      <c r="BG898">
        <f ca="1">IF(AND($AT898&lt;3,OFFSET(DATA!$C$14,$AS898,0)=BG$6),$AV898,dNULL)</f>
        <v>-99</v>
      </c>
      <c r="BH898">
        <f ca="1">IF(AND($AT898&lt;3,OFFSET(DATA!$C$14,$AS898,0)=BH$6),$AV898,dNULL)</f>
        <v>-99</v>
      </c>
    </row>
    <row r="899" spans="45:60" x14ac:dyDescent="0.25">
      <c r="AS899">
        <f t="shared" si="140"/>
        <v>83</v>
      </c>
      <c r="AT899">
        <f t="shared" si="141"/>
        <v>9</v>
      </c>
      <c r="AU899">
        <f t="shared" ca="1" si="142"/>
        <v>-99</v>
      </c>
      <c r="AV899">
        <f t="shared" ca="1" si="143"/>
        <v>-99</v>
      </c>
      <c r="AW899">
        <f ca="1">IF(AND($AT899&lt;3,OFFSET(DATA!$C$14,$AS899,0)=AW$6),$AV899,dNULL)</f>
        <v>-99</v>
      </c>
      <c r="AX899">
        <f ca="1">IF(AND($AT899&lt;3,OFFSET(DATA!$C$14,$AS899,0)=AX$6),$AV899,dNULL)</f>
        <v>-99</v>
      </c>
      <c r="AY899">
        <f ca="1">IF(AND($AT899&lt;3,OFFSET(DATA!$C$14,$AS899,0)=AY$6),$AV899,dNULL)</f>
        <v>-99</v>
      </c>
      <c r="AZ899">
        <f ca="1">IF(AND($AT899&lt;3,OFFSET(DATA!$C$14,$AS899,0)=AZ$6),$AV899,dNULL)</f>
        <v>-99</v>
      </c>
      <c r="BA899">
        <f ca="1">IF(AND($AT899&lt;3,OFFSET(DATA!$C$14,$AS899,0)=BA$6),$AV899,dNULL)</f>
        <v>-99</v>
      </c>
      <c r="BB899">
        <f ca="1">IF(AND($AT899&lt;3,OFFSET(DATA!$C$14,$AS899,0)=BB$6),$AV899,dNULL)</f>
        <v>-99</v>
      </c>
      <c r="BC899">
        <f ca="1">IF(AND($AT899&lt;3,OFFSET(DATA!$C$14,$AS899,0)=BC$6),$AV899,dNULL)</f>
        <v>-99</v>
      </c>
      <c r="BD899">
        <f ca="1">IF(AND($AT899&lt;3,OFFSET(DATA!$C$14,$AS899,0)=BD$6),$AV899,dNULL)</f>
        <v>-99</v>
      </c>
      <c r="BE899">
        <f ca="1">IF(AND($AT899&lt;3,OFFSET(DATA!$C$14,$AS899,0)=BE$6),$AV899,dNULL)</f>
        <v>-99</v>
      </c>
      <c r="BF899">
        <f ca="1">IF(AND($AT899&lt;3,OFFSET(DATA!$C$14,$AS899,0)=BF$6),$AV899,dNULL)</f>
        <v>-99</v>
      </c>
      <c r="BG899">
        <f ca="1">IF(AND($AT899&lt;3,OFFSET(DATA!$C$14,$AS899,0)=BG$6),$AV899,dNULL)</f>
        <v>-99</v>
      </c>
      <c r="BH899">
        <f ca="1">IF(AND($AT899&lt;3,OFFSET(DATA!$C$14,$AS899,0)=BH$6),$AV899,dNULL)</f>
        <v>-99</v>
      </c>
    </row>
    <row r="900" spans="45:60" x14ac:dyDescent="0.25">
      <c r="AS900">
        <f t="shared" si="140"/>
        <v>84</v>
      </c>
      <c r="AT900">
        <f t="shared" si="141"/>
        <v>9</v>
      </c>
      <c r="AU900">
        <f t="shared" ca="1" si="142"/>
        <v>-99</v>
      </c>
      <c r="AV900">
        <f t="shared" ca="1" si="143"/>
        <v>-99</v>
      </c>
      <c r="AW900">
        <f ca="1">IF(AND($AT900&lt;3,OFFSET(DATA!$C$14,$AS900,0)=AW$6),$AV900,dNULL)</f>
        <v>-99</v>
      </c>
      <c r="AX900">
        <f ca="1">IF(AND($AT900&lt;3,OFFSET(DATA!$C$14,$AS900,0)=AX$6),$AV900,dNULL)</f>
        <v>-99</v>
      </c>
      <c r="AY900">
        <f ca="1">IF(AND($AT900&lt;3,OFFSET(DATA!$C$14,$AS900,0)=AY$6),$AV900,dNULL)</f>
        <v>-99</v>
      </c>
      <c r="AZ900">
        <f ca="1">IF(AND($AT900&lt;3,OFFSET(DATA!$C$14,$AS900,0)=AZ$6),$AV900,dNULL)</f>
        <v>-99</v>
      </c>
      <c r="BA900">
        <f ca="1">IF(AND($AT900&lt;3,OFFSET(DATA!$C$14,$AS900,0)=BA$6),$AV900,dNULL)</f>
        <v>-99</v>
      </c>
      <c r="BB900">
        <f ca="1">IF(AND($AT900&lt;3,OFFSET(DATA!$C$14,$AS900,0)=BB$6),$AV900,dNULL)</f>
        <v>-99</v>
      </c>
      <c r="BC900">
        <f ca="1">IF(AND($AT900&lt;3,OFFSET(DATA!$C$14,$AS900,0)=BC$6),$AV900,dNULL)</f>
        <v>-99</v>
      </c>
      <c r="BD900">
        <f ca="1">IF(AND($AT900&lt;3,OFFSET(DATA!$C$14,$AS900,0)=BD$6),$AV900,dNULL)</f>
        <v>-99</v>
      </c>
      <c r="BE900">
        <f ca="1">IF(AND($AT900&lt;3,OFFSET(DATA!$C$14,$AS900,0)=BE$6),$AV900,dNULL)</f>
        <v>-99</v>
      </c>
      <c r="BF900">
        <f ca="1">IF(AND($AT900&lt;3,OFFSET(DATA!$C$14,$AS900,0)=BF$6),$AV900,dNULL)</f>
        <v>-99</v>
      </c>
      <c r="BG900">
        <f ca="1">IF(AND($AT900&lt;3,OFFSET(DATA!$C$14,$AS900,0)=BG$6),$AV900,dNULL)</f>
        <v>-99</v>
      </c>
      <c r="BH900">
        <f ca="1">IF(AND($AT900&lt;3,OFFSET(DATA!$C$14,$AS900,0)=BH$6),$AV900,dNULL)</f>
        <v>-99</v>
      </c>
    </row>
    <row r="901" spans="45:60" x14ac:dyDescent="0.25">
      <c r="AS901">
        <f t="shared" si="140"/>
        <v>85</v>
      </c>
      <c r="AT901">
        <f t="shared" si="141"/>
        <v>9</v>
      </c>
      <c r="AU901">
        <f t="shared" ca="1" si="142"/>
        <v>-99</v>
      </c>
      <c r="AV901">
        <f t="shared" ca="1" si="143"/>
        <v>-99</v>
      </c>
      <c r="AW901">
        <f ca="1">IF(AND($AT901&lt;3,OFFSET(DATA!$C$14,$AS901,0)=AW$6),$AV901,dNULL)</f>
        <v>-99</v>
      </c>
      <c r="AX901">
        <f ca="1">IF(AND($AT901&lt;3,OFFSET(DATA!$C$14,$AS901,0)=AX$6),$AV901,dNULL)</f>
        <v>-99</v>
      </c>
      <c r="AY901">
        <f ca="1">IF(AND($AT901&lt;3,OFFSET(DATA!$C$14,$AS901,0)=AY$6),$AV901,dNULL)</f>
        <v>-99</v>
      </c>
      <c r="AZ901">
        <f ca="1">IF(AND($AT901&lt;3,OFFSET(DATA!$C$14,$AS901,0)=AZ$6),$AV901,dNULL)</f>
        <v>-99</v>
      </c>
      <c r="BA901">
        <f ca="1">IF(AND($AT901&lt;3,OFFSET(DATA!$C$14,$AS901,0)=BA$6),$AV901,dNULL)</f>
        <v>-99</v>
      </c>
      <c r="BB901">
        <f ca="1">IF(AND($AT901&lt;3,OFFSET(DATA!$C$14,$AS901,0)=BB$6),$AV901,dNULL)</f>
        <v>-99</v>
      </c>
      <c r="BC901">
        <f ca="1">IF(AND($AT901&lt;3,OFFSET(DATA!$C$14,$AS901,0)=BC$6),$AV901,dNULL)</f>
        <v>-99</v>
      </c>
      <c r="BD901">
        <f ca="1">IF(AND($AT901&lt;3,OFFSET(DATA!$C$14,$AS901,0)=BD$6),$AV901,dNULL)</f>
        <v>-99</v>
      </c>
      <c r="BE901">
        <f ca="1">IF(AND($AT901&lt;3,OFFSET(DATA!$C$14,$AS901,0)=BE$6),$AV901,dNULL)</f>
        <v>-99</v>
      </c>
      <c r="BF901">
        <f ca="1">IF(AND($AT901&lt;3,OFFSET(DATA!$C$14,$AS901,0)=BF$6),$AV901,dNULL)</f>
        <v>-99</v>
      </c>
      <c r="BG901">
        <f ca="1">IF(AND($AT901&lt;3,OFFSET(DATA!$C$14,$AS901,0)=BG$6),$AV901,dNULL)</f>
        <v>-99</v>
      </c>
      <c r="BH901">
        <f ca="1">IF(AND($AT901&lt;3,OFFSET(DATA!$C$14,$AS901,0)=BH$6),$AV901,dNULL)</f>
        <v>-99</v>
      </c>
    </row>
    <row r="902" spans="45:60" x14ac:dyDescent="0.25">
      <c r="AS902">
        <f t="shared" si="140"/>
        <v>86</v>
      </c>
      <c r="AT902">
        <f t="shared" si="141"/>
        <v>9</v>
      </c>
      <c r="AU902">
        <f t="shared" ca="1" si="142"/>
        <v>-99</v>
      </c>
      <c r="AV902">
        <f t="shared" ca="1" si="143"/>
        <v>-99</v>
      </c>
      <c r="AW902">
        <f ca="1">IF(AND($AT902&lt;3,OFFSET(DATA!$C$14,$AS902,0)=AW$6),$AV902,dNULL)</f>
        <v>-99</v>
      </c>
      <c r="AX902">
        <f ca="1">IF(AND($AT902&lt;3,OFFSET(DATA!$C$14,$AS902,0)=AX$6),$AV902,dNULL)</f>
        <v>-99</v>
      </c>
      <c r="AY902">
        <f ca="1">IF(AND($AT902&lt;3,OFFSET(DATA!$C$14,$AS902,0)=AY$6),$AV902,dNULL)</f>
        <v>-99</v>
      </c>
      <c r="AZ902">
        <f ca="1">IF(AND($AT902&lt;3,OFFSET(DATA!$C$14,$AS902,0)=AZ$6),$AV902,dNULL)</f>
        <v>-99</v>
      </c>
      <c r="BA902">
        <f ca="1">IF(AND($AT902&lt;3,OFFSET(DATA!$C$14,$AS902,0)=BA$6),$AV902,dNULL)</f>
        <v>-99</v>
      </c>
      <c r="BB902">
        <f ca="1">IF(AND($AT902&lt;3,OFFSET(DATA!$C$14,$AS902,0)=BB$6),$AV902,dNULL)</f>
        <v>-99</v>
      </c>
      <c r="BC902">
        <f ca="1">IF(AND($AT902&lt;3,OFFSET(DATA!$C$14,$AS902,0)=BC$6),$AV902,dNULL)</f>
        <v>-99</v>
      </c>
      <c r="BD902">
        <f ca="1">IF(AND($AT902&lt;3,OFFSET(DATA!$C$14,$AS902,0)=BD$6),$AV902,dNULL)</f>
        <v>-99</v>
      </c>
      <c r="BE902">
        <f ca="1">IF(AND($AT902&lt;3,OFFSET(DATA!$C$14,$AS902,0)=BE$6),$AV902,dNULL)</f>
        <v>-99</v>
      </c>
      <c r="BF902">
        <f ca="1">IF(AND($AT902&lt;3,OFFSET(DATA!$C$14,$AS902,0)=BF$6),$AV902,dNULL)</f>
        <v>-99</v>
      </c>
      <c r="BG902">
        <f ca="1">IF(AND($AT902&lt;3,OFFSET(DATA!$C$14,$AS902,0)=BG$6),$AV902,dNULL)</f>
        <v>-99</v>
      </c>
      <c r="BH902">
        <f ca="1">IF(AND($AT902&lt;3,OFFSET(DATA!$C$14,$AS902,0)=BH$6),$AV902,dNULL)</f>
        <v>-99</v>
      </c>
    </row>
    <row r="903" spans="45:60" x14ac:dyDescent="0.25">
      <c r="AS903">
        <f t="shared" ref="AS903:AS966" si="144">MOD(ROW(AT903)-ROW($AT$7),lCNTsites)+1</f>
        <v>87</v>
      </c>
      <c r="AT903">
        <f t="shared" ref="AT903:AT966" si="145">INT((ROW(AT903)-ROW($AT$7))/lCNTsites)</f>
        <v>9</v>
      </c>
      <c r="AU903">
        <f t="shared" ref="AU903:AU966" ca="1" si="146">IF($AT903=0,(1-OFFSET($AL$6,$AS903,$AT903*2))-OFFSET($AL$6,$AS903,$AT903*2+1)*$K$8,IF($AT903=1,dAnionOFF+1+OFFSET($AL$6,$AS903,$AT903*2)+OFFSET($AL$6,$AS903,$AT903*2+1)/2,IF($AT903=2,$K$17-(1-OFFSET($AL$6,$AS903,$AT903*2))*0.5+(1-OFFSET($AL$6,$AS903,$AT903*2+1))*0.5,dNULL)))</f>
        <v>-99</v>
      </c>
      <c r="AV903">
        <f t="shared" ref="AV903:AV966" ca="1" si="147">IF($AT903=0,OFFSET($AL$6,$AS903,$AT903*2+1)*$L$8,IF($AT903=1,OFFSET($AL$6,$AS903,$AT903*2+1)*3^0.5/2,IF($AT903=2,$L$17+(2-OFFSET($AL$6,$AS903,$AT903*2)-OFFSET($AL$6,$AS903,$AT903*2+1))*$L$8,dNULL)))</f>
        <v>-99</v>
      </c>
      <c r="AW903">
        <f ca="1">IF(AND($AT903&lt;3,OFFSET(DATA!$C$14,$AS903,0)=AW$6),$AV903,dNULL)</f>
        <v>-99</v>
      </c>
      <c r="AX903">
        <f ca="1">IF(AND($AT903&lt;3,OFFSET(DATA!$C$14,$AS903,0)=AX$6),$AV903,dNULL)</f>
        <v>-99</v>
      </c>
      <c r="AY903">
        <f ca="1">IF(AND($AT903&lt;3,OFFSET(DATA!$C$14,$AS903,0)=AY$6),$AV903,dNULL)</f>
        <v>-99</v>
      </c>
      <c r="AZ903">
        <f ca="1">IF(AND($AT903&lt;3,OFFSET(DATA!$C$14,$AS903,0)=AZ$6),$AV903,dNULL)</f>
        <v>-99</v>
      </c>
      <c r="BA903">
        <f ca="1">IF(AND($AT903&lt;3,OFFSET(DATA!$C$14,$AS903,0)=BA$6),$AV903,dNULL)</f>
        <v>-99</v>
      </c>
      <c r="BB903">
        <f ca="1">IF(AND($AT903&lt;3,OFFSET(DATA!$C$14,$AS903,0)=BB$6),$AV903,dNULL)</f>
        <v>-99</v>
      </c>
      <c r="BC903">
        <f ca="1">IF(AND($AT903&lt;3,OFFSET(DATA!$C$14,$AS903,0)=BC$6),$AV903,dNULL)</f>
        <v>-99</v>
      </c>
      <c r="BD903">
        <f ca="1">IF(AND($AT903&lt;3,OFFSET(DATA!$C$14,$AS903,0)=BD$6),$AV903,dNULL)</f>
        <v>-99</v>
      </c>
      <c r="BE903">
        <f ca="1">IF(AND($AT903&lt;3,OFFSET(DATA!$C$14,$AS903,0)=BE$6),$AV903,dNULL)</f>
        <v>-99</v>
      </c>
      <c r="BF903">
        <f ca="1">IF(AND($AT903&lt;3,OFFSET(DATA!$C$14,$AS903,0)=BF$6),$AV903,dNULL)</f>
        <v>-99</v>
      </c>
      <c r="BG903">
        <f ca="1">IF(AND($AT903&lt;3,OFFSET(DATA!$C$14,$AS903,0)=BG$6),$AV903,dNULL)</f>
        <v>-99</v>
      </c>
      <c r="BH903">
        <f ca="1">IF(AND($AT903&lt;3,OFFSET(DATA!$C$14,$AS903,0)=BH$6),$AV903,dNULL)</f>
        <v>-99</v>
      </c>
    </row>
    <row r="904" spans="45:60" x14ac:dyDescent="0.25">
      <c r="AS904">
        <f t="shared" si="144"/>
        <v>88</v>
      </c>
      <c r="AT904">
        <f t="shared" si="145"/>
        <v>9</v>
      </c>
      <c r="AU904">
        <f t="shared" ca="1" si="146"/>
        <v>-99</v>
      </c>
      <c r="AV904">
        <f t="shared" ca="1" si="147"/>
        <v>-99</v>
      </c>
      <c r="AW904">
        <f ca="1">IF(AND($AT904&lt;3,OFFSET(DATA!$C$14,$AS904,0)=AW$6),$AV904,dNULL)</f>
        <v>-99</v>
      </c>
      <c r="AX904">
        <f ca="1">IF(AND($AT904&lt;3,OFFSET(DATA!$C$14,$AS904,0)=AX$6),$AV904,dNULL)</f>
        <v>-99</v>
      </c>
      <c r="AY904">
        <f ca="1">IF(AND($AT904&lt;3,OFFSET(DATA!$C$14,$AS904,0)=AY$6),$AV904,dNULL)</f>
        <v>-99</v>
      </c>
      <c r="AZ904">
        <f ca="1">IF(AND($AT904&lt;3,OFFSET(DATA!$C$14,$AS904,0)=AZ$6),$AV904,dNULL)</f>
        <v>-99</v>
      </c>
      <c r="BA904">
        <f ca="1">IF(AND($AT904&lt;3,OFFSET(DATA!$C$14,$AS904,0)=BA$6),$AV904,dNULL)</f>
        <v>-99</v>
      </c>
      <c r="BB904">
        <f ca="1">IF(AND($AT904&lt;3,OFFSET(DATA!$C$14,$AS904,0)=BB$6),$AV904,dNULL)</f>
        <v>-99</v>
      </c>
      <c r="BC904">
        <f ca="1">IF(AND($AT904&lt;3,OFFSET(DATA!$C$14,$AS904,0)=BC$6),$AV904,dNULL)</f>
        <v>-99</v>
      </c>
      <c r="BD904">
        <f ca="1">IF(AND($AT904&lt;3,OFFSET(DATA!$C$14,$AS904,0)=BD$6),$AV904,dNULL)</f>
        <v>-99</v>
      </c>
      <c r="BE904">
        <f ca="1">IF(AND($AT904&lt;3,OFFSET(DATA!$C$14,$AS904,0)=BE$6),$AV904,dNULL)</f>
        <v>-99</v>
      </c>
      <c r="BF904">
        <f ca="1">IF(AND($AT904&lt;3,OFFSET(DATA!$C$14,$AS904,0)=BF$6),$AV904,dNULL)</f>
        <v>-99</v>
      </c>
      <c r="BG904">
        <f ca="1">IF(AND($AT904&lt;3,OFFSET(DATA!$C$14,$AS904,0)=BG$6),$AV904,dNULL)</f>
        <v>-99</v>
      </c>
      <c r="BH904">
        <f ca="1">IF(AND($AT904&lt;3,OFFSET(DATA!$C$14,$AS904,0)=BH$6),$AV904,dNULL)</f>
        <v>-99</v>
      </c>
    </row>
    <row r="905" spans="45:60" x14ac:dyDescent="0.25">
      <c r="AS905">
        <f t="shared" si="144"/>
        <v>89</v>
      </c>
      <c r="AT905">
        <f t="shared" si="145"/>
        <v>9</v>
      </c>
      <c r="AU905">
        <f t="shared" ca="1" si="146"/>
        <v>-99</v>
      </c>
      <c r="AV905">
        <f t="shared" ca="1" si="147"/>
        <v>-99</v>
      </c>
      <c r="AW905">
        <f ca="1">IF(AND($AT905&lt;3,OFFSET(DATA!$C$14,$AS905,0)=AW$6),$AV905,dNULL)</f>
        <v>-99</v>
      </c>
      <c r="AX905">
        <f ca="1">IF(AND($AT905&lt;3,OFFSET(DATA!$C$14,$AS905,0)=AX$6),$AV905,dNULL)</f>
        <v>-99</v>
      </c>
      <c r="AY905">
        <f ca="1">IF(AND($AT905&lt;3,OFFSET(DATA!$C$14,$AS905,0)=AY$6),$AV905,dNULL)</f>
        <v>-99</v>
      </c>
      <c r="AZ905">
        <f ca="1">IF(AND($AT905&lt;3,OFFSET(DATA!$C$14,$AS905,0)=AZ$6),$AV905,dNULL)</f>
        <v>-99</v>
      </c>
      <c r="BA905">
        <f ca="1">IF(AND($AT905&lt;3,OFFSET(DATA!$C$14,$AS905,0)=BA$6),$AV905,dNULL)</f>
        <v>-99</v>
      </c>
      <c r="BB905">
        <f ca="1">IF(AND($AT905&lt;3,OFFSET(DATA!$C$14,$AS905,0)=BB$6),$AV905,dNULL)</f>
        <v>-99</v>
      </c>
      <c r="BC905">
        <f ca="1">IF(AND($AT905&lt;3,OFFSET(DATA!$C$14,$AS905,0)=BC$6),$AV905,dNULL)</f>
        <v>-99</v>
      </c>
      <c r="BD905">
        <f ca="1">IF(AND($AT905&lt;3,OFFSET(DATA!$C$14,$AS905,0)=BD$6),$AV905,dNULL)</f>
        <v>-99</v>
      </c>
      <c r="BE905">
        <f ca="1">IF(AND($AT905&lt;3,OFFSET(DATA!$C$14,$AS905,0)=BE$6),$AV905,dNULL)</f>
        <v>-99</v>
      </c>
      <c r="BF905">
        <f ca="1">IF(AND($AT905&lt;3,OFFSET(DATA!$C$14,$AS905,0)=BF$6),$AV905,dNULL)</f>
        <v>-99</v>
      </c>
      <c r="BG905">
        <f ca="1">IF(AND($AT905&lt;3,OFFSET(DATA!$C$14,$AS905,0)=BG$6),$AV905,dNULL)</f>
        <v>-99</v>
      </c>
      <c r="BH905">
        <f ca="1">IF(AND($AT905&lt;3,OFFSET(DATA!$C$14,$AS905,0)=BH$6),$AV905,dNULL)</f>
        <v>-99</v>
      </c>
    </row>
    <row r="906" spans="45:60" x14ac:dyDescent="0.25">
      <c r="AS906">
        <f t="shared" si="144"/>
        <v>90</v>
      </c>
      <c r="AT906">
        <f t="shared" si="145"/>
        <v>9</v>
      </c>
      <c r="AU906">
        <f t="shared" ca="1" si="146"/>
        <v>-99</v>
      </c>
      <c r="AV906">
        <f t="shared" ca="1" si="147"/>
        <v>-99</v>
      </c>
      <c r="AW906">
        <f ca="1">IF(AND($AT906&lt;3,OFFSET(DATA!$C$14,$AS906,0)=AW$6),$AV906,dNULL)</f>
        <v>-99</v>
      </c>
      <c r="AX906">
        <f ca="1">IF(AND($AT906&lt;3,OFFSET(DATA!$C$14,$AS906,0)=AX$6),$AV906,dNULL)</f>
        <v>-99</v>
      </c>
      <c r="AY906">
        <f ca="1">IF(AND($AT906&lt;3,OFFSET(DATA!$C$14,$AS906,0)=AY$6),$AV906,dNULL)</f>
        <v>-99</v>
      </c>
      <c r="AZ906">
        <f ca="1">IF(AND($AT906&lt;3,OFFSET(DATA!$C$14,$AS906,0)=AZ$6),$AV906,dNULL)</f>
        <v>-99</v>
      </c>
      <c r="BA906">
        <f ca="1">IF(AND($AT906&lt;3,OFFSET(DATA!$C$14,$AS906,0)=BA$6),$AV906,dNULL)</f>
        <v>-99</v>
      </c>
      <c r="BB906">
        <f ca="1">IF(AND($AT906&lt;3,OFFSET(DATA!$C$14,$AS906,0)=BB$6),$AV906,dNULL)</f>
        <v>-99</v>
      </c>
      <c r="BC906">
        <f ca="1">IF(AND($AT906&lt;3,OFFSET(DATA!$C$14,$AS906,0)=BC$6),$AV906,dNULL)</f>
        <v>-99</v>
      </c>
      <c r="BD906">
        <f ca="1">IF(AND($AT906&lt;3,OFFSET(DATA!$C$14,$AS906,0)=BD$6),$AV906,dNULL)</f>
        <v>-99</v>
      </c>
      <c r="BE906">
        <f ca="1">IF(AND($AT906&lt;3,OFFSET(DATA!$C$14,$AS906,0)=BE$6),$AV906,dNULL)</f>
        <v>-99</v>
      </c>
      <c r="BF906">
        <f ca="1">IF(AND($AT906&lt;3,OFFSET(DATA!$C$14,$AS906,0)=BF$6),$AV906,dNULL)</f>
        <v>-99</v>
      </c>
      <c r="BG906">
        <f ca="1">IF(AND($AT906&lt;3,OFFSET(DATA!$C$14,$AS906,0)=BG$6),$AV906,dNULL)</f>
        <v>-99</v>
      </c>
      <c r="BH906">
        <f ca="1">IF(AND($AT906&lt;3,OFFSET(DATA!$C$14,$AS906,0)=BH$6),$AV906,dNULL)</f>
        <v>-99</v>
      </c>
    </row>
    <row r="907" spans="45:60" x14ac:dyDescent="0.25">
      <c r="AS907">
        <f t="shared" si="144"/>
        <v>1</v>
      </c>
      <c r="AT907">
        <f t="shared" si="145"/>
        <v>10</v>
      </c>
      <c r="AU907">
        <f t="shared" ca="1" si="146"/>
        <v>-99</v>
      </c>
      <c r="AV907">
        <f t="shared" ca="1" si="147"/>
        <v>-99</v>
      </c>
      <c r="AW907">
        <f ca="1">IF(AND($AT907&lt;3,OFFSET(DATA!$C$14,$AS907,0)=AW$6),$AV907,dNULL)</f>
        <v>-99</v>
      </c>
      <c r="AX907">
        <f ca="1">IF(AND($AT907&lt;3,OFFSET(DATA!$C$14,$AS907,0)=AX$6),$AV907,dNULL)</f>
        <v>-99</v>
      </c>
      <c r="AY907">
        <f ca="1">IF(AND($AT907&lt;3,OFFSET(DATA!$C$14,$AS907,0)=AY$6),$AV907,dNULL)</f>
        <v>-99</v>
      </c>
      <c r="AZ907">
        <f ca="1">IF(AND($AT907&lt;3,OFFSET(DATA!$C$14,$AS907,0)=AZ$6),$AV907,dNULL)</f>
        <v>-99</v>
      </c>
      <c r="BA907">
        <f ca="1">IF(AND($AT907&lt;3,OFFSET(DATA!$C$14,$AS907,0)=BA$6),$AV907,dNULL)</f>
        <v>-99</v>
      </c>
      <c r="BB907">
        <f ca="1">IF(AND($AT907&lt;3,OFFSET(DATA!$C$14,$AS907,0)=BB$6),$AV907,dNULL)</f>
        <v>-99</v>
      </c>
      <c r="BC907">
        <f ca="1">IF(AND($AT907&lt;3,OFFSET(DATA!$C$14,$AS907,0)=BC$6),$AV907,dNULL)</f>
        <v>-99</v>
      </c>
      <c r="BD907">
        <f ca="1">IF(AND($AT907&lt;3,OFFSET(DATA!$C$14,$AS907,0)=BD$6),$AV907,dNULL)</f>
        <v>-99</v>
      </c>
      <c r="BE907">
        <f ca="1">IF(AND($AT907&lt;3,OFFSET(DATA!$C$14,$AS907,0)=BE$6),$AV907,dNULL)</f>
        <v>-99</v>
      </c>
      <c r="BF907">
        <f ca="1">IF(AND($AT907&lt;3,OFFSET(DATA!$C$14,$AS907,0)=BF$6),$AV907,dNULL)</f>
        <v>-99</v>
      </c>
      <c r="BG907">
        <f ca="1">IF(AND($AT907&lt;3,OFFSET(DATA!$C$14,$AS907,0)=BG$6),$AV907,dNULL)</f>
        <v>-99</v>
      </c>
      <c r="BH907">
        <f ca="1">IF(AND($AT907&lt;3,OFFSET(DATA!$C$14,$AS907,0)=BH$6),$AV907,dNULL)</f>
        <v>-99</v>
      </c>
    </row>
    <row r="908" spans="45:60" x14ac:dyDescent="0.25">
      <c r="AS908">
        <f t="shared" si="144"/>
        <v>2</v>
      </c>
      <c r="AT908">
        <f t="shared" si="145"/>
        <v>10</v>
      </c>
      <c r="AU908">
        <f t="shared" ca="1" si="146"/>
        <v>-99</v>
      </c>
      <c r="AV908">
        <f t="shared" ca="1" si="147"/>
        <v>-99</v>
      </c>
      <c r="AW908">
        <f ca="1">IF(AND($AT908&lt;3,OFFSET(DATA!$C$14,$AS908,0)=AW$6),$AV908,dNULL)</f>
        <v>-99</v>
      </c>
      <c r="AX908">
        <f ca="1">IF(AND($AT908&lt;3,OFFSET(DATA!$C$14,$AS908,0)=AX$6),$AV908,dNULL)</f>
        <v>-99</v>
      </c>
      <c r="AY908">
        <f ca="1">IF(AND($AT908&lt;3,OFFSET(DATA!$C$14,$AS908,0)=AY$6),$AV908,dNULL)</f>
        <v>-99</v>
      </c>
      <c r="AZ908">
        <f ca="1">IF(AND($AT908&lt;3,OFFSET(DATA!$C$14,$AS908,0)=AZ$6),$AV908,dNULL)</f>
        <v>-99</v>
      </c>
      <c r="BA908">
        <f ca="1">IF(AND($AT908&lt;3,OFFSET(DATA!$C$14,$AS908,0)=BA$6),$AV908,dNULL)</f>
        <v>-99</v>
      </c>
      <c r="BB908">
        <f ca="1">IF(AND($AT908&lt;3,OFFSET(DATA!$C$14,$AS908,0)=BB$6),$AV908,dNULL)</f>
        <v>-99</v>
      </c>
      <c r="BC908">
        <f ca="1">IF(AND($AT908&lt;3,OFFSET(DATA!$C$14,$AS908,0)=BC$6),$AV908,dNULL)</f>
        <v>-99</v>
      </c>
      <c r="BD908">
        <f ca="1">IF(AND($AT908&lt;3,OFFSET(DATA!$C$14,$AS908,0)=BD$6),$AV908,dNULL)</f>
        <v>-99</v>
      </c>
      <c r="BE908">
        <f ca="1">IF(AND($AT908&lt;3,OFFSET(DATA!$C$14,$AS908,0)=BE$6),$AV908,dNULL)</f>
        <v>-99</v>
      </c>
      <c r="BF908">
        <f ca="1">IF(AND($AT908&lt;3,OFFSET(DATA!$C$14,$AS908,0)=BF$6),$AV908,dNULL)</f>
        <v>-99</v>
      </c>
      <c r="BG908">
        <f ca="1">IF(AND($AT908&lt;3,OFFSET(DATA!$C$14,$AS908,0)=BG$6),$AV908,dNULL)</f>
        <v>-99</v>
      </c>
      <c r="BH908">
        <f ca="1">IF(AND($AT908&lt;3,OFFSET(DATA!$C$14,$AS908,0)=BH$6),$AV908,dNULL)</f>
        <v>-99</v>
      </c>
    </row>
    <row r="909" spans="45:60" x14ac:dyDescent="0.25">
      <c r="AS909">
        <f t="shared" si="144"/>
        <v>3</v>
      </c>
      <c r="AT909">
        <f t="shared" si="145"/>
        <v>10</v>
      </c>
      <c r="AU909">
        <f t="shared" ca="1" si="146"/>
        <v>-99</v>
      </c>
      <c r="AV909">
        <f t="shared" ca="1" si="147"/>
        <v>-99</v>
      </c>
      <c r="AW909">
        <f ca="1">IF(AND($AT909&lt;3,OFFSET(DATA!$C$14,$AS909,0)=AW$6),$AV909,dNULL)</f>
        <v>-99</v>
      </c>
      <c r="AX909">
        <f ca="1">IF(AND($AT909&lt;3,OFFSET(DATA!$C$14,$AS909,0)=AX$6),$AV909,dNULL)</f>
        <v>-99</v>
      </c>
      <c r="AY909">
        <f ca="1">IF(AND($AT909&lt;3,OFFSET(DATA!$C$14,$AS909,0)=AY$6),$AV909,dNULL)</f>
        <v>-99</v>
      </c>
      <c r="AZ909">
        <f ca="1">IF(AND($AT909&lt;3,OFFSET(DATA!$C$14,$AS909,0)=AZ$6),$AV909,dNULL)</f>
        <v>-99</v>
      </c>
      <c r="BA909">
        <f ca="1">IF(AND($AT909&lt;3,OFFSET(DATA!$C$14,$AS909,0)=BA$6),$AV909,dNULL)</f>
        <v>-99</v>
      </c>
      <c r="BB909">
        <f ca="1">IF(AND($AT909&lt;3,OFFSET(DATA!$C$14,$AS909,0)=BB$6),$AV909,dNULL)</f>
        <v>-99</v>
      </c>
      <c r="BC909">
        <f ca="1">IF(AND($AT909&lt;3,OFFSET(DATA!$C$14,$AS909,0)=BC$6),$AV909,dNULL)</f>
        <v>-99</v>
      </c>
      <c r="BD909">
        <f ca="1">IF(AND($AT909&lt;3,OFFSET(DATA!$C$14,$AS909,0)=BD$6),$AV909,dNULL)</f>
        <v>-99</v>
      </c>
      <c r="BE909">
        <f ca="1">IF(AND($AT909&lt;3,OFFSET(DATA!$C$14,$AS909,0)=BE$6),$AV909,dNULL)</f>
        <v>-99</v>
      </c>
      <c r="BF909">
        <f ca="1">IF(AND($AT909&lt;3,OFFSET(DATA!$C$14,$AS909,0)=BF$6),$AV909,dNULL)</f>
        <v>-99</v>
      </c>
      <c r="BG909">
        <f ca="1">IF(AND($AT909&lt;3,OFFSET(DATA!$C$14,$AS909,0)=BG$6),$AV909,dNULL)</f>
        <v>-99</v>
      </c>
      <c r="BH909">
        <f ca="1">IF(AND($AT909&lt;3,OFFSET(DATA!$C$14,$AS909,0)=BH$6),$AV909,dNULL)</f>
        <v>-99</v>
      </c>
    </row>
    <row r="910" spans="45:60" x14ac:dyDescent="0.25">
      <c r="AS910">
        <f t="shared" si="144"/>
        <v>4</v>
      </c>
      <c r="AT910">
        <f t="shared" si="145"/>
        <v>10</v>
      </c>
      <c r="AU910">
        <f t="shared" ca="1" si="146"/>
        <v>-99</v>
      </c>
      <c r="AV910">
        <f t="shared" ca="1" si="147"/>
        <v>-99</v>
      </c>
      <c r="AW910">
        <f ca="1">IF(AND($AT910&lt;3,OFFSET(DATA!$C$14,$AS910,0)=AW$6),$AV910,dNULL)</f>
        <v>-99</v>
      </c>
      <c r="AX910">
        <f ca="1">IF(AND($AT910&lt;3,OFFSET(DATA!$C$14,$AS910,0)=AX$6),$AV910,dNULL)</f>
        <v>-99</v>
      </c>
      <c r="AY910">
        <f ca="1">IF(AND($AT910&lt;3,OFFSET(DATA!$C$14,$AS910,0)=AY$6),$AV910,dNULL)</f>
        <v>-99</v>
      </c>
      <c r="AZ910">
        <f ca="1">IF(AND($AT910&lt;3,OFFSET(DATA!$C$14,$AS910,0)=AZ$6),$AV910,dNULL)</f>
        <v>-99</v>
      </c>
      <c r="BA910">
        <f ca="1">IF(AND($AT910&lt;3,OFFSET(DATA!$C$14,$AS910,0)=BA$6),$AV910,dNULL)</f>
        <v>-99</v>
      </c>
      <c r="BB910">
        <f ca="1">IF(AND($AT910&lt;3,OFFSET(DATA!$C$14,$AS910,0)=BB$6),$AV910,dNULL)</f>
        <v>-99</v>
      </c>
      <c r="BC910">
        <f ca="1">IF(AND($AT910&lt;3,OFFSET(DATA!$C$14,$AS910,0)=BC$6),$AV910,dNULL)</f>
        <v>-99</v>
      </c>
      <c r="BD910">
        <f ca="1">IF(AND($AT910&lt;3,OFFSET(DATA!$C$14,$AS910,0)=BD$6),$AV910,dNULL)</f>
        <v>-99</v>
      </c>
      <c r="BE910">
        <f ca="1">IF(AND($AT910&lt;3,OFFSET(DATA!$C$14,$AS910,0)=BE$6),$AV910,dNULL)</f>
        <v>-99</v>
      </c>
      <c r="BF910">
        <f ca="1">IF(AND($AT910&lt;3,OFFSET(DATA!$C$14,$AS910,0)=BF$6),$AV910,dNULL)</f>
        <v>-99</v>
      </c>
      <c r="BG910">
        <f ca="1">IF(AND($AT910&lt;3,OFFSET(DATA!$C$14,$AS910,0)=BG$6),$AV910,dNULL)</f>
        <v>-99</v>
      </c>
      <c r="BH910">
        <f ca="1">IF(AND($AT910&lt;3,OFFSET(DATA!$C$14,$AS910,0)=BH$6),$AV910,dNULL)</f>
        <v>-99</v>
      </c>
    </row>
    <row r="911" spans="45:60" x14ac:dyDescent="0.25">
      <c r="AS911">
        <f t="shared" si="144"/>
        <v>5</v>
      </c>
      <c r="AT911">
        <f t="shared" si="145"/>
        <v>10</v>
      </c>
      <c r="AU911">
        <f t="shared" ca="1" si="146"/>
        <v>-99</v>
      </c>
      <c r="AV911">
        <f t="shared" ca="1" si="147"/>
        <v>-99</v>
      </c>
      <c r="AW911">
        <f ca="1">IF(AND($AT911&lt;3,OFFSET(DATA!$C$14,$AS911,0)=AW$6),$AV911,dNULL)</f>
        <v>-99</v>
      </c>
      <c r="AX911">
        <f ca="1">IF(AND($AT911&lt;3,OFFSET(DATA!$C$14,$AS911,0)=AX$6),$AV911,dNULL)</f>
        <v>-99</v>
      </c>
      <c r="AY911">
        <f ca="1">IF(AND($AT911&lt;3,OFFSET(DATA!$C$14,$AS911,0)=AY$6),$AV911,dNULL)</f>
        <v>-99</v>
      </c>
      <c r="AZ911">
        <f ca="1">IF(AND($AT911&lt;3,OFFSET(DATA!$C$14,$AS911,0)=AZ$6),$AV911,dNULL)</f>
        <v>-99</v>
      </c>
      <c r="BA911">
        <f ca="1">IF(AND($AT911&lt;3,OFFSET(DATA!$C$14,$AS911,0)=BA$6),$AV911,dNULL)</f>
        <v>-99</v>
      </c>
      <c r="BB911">
        <f ca="1">IF(AND($AT911&lt;3,OFFSET(DATA!$C$14,$AS911,0)=BB$6),$AV911,dNULL)</f>
        <v>-99</v>
      </c>
      <c r="BC911">
        <f ca="1">IF(AND($AT911&lt;3,OFFSET(DATA!$C$14,$AS911,0)=BC$6),$AV911,dNULL)</f>
        <v>-99</v>
      </c>
      <c r="BD911">
        <f ca="1">IF(AND($AT911&lt;3,OFFSET(DATA!$C$14,$AS911,0)=BD$6),$AV911,dNULL)</f>
        <v>-99</v>
      </c>
      <c r="BE911">
        <f ca="1">IF(AND($AT911&lt;3,OFFSET(DATA!$C$14,$AS911,0)=BE$6),$AV911,dNULL)</f>
        <v>-99</v>
      </c>
      <c r="BF911">
        <f ca="1">IF(AND($AT911&lt;3,OFFSET(DATA!$C$14,$AS911,0)=BF$6),$AV911,dNULL)</f>
        <v>-99</v>
      </c>
      <c r="BG911">
        <f ca="1">IF(AND($AT911&lt;3,OFFSET(DATA!$C$14,$AS911,0)=BG$6),$AV911,dNULL)</f>
        <v>-99</v>
      </c>
      <c r="BH911">
        <f ca="1">IF(AND($AT911&lt;3,OFFSET(DATA!$C$14,$AS911,0)=BH$6),$AV911,dNULL)</f>
        <v>-99</v>
      </c>
    </row>
    <row r="912" spans="45:60" x14ac:dyDescent="0.25">
      <c r="AS912">
        <f t="shared" si="144"/>
        <v>6</v>
      </c>
      <c r="AT912">
        <f t="shared" si="145"/>
        <v>10</v>
      </c>
      <c r="AU912">
        <f t="shared" ca="1" si="146"/>
        <v>-99</v>
      </c>
      <c r="AV912">
        <f t="shared" ca="1" si="147"/>
        <v>-99</v>
      </c>
      <c r="AW912">
        <f ca="1">IF(AND($AT912&lt;3,OFFSET(DATA!$C$14,$AS912,0)=AW$6),$AV912,dNULL)</f>
        <v>-99</v>
      </c>
      <c r="AX912">
        <f ca="1">IF(AND($AT912&lt;3,OFFSET(DATA!$C$14,$AS912,0)=AX$6),$AV912,dNULL)</f>
        <v>-99</v>
      </c>
      <c r="AY912">
        <f ca="1">IF(AND($AT912&lt;3,OFFSET(DATA!$C$14,$AS912,0)=AY$6),$AV912,dNULL)</f>
        <v>-99</v>
      </c>
      <c r="AZ912">
        <f ca="1">IF(AND($AT912&lt;3,OFFSET(DATA!$C$14,$AS912,0)=AZ$6),$AV912,dNULL)</f>
        <v>-99</v>
      </c>
      <c r="BA912">
        <f ca="1">IF(AND($AT912&lt;3,OFFSET(DATA!$C$14,$AS912,0)=BA$6),$AV912,dNULL)</f>
        <v>-99</v>
      </c>
      <c r="BB912">
        <f ca="1">IF(AND($AT912&lt;3,OFFSET(DATA!$C$14,$AS912,0)=BB$6),$AV912,dNULL)</f>
        <v>-99</v>
      </c>
      <c r="BC912">
        <f ca="1">IF(AND($AT912&lt;3,OFFSET(DATA!$C$14,$AS912,0)=BC$6),$AV912,dNULL)</f>
        <v>-99</v>
      </c>
      <c r="BD912">
        <f ca="1">IF(AND($AT912&lt;3,OFFSET(DATA!$C$14,$AS912,0)=BD$6),$AV912,dNULL)</f>
        <v>-99</v>
      </c>
      <c r="BE912">
        <f ca="1">IF(AND($AT912&lt;3,OFFSET(DATA!$C$14,$AS912,0)=BE$6),$AV912,dNULL)</f>
        <v>-99</v>
      </c>
      <c r="BF912">
        <f ca="1">IF(AND($AT912&lt;3,OFFSET(DATA!$C$14,$AS912,0)=BF$6),$AV912,dNULL)</f>
        <v>-99</v>
      </c>
      <c r="BG912">
        <f ca="1">IF(AND($AT912&lt;3,OFFSET(DATA!$C$14,$AS912,0)=BG$6),$AV912,dNULL)</f>
        <v>-99</v>
      </c>
      <c r="BH912">
        <f ca="1">IF(AND($AT912&lt;3,OFFSET(DATA!$C$14,$AS912,0)=BH$6),$AV912,dNULL)</f>
        <v>-99</v>
      </c>
    </row>
    <row r="913" spans="45:60" x14ac:dyDescent="0.25">
      <c r="AS913">
        <f t="shared" si="144"/>
        <v>7</v>
      </c>
      <c r="AT913">
        <f t="shared" si="145"/>
        <v>10</v>
      </c>
      <c r="AU913">
        <f t="shared" ca="1" si="146"/>
        <v>-99</v>
      </c>
      <c r="AV913">
        <f t="shared" ca="1" si="147"/>
        <v>-99</v>
      </c>
      <c r="AW913">
        <f ca="1">IF(AND($AT913&lt;3,OFFSET(DATA!$C$14,$AS913,0)=AW$6),$AV913,dNULL)</f>
        <v>-99</v>
      </c>
      <c r="AX913">
        <f ca="1">IF(AND($AT913&lt;3,OFFSET(DATA!$C$14,$AS913,0)=AX$6),$AV913,dNULL)</f>
        <v>-99</v>
      </c>
      <c r="AY913">
        <f ca="1">IF(AND($AT913&lt;3,OFFSET(DATA!$C$14,$AS913,0)=AY$6),$AV913,dNULL)</f>
        <v>-99</v>
      </c>
      <c r="AZ913">
        <f ca="1">IF(AND($AT913&lt;3,OFFSET(DATA!$C$14,$AS913,0)=AZ$6),$AV913,dNULL)</f>
        <v>-99</v>
      </c>
      <c r="BA913">
        <f ca="1">IF(AND($AT913&lt;3,OFFSET(DATA!$C$14,$AS913,0)=BA$6),$AV913,dNULL)</f>
        <v>-99</v>
      </c>
      <c r="BB913">
        <f ca="1">IF(AND($AT913&lt;3,OFFSET(DATA!$C$14,$AS913,0)=BB$6),$AV913,dNULL)</f>
        <v>-99</v>
      </c>
      <c r="BC913">
        <f ca="1">IF(AND($AT913&lt;3,OFFSET(DATA!$C$14,$AS913,0)=BC$6),$AV913,dNULL)</f>
        <v>-99</v>
      </c>
      <c r="BD913">
        <f ca="1">IF(AND($AT913&lt;3,OFFSET(DATA!$C$14,$AS913,0)=BD$6),$AV913,dNULL)</f>
        <v>-99</v>
      </c>
      <c r="BE913">
        <f ca="1">IF(AND($AT913&lt;3,OFFSET(DATA!$C$14,$AS913,0)=BE$6),$AV913,dNULL)</f>
        <v>-99</v>
      </c>
      <c r="BF913">
        <f ca="1">IF(AND($AT913&lt;3,OFFSET(DATA!$C$14,$AS913,0)=BF$6),$AV913,dNULL)</f>
        <v>-99</v>
      </c>
      <c r="BG913">
        <f ca="1">IF(AND($AT913&lt;3,OFFSET(DATA!$C$14,$AS913,0)=BG$6),$AV913,dNULL)</f>
        <v>-99</v>
      </c>
      <c r="BH913">
        <f ca="1">IF(AND($AT913&lt;3,OFFSET(DATA!$C$14,$AS913,0)=BH$6),$AV913,dNULL)</f>
        <v>-99</v>
      </c>
    </row>
    <row r="914" spans="45:60" x14ac:dyDescent="0.25">
      <c r="AS914">
        <f t="shared" si="144"/>
        <v>8</v>
      </c>
      <c r="AT914">
        <f t="shared" si="145"/>
        <v>10</v>
      </c>
      <c r="AU914">
        <f t="shared" ca="1" si="146"/>
        <v>-99</v>
      </c>
      <c r="AV914">
        <f t="shared" ca="1" si="147"/>
        <v>-99</v>
      </c>
      <c r="AW914">
        <f ca="1">IF(AND($AT914&lt;3,OFFSET(DATA!$C$14,$AS914,0)=AW$6),$AV914,dNULL)</f>
        <v>-99</v>
      </c>
      <c r="AX914">
        <f ca="1">IF(AND($AT914&lt;3,OFFSET(DATA!$C$14,$AS914,0)=AX$6),$AV914,dNULL)</f>
        <v>-99</v>
      </c>
      <c r="AY914">
        <f ca="1">IF(AND($AT914&lt;3,OFFSET(DATA!$C$14,$AS914,0)=AY$6),$AV914,dNULL)</f>
        <v>-99</v>
      </c>
      <c r="AZ914">
        <f ca="1">IF(AND($AT914&lt;3,OFFSET(DATA!$C$14,$AS914,0)=AZ$6),$AV914,dNULL)</f>
        <v>-99</v>
      </c>
      <c r="BA914">
        <f ca="1">IF(AND($AT914&lt;3,OFFSET(DATA!$C$14,$AS914,0)=BA$6),$AV914,dNULL)</f>
        <v>-99</v>
      </c>
      <c r="BB914">
        <f ca="1">IF(AND($AT914&lt;3,OFFSET(DATA!$C$14,$AS914,0)=BB$6),$AV914,dNULL)</f>
        <v>-99</v>
      </c>
      <c r="BC914">
        <f ca="1">IF(AND($AT914&lt;3,OFFSET(DATA!$C$14,$AS914,0)=BC$6),$AV914,dNULL)</f>
        <v>-99</v>
      </c>
      <c r="BD914">
        <f ca="1">IF(AND($AT914&lt;3,OFFSET(DATA!$C$14,$AS914,0)=BD$6),$AV914,dNULL)</f>
        <v>-99</v>
      </c>
      <c r="BE914">
        <f ca="1">IF(AND($AT914&lt;3,OFFSET(DATA!$C$14,$AS914,0)=BE$6),$AV914,dNULL)</f>
        <v>-99</v>
      </c>
      <c r="BF914">
        <f ca="1">IF(AND($AT914&lt;3,OFFSET(DATA!$C$14,$AS914,0)=BF$6),$AV914,dNULL)</f>
        <v>-99</v>
      </c>
      <c r="BG914">
        <f ca="1">IF(AND($AT914&lt;3,OFFSET(DATA!$C$14,$AS914,0)=BG$6),$AV914,dNULL)</f>
        <v>-99</v>
      </c>
      <c r="BH914">
        <f ca="1">IF(AND($AT914&lt;3,OFFSET(DATA!$C$14,$AS914,0)=BH$6),$AV914,dNULL)</f>
        <v>-99</v>
      </c>
    </row>
    <row r="915" spans="45:60" x14ac:dyDescent="0.25">
      <c r="AS915">
        <f t="shared" si="144"/>
        <v>9</v>
      </c>
      <c r="AT915">
        <f t="shared" si="145"/>
        <v>10</v>
      </c>
      <c r="AU915">
        <f t="shared" ca="1" si="146"/>
        <v>-99</v>
      </c>
      <c r="AV915">
        <f t="shared" ca="1" si="147"/>
        <v>-99</v>
      </c>
      <c r="AW915">
        <f ca="1">IF(AND($AT915&lt;3,OFFSET(DATA!$C$14,$AS915,0)=AW$6),$AV915,dNULL)</f>
        <v>-99</v>
      </c>
      <c r="AX915">
        <f ca="1">IF(AND($AT915&lt;3,OFFSET(DATA!$C$14,$AS915,0)=AX$6),$AV915,dNULL)</f>
        <v>-99</v>
      </c>
      <c r="AY915">
        <f ca="1">IF(AND($AT915&lt;3,OFFSET(DATA!$C$14,$AS915,0)=AY$6),$AV915,dNULL)</f>
        <v>-99</v>
      </c>
      <c r="AZ915">
        <f ca="1">IF(AND($AT915&lt;3,OFFSET(DATA!$C$14,$AS915,0)=AZ$6),$AV915,dNULL)</f>
        <v>-99</v>
      </c>
      <c r="BA915">
        <f ca="1">IF(AND($AT915&lt;3,OFFSET(DATA!$C$14,$AS915,0)=BA$6),$AV915,dNULL)</f>
        <v>-99</v>
      </c>
      <c r="BB915">
        <f ca="1">IF(AND($AT915&lt;3,OFFSET(DATA!$C$14,$AS915,0)=BB$6),$AV915,dNULL)</f>
        <v>-99</v>
      </c>
      <c r="BC915">
        <f ca="1">IF(AND($AT915&lt;3,OFFSET(DATA!$C$14,$AS915,0)=BC$6),$AV915,dNULL)</f>
        <v>-99</v>
      </c>
      <c r="BD915">
        <f ca="1">IF(AND($AT915&lt;3,OFFSET(DATA!$C$14,$AS915,0)=BD$6),$AV915,dNULL)</f>
        <v>-99</v>
      </c>
      <c r="BE915">
        <f ca="1">IF(AND($AT915&lt;3,OFFSET(DATA!$C$14,$AS915,0)=BE$6),$AV915,dNULL)</f>
        <v>-99</v>
      </c>
      <c r="BF915">
        <f ca="1">IF(AND($AT915&lt;3,OFFSET(DATA!$C$14,$AS915,0)=BF$6),$AV915,dNULL)</f>
        <v>-99</v>
      </c>
      <c r="BG915">
        <f ca="1">IF(AND($AT915&lt;3,OFFSET(DATA!$C$14,$AS915,0)=BG$6),$AV915,dNULL)</f>
        <v>-99</v>
      </c>
      <c r="BH915">
        <f ca="1">IF(AND($AT915&lt;3,OFFSET(DATA!$C$14,$AS915,0)=BH$6),$AV915,dNULL)</f>
        <v>-99</v>
      </c>
    </row>
    <row r="916" spans="45:60" x14ac:dyDescent="0.25">
      <c r="AS916">
        <f t="shared" si="144"/>
        <v>10</v>
      </c>
      <c r="AT916">
        <f t="shared" si="145"/>
        <v>10</v>
      </c>
      <c r="AU916">
        <f t="shared" ca="1" si="146"/>
        <v>-99</v>
      </c>
      <c r="AV916">
        <f t="shared" ca="1" si="147"/>
        <v>-99</v>
      </c>
      <c r="AW916">
        <f ca="1">IF(AND($AT916&lt;3,OFFSET(DATA!$C$14,$AS916,0)=AW$6),$AV916,dNULL)</f>
        <v>-99</v>
      </c>
      <c r="AX916">
        <f ca="1">IF(AND($AT916&lt;3,OFFSET(DATA!$C$14,$AS916,0)=AX$6),$AV916,dNULL)</f>
        <v>-99</v>
      </c>
      <c r="AY916">
        <f ca="1">IF(AND($AT916&lt;3,OFFSET(DATA!$C$14,$AS916,0)=AY$6),$AV916,dNULL)</f>
        <v>-99</v>
      </c>
      <c r="AZ916">
        <f ca="1">IF(AND($AT916&lt;3,OFFSET(DATA!$C$14,$AS916,0)=AZ$6),$AV916,dNULL)</f>
        <v>-99</v>
      </c>
      <c r="BA916">
        <f ca="1">IF(AND($AT916&lt;3,OFFSET(DATA!$C$14,$AS916,0)=BA$6),$AV916,dNULL)</f>
        <v>-99</v>
      </c>
      <c r="BB916">
        <f ca="1">IF(AND($AT916&lt;3,OFFSET(DATA!$C$14,$AS916,0)=BB$6),$AV916,dNULL)</f>
        <v>-99</v>
      </c>
      <c r="BC916">
        <f ca="1">IF(AND($AT916&lt;3,OFFSET(DATA!$C$14,$AS916,0)=BC$6),$AV916,dNULL)</f>
        <v>-99</v>
      </c>
      <c r="BD916">
        <f ca="1">IF(AND($AT916&lt;3,OFFSET(DATA!$C$14,$AS916,0)=BD$6),$AV916,dNULL)</f>
        <v>-99</v>
      </c>
      <c r="BE916">
        <f ca="1">IF(AND($AT916&lt;3,OFFSET(DATA!$C$14,$AS916,0)=BE$6),$AV916,dNULL)</f>
        <v>-99</v>
      </c>
      <c r="BF916">
        <f ca="1">IF(AND($AT916&lt;3,OFFSET(DATA!$C$14,$AS916,0)=BF$6),$AV916,dNULL)</f>
        <v>-99</v>
      </c>
      <c r="BG916">
        <f ca="1">IF(AND($AT916&lt;3,OFFSET(DATA!$C$14,$AS916,0)=BG$6),$AV916,dNULL)</f>
        <v>-99</v>
      </c>
      <c r="BH916">
        <f ca="1">IF(AND($AT916&lt;3,OFFSET(DATA!$C$14,$AS916,0)=BH$6),$AV916,dNULL)</f>
        <v>-99</v>
      </c>
    </row>
    <row r="917" spans="45:60" x14ac:dyDescent="0.25">
      <c r="AS917">
        <f t="shared" si="144"/>
        <v>11</v>
      </c>
      <c r="AT917">
        <f t="shared" si="145"/>
        <v>10</v>
      </c>
      <c r="AU917">
        <f t="shared" ca="1" si="146"/>
        <v>-99</v>
      </c>
      <c r="AV917">
        <f t="shared" ca="1" si="147"/>
        <v>-99</v>
      </c>
      <c r="AW917">
        <f ca="1">IF(AND($AT917&lt;3,OFFSET(DATA!$C$14,$AS917,0)=AW$6),$AV917,dNULL)</f>
        <v>-99</v>
      </c>
      <c r="AX917">
        <f ca="1">IF(AND($AT917&lt;3,OFFSET(DATA!$C$14,$AS917,0)=AX$6),$AV917,dNULL)</f>
        <v>-99</v>
      </c>
      <c r="AY917">
        <f ca="1">IF(AND($AT917&lt;3,OFFSET(DATA!$C$14,$AS917,0)=AY$6),$AV917,dNULL)</f>
        <v>-99</v>
      </c>
      <c r="AZ917">
        <f ca="1">IF(AND($AT917&lt;3,OFFSET(DATA!$C$14,$AS917,0)=AZ$6),$AV917,dNULL)</f>
        <v>-99</v>
      </c>
      <c r="BA917">
        <f ca="1">IF(AND($AT917&lt;3,OFFSET(DATA!$C$14,$AS917,0)=BA$6),$AV917,dNULL)</f>
        <v>-99</v>
      </c>
      <c r="BB917">
        <f ca="1">IF(AND($AT917&lt;3,OFFSET(DATA!$C$14,$AS917,0)=BB$6),$AV917,dNULL)</f>
        <v>-99</v>
      </c>
      <c r="BC917">
        <f ca="1">IF(AND($AT917&lt;3,OFFSET(DATA!$C$14,$AS917,0)=BC$6),$AV917,dNULL)</f>
        <v>-99</v>
      </c>
      <c r="BD917">
        <f ca="1">IF(AND($AT917&lt;3,OFFSET(DATA!$C$14,$AS917,0)=BD$6),$AV917,dNULL)</f>
        <v>-99</v>
      </c>
      <c r="BE917">
        <f ca="1">IF(AND($AT917&lt;3,OFFSET(DATA!$C$14,$AS917,0)=BE$6),$AV917,dNULL)</f>
        <v>-99</v>
      </c>
      <c r="BF917">
        <f ca="1">IF(AND($AT917&lt;3,OFFSET(DATA!$C$14,$AS917,0)=BF$6),$AV917,dNULL)</f>
        <v>-99</v>
      </c>
      <c r="BG917">
        <f ca="1">IF(AND($AT917&lt;3,OFFSET(DATA!$C$14,$AS917,0)=BG$6),$AV917,dNULL)</f>
        <v>-99</v>
      </c>
      <c r="BH917">
        <f ca="1">IF(AND($AT917&lt;3,OFFSET(DATA!$C$14,$AS917,0)=BH$6),$AV917,dNULL)</f>
        <v>-99</v>
      </c>
    </row>
    <row r="918" spans="45:60" x14ac:dyDescent="0.25">
      <c r="AS918">
        <f t="shared" si="144"/>
        <v>12</v>
      </c>
      <c r="AT918">
        <f t="shared" si="145"/>
        <v>10</v>
      </c>
      <c r="AU918">
        <f t="shared" ca="1" si="146"/>
        <v>-99</v>
      </c>
      <c r="AV918">
        <f t="shared" ca="1" si="147"/>
        <v>-99</v>
      </c>
      <c r="AW918">
        <f ca="1">IF(AND($AT918&lt;3,OFFSET(DATA!$C$14,$AS918,0)=AW$6),$AV918,dNULL)</f>
        <v>-99</v>
      </c>
      <c r="AX918">
        <f ca="1">IF(AND($AT918&lt;3,OFFSET(DATA!$C$14,$AS918,0)=AX$6),$AV918,dNULL)</f>
        <v>-99</v>
      </c>
      <c r="AY918">
        <f ca="1">IF(AND($AT918&lt;3,OFFSET(DATA!$C$14,$AS918,0)=AY$6),$AV918,dNULL)</f>
        <v>-99</v>
      </c>
      <c r="AZ918">
        <f ca="1">IF(AND($AT918&lt;3,OFFSET(DATA!$C$14,$AS918,0)=AZ$6),$AV918,dNULL)</f>
        <v>-99</v>
      </c>
      <c r="BA918">
        <f ca="1">IF(AND($AT918&lt;3,OFFSET(DATA!$C$14,$AS918,0)=BA$6),$AV918,dNULL)</f>
        <v>-99</v>
      </c>
      <c r="BB918">
        <f ca="1">IF(AND($AT918&lt;3,OFFSET(DATA!$C$14,$AS918,0)=BB$6),$AV918,dNULL)</f>
        <v>-99</v>
      </c>
      <c r="BC918">
        <f ca="1">IF(AND($AT918&lt;3,OFFSET(DATA!$C$14,$AS918,0)=BC$6),$AV918,dNULL)</f>
        <v>-99</v>
      </c>
      <c r="BD918">
        <f ca="1">IF(AND($AT918&lt;3,OFFSET(DATA!$C$14,$AS918,0)=BD$6),$AV918,dNULL)</f>
        <v>-99</v>
      </c>
      <c r="BE918">
        <f ca="1">IF(AND($AT918&lt;3,OFFSET(DATA!$C$14,$AS918,0)=BE$6),$AV918,dNULL)</f>
        <v>-99</v>
      </c>
      <c r="BF918">
        <f ca="1">IF(AND($AT918&lt;3,OFFSET(DATA!$C$14,$AS918,0)=BF$6),$AV918,dNULL)</f>
        <v>-99</v>
      </c>
      <c r="BG918">
        <f ca="1">IF(AND($AT918&lt;3,OFFSET(DATA!$C$14,$AS918,0)=BG$6),$AV918,dNULL)</f>
        <v>-99</v>
      </c>
      <c r="BH918">
        <f ca="1">IF(AND($AT918&lt;3,OFFSET(DATA!$C$14,$AS918,0)=BH$6),$AV918,dNULL)</f>
        <v>-99</v>
      </c>
    </row>
    <row r="919" spans="45:60" x14ac:dyDescent="0.25">
      <c r="AS919">
        <f t="shared" si="144"/>
        <v>13</v>
      </c>
      <c r="AT919">
        <f t="shared" si="145"/>
        <v>10</v>
      </c>
      <c r="AU919">
        <f t="shared" ca="1" si="146"/>
        <v>-99</v>
      </c>
      <c r="AV919">
        <f t="shared" ca="1" si="147"/>
        <v>-99</v>
      </c>
      <c r="AW919">
        <f ca="1">IF(AND($AT919&lt;3,OFFSET(DATA!$C$14,$AS919,0)=AW$6),$AV919,dNULL)</f>
        <v>-99</v>
      </c>
      <c r="AX919">
        <f ca="1">IF(AND($AT919&lt;3,OFFSET(DATA!$C$14,$AS919,0)=AX$6),$AV919,dNULL)</f>
        <v>-99</v>
      </c>
      <c r="AY919">
        <f ca="1">IF(AND($AT919&lt;3,OFFSET(DATA!$C$14,$AS919,0)=AY$6),$AV919,dNULL)</f>
        <v>-99</v>
      </c>
      <c r="AZ919">
        <f ca="1">IF(AND($AT919&lt;3,OFFSET(DATA!$C$14,$AS919,0)=AZ$6),$AV919,dNULL)</f>
        <v>-99</v>
      </c>
      <c r="BA919">
        <f ca="1">IF(AND($AT919&lt;3,OFFSET(DATA!$C$14,$AS919,0)=BA$6),$AV919,dNULL)</f>
        <v>-99</v>
      </c>
      <c r="BB919">
        <f ca="1">IF(AND($AT919&lt;3,OFFSET(DATA!$C$14,$AS919,0)=BB$6),$AV919,dNULL)</f>
        <v>-99</v>
      </c>
      <c r="BC919">
        <f ca="1">IF(AND($AT919&lt;3,OFFSET(DATA!$C$14,$AS919,0)=BC$6),$AV919,dNULL)</f>
        <v>-99</v>
      </c>
      <c r="BD919">
        <f ca="1">IF(AND($AT919&lt;3,OFFSET(DATA!$C$14,$AS919,0)=BD$6),$AV919,dNULL)</f>
        <v>-99</v>
      </c>
      <c r="BE919">
        <f ca="1">IF(AND($AT919&lt;3,OFFSET(DATA!$C$14,$AS919,0)=BE$6),$AV919,dNULL)</f>
        <v>-99</v>
      </c>
      <c r="BF919">
        <f ca="1">IF(AND($AT919&lt;3,OFFSET(DATA!$C$14,$AS919,0)=BF$6),$AV919,dNULL)</f>
        <v>-99</v>
      </c>
      <c r="BG919">
        <f ca="1">IF(AND($AT919&lt;3,OFFSET(DATA!$C$14,$AS919,0)=BG$6),$AV919,dNULL)</f>
        <v>-99</v>
      </c>
      <c r="BH919">
        <f ca="1">IF(AND($AT919&lt;3,OFFSET(DATA!$C$14,$AS919,0)=BH$6),$AV919,dNULL)</f>
        <v>-99</v>
      </c>
    </row>
    <row r="920" spans="45:60" x14ac:dyDescent="0.25">
      <c r="AS920">
        <f t="shared" si="144"/>
        <v>14</v>
      </c>
      <c r="AT920">
        <f t="shared" si="145"/>
        <v>10</v>
      </c>
      <c r="AU920">
        <f t="shared" ca="1" si="146"/>
        <v>-99</v>
      </c>
      <c r="AV920">
        <f t="shared" ca="1" si="147"/>
        <v>-99</v>
      </c>
      <c r="AW920">
        <f ca="1">IF(AND($AT920&lt;3,OFFSET(DATA!$C$14,$AS920,0)=AW$6),$AV920,dNULL)</f>
        <v>-99</v>
      </c>
      <c r="AX920">
        <f ca="1">IF(AND($AT920&lt;3,OFFSET(DATA!$C$14,$AS920,0)=AX$6),$AV920,dNULL)</f>
        <v>-99</v>
      </c>
      <c r="AY920">
        <f ca="1">IF(AND($AT920&lt;3,OFFSET(DATA!$C$14,$AS920,0)=AY$6),$AV920,dNULL)</f>
        <v>-99</v>
      </c>
      <c r="AZ920">
        <f ca="1">IF(AND($AT920&lt;3,OFFSET(DATA!$C$14,$AS920,0)=AZ$6),$AV920,dNULL)</f>
        <v>-99</v>
      </c>
      <c r="BA920">
        <f ca="1">IF(AND($AT920&lt;3,OFFSET(DATA!$C$14,$AS920,0)=BA$6),$AV920,dNULL)</f>
        <v>-99</v>
      </c>
      <c r="BB920">
        <f ca="1">IF(AND($AT920&lt;3,OFFSET(DATA!$C$14,$AS920,0)=BB$6),$AV920,dNULL)</f>
        <v>-99</v>
      </c>
      <c r="BC920">
        <f ca="1">IF(AND($AT920&lt;3,OFFSET(DATA!$C$14,$AS920,0)=BC$6),$AV920,dNULL)</f>
        <v>-99</v>
      </c>
      <c r="BD920">
        <f ca="1">IF(AND($AT920&lt;3,OFFSET(DATA!$C$14,$AS920,0)=BD$6),$AV920,dNULL)</f>
        <v>-99</v>
      </c>
      <c r="BE920">
        <f ca="1">IF(AND($AT920&lt;3,OFFSET(DATA!$C$14,$AS920,0)=BE$6),$AV920,dNULL)</f>
        <v>-99</v>
      </c>
      <c r="BF920">
        <f ca="1">IF(AND($AT920&lt;3,OFFSET(DATA!$C$14,$AS920,0)=BF$6),$AV920,dNULL)</f>
        <v>-99</v>
      </c>
      <c r="BG920">
        <f ca="1">IF(AND($AT920&lt;3,OFFSET(DATA!$C$14,$AS920,0)=BG$6),$AV920,dNULL)</f>
        <v>-99</v>
      </c>
      <c r="BH920">
        <f ca="1">IF(AND($AT920&lt;3,OFFSET(DATA!$C$14,$AS920,0)=BH$6),$AV920,dNULL)</f>
        <v>-99</v>
      </c>
    </row>
    <row r="921" spans="45:60" x14ac:dyDescent="0.25">
      <c r="AS921">
        <f t="shared" si="144"/>
        <v>15</v>
      </c>
      <c r="AT921">
        <f t="shared" si="145"/>
        <v>10</v>
      </c>
      <c r="AU921">
        <f t="shared" ca="1" si="146"/>
        <v>-99</v>
      </c>
      <c r="AV921">
        <f t="shared" ca="1" si="147"/>
        <v>-99</v>
      </c>
      <c r="AW921">
        <f ca="1">IF(AND($AT921&lt;3,OFFSET(DATA!$C$14,$AS921,0)=AW$6),$AV921,dNULL)</f>
        <v>-99</v>
      </c>
      <c r="AX921">
        <f ca="1">IF(AND($AT921&lt;3,OFFSET(DATA!$C$14,$AS921,0)=AX$6),$AV921,dNULL)</f>
        <v>-99</v>
      </c>
      <c r="AY921">
        <f ca="1">IF(AND($AT921&lt;3,OFFSET(DATA!$C$14,$AS921,0)=AY$6),$AV921,dNULL)</f>
        <v>-99</v>
      </c>
      <c r="AZ921">
        <f ca="1">IF(AND($AT921&lt;3,OFFSET(DATA!$C$14,$AS921,0)=AZ$6),$AV921,dNULL)</f>
        <v>-99</v>
      </c>
      <c r="BA921">
        <f ca="1">IF(AND($AT921&lt;3,OFFSET(DATA!$C$14,$AS921,0)=BA$6),$AV921,dNULL)</f>
        <v>-99</v>
      </c>
      <c r="BB921">
        <f ca="1">IF(AND($AT921&lt;3,OFFSET(DATA!$C$14,$AS921,0)=BB$6),$AV921,dNULL)</f>
        <v>-99</v>
      </c>
      <c r="BC921">
        <f ca="1">IF(AND($AT921&lt;3,OFFSET(DATA!$C$14,$AS921,0)=BC$6),$AV921,dNULL)</f>
        <v>-99</v>
      </c>
      <c r="BD921">
        <f ca="1">IF(AND($AT921&lt;3,OFFSET(DATA!$C$14,$AS921,0)=BD$6),$AV921,dNULL)</f>
        <v>-99</v>
      </c>
      <c r="BE921">
        <f ca="1">IF(AND($AT921&lt;3,OFFSET(DATA!$C$14,$AS921,0)=BE$6),$AV921,dNULL)</f>
        <v>-99</v>
      </c>
      <c r="BF921">
        <f ca="1">IF(AND($AT921&lt;3,OFFSET(DATA!$C$14,$AS921,0)=BF$6),$AV921,dNULL)</f>
        <v>-99</v>
      </c>
      <c r="BG921">
        <f ca="1">IF(AND($AT921&lt;3,OFFSET(DATA!$C$14,$AS921,0)=BG$6),$AV921,dNULL)</f>
        <v>-99</v>
      </c>
      <c r="BH921">
        <f ca="1">IF(AND($AT921&lt;3,OFFSET(DATA!$C$14,$AS921,0)=BH$6),$AV921,dNULL)</f>
        <v>-99</v>
      </c>
    </row>
    <row r="922" spans="45:60" x14ac:dyDescent="0.25">
      <c r="AS922">
        <f t="shared" si="144"/>
        <v>16</v>
      </c>
      <c r="AT922">
        <f t="shared" si="145"/>
        <v>10</v>
      </c>
      <c r="AU922">
        <f t="shared" ca="1" si="146"/>
        <v>-99</v>
      </c>
      <c r="AV922">
        <f t="shared" ca="1" si="147"/>
        <v>-99</v>
      </c>
      <c r="AW922">
        <f ca="1">IF(AND($AT922&lt;3,OFFSET(DATA!$C$14,$AS922,0)=AW$6),$AV922,dNULL)</f>
        <v>-99</v>
      </c>
      <c r="AX922">
        <f ca="1">IF(AND($AT922&lt;3,OFFSET(DATA!$C$14,$AS922,0)=AX$6),$AV922,dNULL)</f>
        <v>-99</v>
      </c>
      <c r="AY922">
        <f ca="1">IF(AND($AT922&lt;3,OFFSET(DATA!$C$14,$AS922,0)=AY$6),$AV922,dNULL)</f>
        <v>-99</v>
      </c>
      <c r="AZ922">
        <f ca="1">IF(AND($AT922&lt;3,OFFSET(DATA!$C$14,$AS922,0)=AZ$6),$AV922,dNULL)</f>
        <v>-99</v>
      </c>
      <c r="BA922">
        <f ca="1">IF(AND($AT922&lt;3,OFFSET(DATA!$C$14,$AS922,0)=BA$6),$AV922,dNULL)</f>
        <v>-99</v>
      </c>
      <c r="BB922">
        <f ca="1">IF(AND($AT922&lt;3,OFFSET(DATA!$C$14,$AS922,0)=BB$6),$AV922,dNULL)</f>
        <v>-99</v>
      </c>
      <c r="BC922">
        <f ca="1">IF(AND($AT922&lt;3,OFFSET(DATA!$C$14,$AS922,0)=BC$6),$AV922,dNULL)</f>
        <v>-99</v>
      </c>
      <c r="BD922">
        <f ca="1">IF(AND($AT922&lt;3,OFFSET(DATA!$C$14,$AS922,0)=BD$6),$AV922,dNULL)</f>
        <v>-99</v>
      </c>
      <c r="BE922">
        <f ca="1">IF(AND($AT922&lt;3,OFFSET(DATA!$C$14,$AS922,0)=BE$6),$AV922,dNULL)</f>
        <v>-99</v>
      </c>
      <c r="BF922">
        <f ca="1">IF(AND($AT922&lt;3,OFFSET(DATA!$C$14,$AS922,0)=BF$6),$AV922,dNULL)</f>
        <v>-99</v>
      </c>
      <c r="BG922">
        <f ca="1">IF(AND($AT922&lt;3,OFFSET(DATA!$C$14,$AS922,0)=BG$6),$AV922,dNULL)</f>
        <v>-99</v>
      </c>
      <c r="BH922">
        <f ca="1">IF(AND($AT922&lt;3,OFFSET(DATA!$C$14,$AS922,0)=BH$6),$AV922,dNULL)</f>
        <v>-99</v>
      </c>
    </row>
    <row r="923" spans="45:60" x14ac:dyDescent="0.25">
      <c r="AS923">
        <f t="shared" si="144"/>
        <v>17</v>
      </c>
      <c r="AT923">
        <f t="shared" si="145"/>
        <v>10</v>
      </c>
      <c r="AU923">
        <f t="shared" ca="1" si="146"/>
        <v>-99</v>
      </c>
      <c r="AV923">
        <f t="shared" ca="1" si="147"/>
        <v>-99</v>
      </c>
      <c r="AW923">
        <f ca="1">IF(AND($AT923&lt;3,OFFSET(DATA!$C$14,$AS923,0)=AW$6),$AV923,dNULL)</f>
        <v>-99</v>
      </c>
      <c r="AX923">
        <f ca="1">IF(AND($AT923&lt;3,OFFSET(DATA!$C$14,$AS923,0)=AX$6),$AV923,dNULL)</f>
        <v>-99</v>
      </c>
      <c r="AY923">
        <f ca="1">IF(AND($AT923&lt;3,OFFSET(DATA!$C$14,$AS923,0)=AY$6),$AV923,dNULL)</f>
        <v>-99</v>
      </c>
      <c r="AZ923">
        <f ca="1">IF(AND($AT923&lt;3,OFFSET(DATA!$C$14,$AS923,0)=AZ$6),$AV923,dNULL)</f>
        <v>-99</v>
      </c>
      <c r="BA923">
        <f ca="1">IF(AND($AT923&lt;3,OFFSET(DATA!$C$14,$AS923,0)=BA$6),$AV923,dNULL)</f>
        <v>-99</v>
      </c>
      <c r="BB923">
        <f ca="1">IF(AND($AT923&lt;3,OFFSET(DATA!$C$14,$AS923,0)=BB$6),$AV923,dNULL)</f>
        <v>-99</v>
      </c>
      <c r="BC923">
        <f ca="1">IF(AND($AT923&lt;3,OFFSET(DATA!$C$14,$AS923,0)=BC$6),$AV923,dNULL)</f>
        <v>-99</v>
      </c>
      <c r="BD923">
        <f ca="1">IF(AND($AT923&lt;3,OFFSET(DATA!$C$14,$AS923,0)=BD$6),$AV923,dNULL)</f>
        <v>-99</v>
      </c>
      <c r="BE923">
        <f ca="1">IF(AND($AT923&lt;3,OFFSET(DATA!$C$14,$AS923,0)=BE$6),$AV923,dNULL)</f>
        <v>-99</v>
      </c>
      <c r="BF923">
        <f ca="1">IF(AND($AT923&lt;3,OFFSET(DATA!$C$14,$AS923,0)=BF$6),$AV923,dNULL)</f>
        <v>-99</v>
      </c>
      <c r="BG923">
        <f ca="1">IF(AND($AT923&lt;3,OFFSET(DATA!$C$14,$AS923,0)=BG$6),$AV923,dNULL)</f>
        <v>-99</v>
      </c>
      <c r="BH923">
        <f ca="1">IF(AND($AT923&lt;3,OFFSET(DATA!$C$14,$AS923,0)=BH$6),$AV923,dNULL)</f>
        <v>-99</v>
      </c>
    </row>
    <row r="924" spans="45:60" x14ac:dyDescent="0.25">
      <c r="AS924">
        <f t="shared" si="144"/>
        <v>18</v>
      </c>
      <c r="AT924">
        <f t="shared" si="145"/>
        <v>10</v>
      </c>
      <c r="AU924">
        <f t="shared" ca="1" si="146"/>
        <v>-99</v>
      </c>
      <c r="AV924">
        <f t="shared" ca="1" si="147"/>
        <v>-99</v>
      </c>
      <c r="AW924">
        <f ca="1">IF(AND($AT924&lt;3,OFFSET(DATA!$C$14,$AS924,0)=AW$6),$AV924,dNULL)</f>
        <v>-99</v>
      </c>
      <c r="AX924">
        <f ca="1">IF(AND($AT924&lt;3,OFFSET(DATA!$C$14,$AS924,0)=AX$6),$AV924,dNULL)</f>
        <v>-99</v>
      </c>
      <c r="AY924">
        <f ca="1">IF(AND($AT924&lt;3,OFFSET(DATA!$C$14,$AS924,0)=AY$6),$AV924,dNULL)</f>
        <v>-99</v>
      </c>
      <c r="AZ924">
        <f ca="1">IF(AND($AT924&lt;3,OFFSET(DATA!$C$14,$AS924,0)=AZ$6),$AV924,dNULL)</f>
        <v>-99</v>
      </c>
      <c r="BA924">
        <f ca="1">IF(AND($AT924&lt;3,OFFSET(DATA!$C$14,$AS924,0)=BA$6),$AV924,dNULL)</f>
        <v>-99</v>
      </c>
      <c r="BB924">
        <f ca="1">IF(AND($AT924&lt;3,OFFSET(DATA!$C$14,$AS924,0)=BB$6),$AV924,dNULL)</f>
        <v>-99</v>
      </c>
      <c r="BC924">
        <f ca="1">IF(AND($AT924&lt;3,OFFSET(DATA!$C$14,$AS924,0)=BC$6),$AV924,dNULL)</f>
        <v>-99</v>
      </c>
      <c r="BD924">
        <f ca="1">IF(AND($AT924&lt;3,OFFSET(DATA!$C$14,$AS924,0)=BD$6),$AV924,dNULL)</f>
        <v>-99</v>
      </c>
      <c r="BE924">
        <f ca="1">IF(AND($AT924&lt;3,OFFSET(DATA!$C$14,$AS924,0)=BE$6),$AV924,dNULL)</f>
        <v>-99</v>
      </c>
      <c r="BF924">
        <f ca="1">IF(AND($AT924&lt;3,OFFSET(DATA!$C$14,$AS924,0)=BF$6),$AV924,dNULL)</f>
        <v>-99</v>
      </c>
      <c r="BG924">
        <f ca="1">IF(AND($AT924&lt;3,OFFSET(DATA!$C$14,$AS924,0)=BG$6),$AV924,dNULL)</f>
        <v>-99</v>
      </c>
      <c r="BH924">
        <f ca="1">IF(AND($AT924&lt;3,OFFSET(DATA!$C$14,$AS924,0)=BH$6),$AV924,dNULL)</f>
        <v>-99</v>
      </c>
    </row>
    <row r="925" spans="45:60" x14ac:dyDescent="0.25">
      <c r="AS925">
        <f t="shared" si="144"/>
        <v>19</v>
      </c>
      <c r="AT925">
        <f t="shared" si="145"/>
        <v>10</v>
      </c>
      <c r="AU925">
        <f t="shared" ca="1" si="146"/>
        <v>-99</v>
      </c>
      <c r="AV925">
        <f t="shared" ca="1" si="147"/>
        <v>-99</v>
      </c>
      <c r="AW925">
        <f ca="1">IF(AND($AT925&lt;3,OFFSET(DATA!$C$14,$AS925,0)=AW$6),$AV925,dNULL)</f>
        <v>-99</v>
      </c>
      <c r="AX925">
        <f ca="1">IF(AND($AT925&lt;3,OFFSET(DATA!$C$14,$AS925,0)=AX$6),$AV925,dNULL)</f>
        <v>-99</v>
      </c>
      <c r="AY925">
        <f ca="1">IF(AND($AT925&lt;3,OFFSET(DATA!$C$14,$AS925,0)=AY$6),$AV925,dNULL)</f>
        <v>-99</v>
      </c>
      <c r="AZ925">
        <f ca="1">IF(AND($AT925&lt;3,OFFSET(DATA!$C$14,$AS925,0)=AZ$6),$AV925,dNULL)</f>
        <v>-99</v>
      </c>
      <c r="BA925">
        <f ca="1">IF(AND($AT925&lt;3,OFFSET(DATA!$C$14,$AS925,0)=BA$6),$AV925,dNULL)</f>
        <v>-99</v>
      </c>
      <c r="BB925">
        <f ca="1">IF(AND($AT925&lt;3,OFFSET(DATA!$C$14,$AS925,0)=BB$6),$AV925,dNULL)</f>
        <v>-99</v>
      </c>
      <c r="BC925">
        <f ca="1">IF(AND($AT925&lt;3,OFFSET(DATA!$C$14,$AS925,0)=BC$6),$AV925,dNULL)</f>
        <v>-99</v>
      </c>
      <c r="BD925">
        <f ca="1">IF(AND($AT925&lt;3,OFFSET(DATA!$C$14,$AS925,0)=BD$6),$AV925,dNULL)</f>
        <v>-99</v>
      </c>
      <c r="BE925">
        <f ca="1">IF(AND($AT925&lt;3,OFFSET(DATA!$C$14,$AS925,0)=BE$6),$AV925,dNULL)</f>
        <v>-99</v>
      </c>
      <c r="BF925">
        <f ca="1">IF(AND($AT925&lt;3,OFFSET(DATA!$C$14,$AS925,0)=BF$6),$AV925,dNULL)</f>
        <v>-99</v>
      </c>
      <c r="BG925">
        <f ca="1">IF(AND($AT925&lt;3,OFFSET(DATA!$C$14,$AS925,0)=BG$6),$AV925,dNULL)</f>
        <v>-99</v>
      </c>
      <c r="BH925">
        <f ca="1">IF(AND($AT925&lt;3,OFFSET(DATA!$C$14,$AS925,0)=BH$6),$AV925,dNULL)</f>
        <v>-99</v>
      </c>
    </row>
    <row r="926" spans="45:60" x14ac:dyDescent="0.25">
      <c r="AS926">
        <f t="shared" si="144"/>
        <v>20</v>
      </c>
      <c r="AT926">
        <f t="shared" si="145"/>
        <v>10</v>
      </c>
      <c r="AU926">
        <f t="shared" ca="1" si="146"/>
        <v>-99</v>
      </c>
      <c r="AV926">
        <f t="shared" ca="1" si="147"/>
        <v>-99</v>
      </c>
      <c r="AW926">
        <f ca="1">IF(AND($AT926&lt;3,OFFSET(DATA!$C$14,$AS926,0)=AW$6),$AV926,dNULL)</f>
        <v>-99</v>
      </c>
      <c r="AX926">
        <f ca="1">IF(AND($AT926&lt;3,OFFSET(DATA!$C$14,$AS926,0)=AX$6),$AV926,dNULL)</f>
        <v>-99</v>
      </c>
      <c r="AY926">
        <f ca="1">IF(AND($AT926&lt;3,OFFSET(DATA!$C$14,$AS926,0)=AY$6),$AV926,dNULL)</f>
        <v>-99</v>
      </c>
      <c r="AZ926">
        <f ca="1">IF(AND($AT926&lt;3,OFFSET(DATA!$C$14,$AS926,0)=AZ$6),$AV926,dNULL)</f>
        <v>-99</v>
      </c>
      <c r="BA926">
        <f ca="1">IF(AND($AT926&lt;3,OFFSET(DATA!$C$14,$AS926,0)=BA$6),$AV926,dNULL)</f>
        <v>-99</v>
      </c>
      <c r="BB926">
        <f ca="1">IF(AND($AT926&lt;3,OFFSET(DATA!$C$14,$AS926,0)=BB$6),$AV926,dNULL)</f>
        <v>-99</v>
      </c>
      <c r="BC926">
        <f ca="1">IF(AND($AT926&lt;3,OFFSET(DATA!$C$14,$AS926,0)=BC$6),$AV926,dNULL)</f>
        <v>-99</v>
      </c>
      <c r="BD926">
        <f ca="1">IF(AND($AT926&lt;3,OFFSET(DATA!$C$14,$AS926,0)=BD$6),$AV926,dNULL)</f>
        <v>-99</v>
      </c>
      <c r="BE926">
        <f ca="1">IF(AND($AT926&lt;3,OFFSET(DATA!$C$14,$AS926,0)=BE$6),$AV926,dNULL)</f>
        <v>-99</v>
      </c>
      <c r="BF926">
        <f ca="1">IF(AND($AT926&lt;3,OFFSET(DATA!$C$14,$AS926,0)=BF$6),$AV926,dNULL)</f>
        <v>-99</v>
      </c>
      <c r="BG926">
        <f ca="1">IF(AND($AT926&lt;3,OFFSET(DATA!$C$14,$AS926,0)=BG$6),$AV926,dNULL)</f>
        <v>-99</v>
      </c>
      <c r="BH926">
        <f ca="1">IF(AND($AT926&lt;3,OFFSET(DATA!$C$14,$AS926,0)=BH$6),$AV926,dNULL)</f>
        <v>-99</v>
      </c>
    </row>
    <row r="927" spans="45:60" x14ac:dyDescent="0.25">
      <c r="AS927">
        <f t="shared" si="144"/>
        <v>21</v>
      </c>
      <c r="AT927">
        <f t="shared" si="145"/>
        <v>10</v>
      </c>
      <c r="AU927">
        <f t="shared" ca="1" si="146"/>
        <v>-99</v>
      </c>
      <c r="AV927">
        <f t="shared" ca="1" si="147"/>
        <v>-99</v>
      </c>
      <c r="AW927">
        <f ca="1">IF(AND($AT927&lt;3,OFFSET(DATA!$C$14,$AS927,0)=AW$6),$AV927,dNULL)</f>
        <v>-99</v>
      </c>
      <c r="AX927">
        <f ca="1">IF(AND($AT927&lt;3,OFFSET(DATA!$C$14,$AS927,0)=AX$6),$AV927,dNULL)</f>
        <v>-99</v>
      </c>
      <c r="AY927">
        <f ca="1">IF(AND($AT927&lt;3,OFFSET(DATA!$C$14,$AS927,0)=AY$6),$AV927,dNULL)</f>
        <v>-99</v>
      </c>
      <c r="AZ927">
        <f ca="1">IF(AND($AT927&lt;3,OFFSET(DATA!$C$14,$AS927,0)=AZ$6),$AV927,dNULL)</f>
        <v>-99</v>
      </c>
      <c r="BA927">
        <f ca="1">IF(AND($AT927&lt;3,OFFSET(DATA!$C$14,$AS927,0)=BA$6),$AV927,dNULL)</f>
        <v>-99</v>
      </c>
      <c r="BB927">
        <f ca="1">IF(AND($AT927&lt;3,OFFSET(DATA!$C$14,$AS927,0)=BB$6),$AV927,dNULL)</f>
        <v>-99</v>
      </c>
      <c r="BC927">
        <f ca="1">IF(AND($AT927&lt;3,OFFSET(DATA!$C$14,$AS927,0)=BC$6),$AV927,dNULL)</f>
        <v>-99</v>
      </c>
      <c r="BD927">
        <f ca="1">IF(AND($AT927&lt;3,OFFSET(DATA!$C$14,$AS927,0)=BD$6),$AV927,dNULL)</f>
        <v>-99</v>
      </c>
      <c r="BE927">
        <f ca="1">IF(AND($AT927&lt;3,OFFSET(DATA!$C$14,$AS927,0)=BE$6),$AV927,dNULL)</f>
        <v>-99</v>
      </c>
      <c r="BF927">
        <f ca="1">IF(AND($AT927&lt;3,OFFSET(DATA!$C$14,$AS927,0)=BF$6),$AV927,dNULL)</f>
        <v>-99</v>
      </c>
      <c r="BG927">
        <f ca="1">IF(AND($AT927&lt;3,OFFSET(DATA!$C$14,$AS927,0)=BG$6),$AV927,dNULL)</f>
        <v>-99</v>
      </c>
      <c r="BH927">
        <f ca="1">IF(AND($AT927&lt;3,OFFSET(DATA!$C$14,$AS927,0)=BH$6),$AV927,dNULL)</f>
        <v>-99</v>
      </c>
    </row>
    <row r="928" spans="45:60" x14ac:dyDescent="0.25">
      <c r="AS928">
        <f t="shared" si="144"/>
        <v>22</v>
      </c>
      <c r="AT928">
        <f t="shared" si="145"/>
        <v>10</v>
      </c>
      <c r="AU928">
        <f t="shared" ca="1" si="146"/>
        <v>-99</v>
      </c>
      <c r="AV928">
        <f t="shared" ca="1" si="147"/>
        <v>-99</v>
      </c>
      <c r="AW928">
        <f ca="1">IF(AND($AT928&lt;3,OFFSET(DATA!$C$14,$AS928,0)=AW$6),$AV928,dNULL)</f>
        <v>-99</v>
      </c>
      <c r="AX928">
        <f ca="1">IF(AND($AT928&lt;3,OFFSET(DATA!$C$14,$AS928,0)=AX$6),$AV928,dNULL)</f>
        <v>-99</v>
      </c>
      <c r="AY928">
        <f ca="1">IF(AND($AT928&lt;3,OFFSET(DATA!$C$14,$AS928,0)=AY$6),$AV928,dNULL)</f>
        <v>-99</v>
      </c>
      <c r="AZ928">
        <f ca="1">IF(AND($AT928&lt;3,OFFSET(DATA!$C$14,$AS928,0)=AZ$6),$AV928,dNULL)</f>
        <v>-99</v>
      </c>
      <c r="BA928">
        <f ca="1">IF(AND($AT928&lt;3,OFFSET(DATA!$C$14,$AS928,0)=BA$6),$AV928,dNULL)</f>
        <v>-99</v>
      </c>
      <c r="BB928">
        <f ca="1">IF(AND($AT928&lt;3,OFFSET(DATA!$C$14,$AS928,0)=BB$6),$AV928,dNULL)</f>
        <v>-99</v>
      </c>
      <c r="BC928">
        <f ca="1">IF(AND($AT928&lt;3,OFFSET(DATA!$C$14,$AS928,0)=BC$6),$AV928,dNULL)</f>
        <v>-99</v>
      </c>
      <c r="BD928">
        <f ca="1">IF(AND($AT928&lt;3,OFFSET(DATA!$C$14,$AS928,0)=BD$6),$AV928,dNULL)</f>
        <v>-99</v>
      </c>
      <c r="BE928">
        <f ca="1">IF(AND($AT928&lt;3,OFFSET(DATA!$C$14,$AS928,0)=BE$6),$AV928,dNULL)</f>
        <v>-99</v>
      </c>
      <c r="BF928">
        <f ca="1">IF(AND($AT928&lt;3,OFFSET(DATA!$C$14,$AS928,0)=BF$6),$AV928,dNULL)</f>
        <v>-99</v>
      </c>
      <c r="BG928">
        <f ca="1">IF(AND($AT928&lt;3,OFFSET(DATA!$C$14,$AS928,0)=BG$6),$AV928,dNULL)</f>
        <v>-99</v>
      </c>
      <c r="BH928">
        <f ca="1">IF(AND($AT928&lt;3,OFFSET(DATA!$C$14,$AS928,0)=BH$6),$AV928,dNULL)</f>
        <v>-99</v>
      </c>
    </row>
    <row r="929" spans="45:60" x14ac:dyDescent="0.25">
      <c r="AS929">
        <f t="shared" si="144"/>
        <v>23</v>
      </c>
      <c r="AT929">
        <f t="shared" si="145"/>
        <v>10</v>
      </c>
      <c r="AU929">
        <f t="shared" ca="1" si="146"/>
        <v>-99</v>
      </c>
      <c r="AV929">
        <f t="shared" ca="1" si="147"/>
        <v>-99</v>
      </c>
      <c r="AW929">
        <f ca="1">IF(AND($AT929&lt;3,OFFSET(DATA!$C$14,$AS929,0)=AW$6),$AV929,dNULL)</f>
        <v>-99</v>
      </c>
      <c r="AX929">
        <f ca="1">IF(AND($AT929&lt;3,OFFSET(DATA!$C$14,$AS929,0)=AX$6),$AV929,dNULL)</f>
        <v>-99</v>
      </c>
      <c r="AY929">
        <f ca="1">IF(AND($AT929&lt;3,OFFSET(DATA!$C$14,$AS929,0)=AY$6),$AV929,dNULL)</f>
        <v>-99</v>
      </c>
      <c r="AZ929">
        <f ca="1">IF(AND($AT929&lt;3,OFFSET(DATA!$C$14,$AS929,0)=AZ$6),$AV929,dNULL)</f>
        <v>-99</v>
      </c>
      <c r="BA929">
        <f ca="1">IF(AND($AT929&lt;3,OFFSET(DATA!$C$14,$AS929,0)=BA$6),$AV929,dNULL)</f>
        <v>-99</v>
      </c>
      <c r="BB929">
        <f ca="1">IF(AND($AT929&lt;3,OFFSET(DATA!$C$14,$AS929,0)=BB$6),$AV929,dNULL)</f>
        <v>-99</v>
      </c>
      <c r="BC929">
        <f ca="1">IF(AND($AT929&lt;3,OFFSET(DATA!$C$14,$AS929,0)=BC$6),$AV929,dNULL)</f>
        <v>-99</v>
      </c>
      <c r="BD929">
        <f ca="1">IF(AND($AT929&lt;3,OFFSET(DATA!$C$14,$AS929,0)=BD$6),$AV929,dNULL)</f>
        <v>-99</v>
      </c>
      <c r="BE929">
        <f ca="1">IF(AND($AT929&lt;3,OFFSET(DATA!$C$14,$AS929,0)=BE$6),$AV929,dNULL)</f>
        <v>-99</v>
      </c>
      <c r="BF929">
        <f ca="1">IF(AND($AT929&lt;3,OFFSET(DATA!$C$14,$AS929,0)=BF$6),$AV929,dNULL)</f>
        <v>-99</v>
      </c>
      <c r="BG929">
        <f ca="1">IF(AND($AT929&lt;3,OFFSET(DATA!$C$14,$AS929,0)=BG$6),$AV929,dNULL)</f>
        <v>-99</v>
      </c>
      <c r="BH929">
        <f ca="1">IF(AND($AT929&lt;3,OFFSET(DATA!$C$14,$AS929,0)=BH$6),$AV929,dNULL)</f>
        <v>-99</v>
      </c>
    </row>
    <row r="930" spans="45:60" x14ac:dyDescent="0.25">
      <c r="AS930">
        <f t="shared" si="144"/>
        <v>24</v>
      </c>
      <c r="AT930">
        <f t="shared" si="145"/>
        <v>10</v>
      </c>
      <c r="AU930">
        <f t="shared" ca="1" si="146"/>
        <v>-99</v>
      </c>
      <c r="AV930">
        <f t="shared" ca="1" si="147"/>
        <v>-99</v>
      </c>
      <c r="AW930">
        <f ca="1">IF(AND($AT930&lt;3,OFFSET(DATA!$C$14,$AS930,0)=AW$6),$AV930,dNULL)</f>
        <v>-99</v>
      </c>
      <c r="AX930">
        <f ca="1">IF(AND($AT930&lt;3,OFFSET(DATA!$C$14,$AS930,0)=AX$6),$AV930,dNULL)</f>
        <v>-99</v>
      </c>
      <c r="AY930">
        <f ca="1">IF(AND($AT930&lt;3,OFFSET(DATA!$C$14,$AS930,0)=AY$6),$AV930,dNULL)</f>
        <v>-99</v>
      </c>
      <c r="AZ930">
        <f ca="1">IF(AND($AT930&lt;3,OFFSET(DATA!$C$14,$AS930,0)=AZ$6),$AV930,dNULL)</f>
        <v>-99</v>
      </c>
      <c r="BA930">
        <f ca="1">IF(AND($AT930&lt;3,OFFSET(DATA!$C$14,$AS930,0)=BA$6),$AV930,dNULL)</f>
        <v>-99</v>
      </c>
      <c r="BB930">
        <f ca="1">IF(AND($AT930&lt;3,OFFSET(DATA!$C$14,$AS930,0)=BB$6),$AV930,dNULL)</f>
        <v>-99</v>
      </c>
      <c r="BC930">
        <f ca="1">IF(AND($AT930&lt;3,OFFSET(DATA!$C$14,$AS930,0)=BC$6),$AV930,dNULL)</f>
        <v>-99</v>
      </c>
      <c r="BD930">
        <f ca="1">IF(AND($AT930&lt;3,OFFSET(DATA!$C$14,$AS930,0)=BD$6),$AV930,dNULL)</f>
        <v>-99</v>
      </c>
      <c r="BE930">
        <f ca="1">IF(AND($AT930&lt;3,OFFSET(DATA!$C$14,$AS930,0)=BE$6),$AV930,dNULL)</f>
        <v>-99</v>
      </c>
      <c r="BF930">
        <f ca="1">IF(AND($AT930&lt;3,OFFSET(DATA!$C$14,$AS930,0)=BF$6),$AV930,dNULL)</f>
        <v>-99</v>
      </c>
      <c r="BG930">
        <f ca="1">IF(AND($AT930&lt;3,OFFSET(DATA!$C$14,$AS930,0)=BG$6),$AV930,dNULL)</f>
        <v>-99</v>
      </c>
      <c r="BH930">
        <f ca="1">IF(AND($AT930&lt;3,OFFSET(DATA!$C$14,$AS930,0)=BH$6),$AV930,dNULL)</f>
        <v>-99</v>
      </c>
    </row>
    <row r="931" spans="45:60" x14ac:dyDescent="0.25">
      <c r="AS931">
        <f t="shared" si="144"/>
        <v>25</v>
      </c>
      <c r="AT931">
        <f t="shared" si="145"/>
        <v>10</v>
      </c>
      <c r="AU931">
        <f t="shared" ca="1" si="146"/>
        <v>-99</v>
      </c>
      <c r="AV931">
        <f t="shared" ca="1" si="147"/>
        <v>-99</v>
      </c>
      <c r="AW931">
        <f ca="1">IF(AND($AT931&lt;3,OFFSET(DATA!$C$14,$AS931,0)=AW$6),$AV931,dNULL)</f>
        <v>-99</v>
      </c>
      <c r="AX931">
        <f ca="1">IF(AND($AT931&lt;3,OFFSET(DATA!$C$14,$AS931,0)=AX$6),$AV931,dNULL)</f>
        <v>-99</v>
      </c>
      <c r="AY931">
        <f ca="1">IF(AND($AT931&lt;3,OFFSET(DATA!$C$14,$AS931,0)=AY$6),$AV931,dNULL)</f>
        <v>-99</v>
      </c>
      <c r="AZ931">
        <f ca="1">IF(AND($AT931&lt;3,OFFSET(DATA!$C$14,$AS931,0)=AZ$6),$AV931,dNULL)</f>
        <v>-99</v>
      </c>
      <c r="BA931">
        <f ca="1">IF(AND($AT931&lt;3,OFFSET(DATA!$C$14,$AS931,0)=BA$6),$AV931,dNULL)</f>
        <v>-99</v>
      </c>
      <c r="BB931">
        <f ca="1">IF(AND($AT931&lt;3,OFFSET(DATA!$C$14,$AS931,0)=BB$6),$AV931,dNULL)</f>
        <v>-99</v>
      </c>
      <c r="BC931">
        <f ca="1">IF(AND($AT931&lt;3,OFFSET(DATA!$C$14,$AS931,0)=BC$6),$AV931,dNULL)</f>
        <v>-99</v>
      </c>
      <c r="BD931">
        <f ca="1">IF(AND($AT931&lt;3,OFFSET(DATA!$C$14,$AS931,0)=BD$6),$AV931,dNULL)</f>
        <v>-99</v>
      </c>
      <c r="BE931">
        <f ca="1">IF(AND($AT931&lt;3,OFFSET(DATA!$C$14,$AS931,0)=BE$6),$AV931,dNULL)</f>
        <v>-99</v>
      </c>
      <c r="BF931">
        <f ca="1">IF(AND($AT931&lt;3,OFFSET(DATA!$C$14,$AS931,0)=BF$6),$AV931,dNULL)</f>
        <v>-99</v>
      </c>
      <c r="BG931">
        <f ca="1">IF(AND($AT931&lt;3,OFFSET(DATA!$C$14,$AS931,0)=BG$6),$AV931,dNULL)</f>
        <v>-99</v>
      </c>
      <c r="BH931">
        <f ca="1">IF(AND($AT931&lt;3,OFFSET(DATA!$C$14,$AS931,0)=BH$6),$AV931,dNULL)</f>
        <v>-99</v>
      </c>
    </row>
    <row r="932" spans="45:60" x14ac:dyDescent="0.25">
      <c r="AS932">
        <f t="shared" si="144"/>
        <v>26</v>
      </c>
      <c r="AT932">
        <f t="shared" si="145"/>
        <v>10</v>
      </c>
      <c r="AU932">
        <f t="shared" ca="1" si="146"/>
        <v>-99</v>
      </c>
      <c r="AV932">
        <f t="shared" ca="1" si="147"/>
        <v>-99</v>
      </c>
      <c r="AW932">
        <f ca="1">IF(AND($AT932&lt;3,OFFSET(DATA!$C$14,$AS932,0)=AW$6),$AV932,dNULL)</f>
        <v>-99</v>
      </c>
      <c r="AX932">
        <f ca="1">IF(AND($AT932&lt;3,OFFSET(DATA!$C$14,$AS932,0)=AX$6),$AV932,dNULL)</f>
        <v>-99</v>
      </c>
      <c r="AY932">
        <f ca="1">IF(AND($AT932&lt;3,OFFSET(DATA!$C$14,$AS932,0)=AY$6),$AV932,dNULL)</f>
        <v>-99</v>
      </c>
      <c r="AZ932">
        <f ca="1">IF(AND($AT932&lt;3,OFFSET(DATA!$C$14,$AS932,0)=AZ$6),$AV932,dNULL)</f>
        <v>-99</v>
      </c>
      <c r="BA932">
        <f ca="1">IF(AND($AT932&lt;3,OFFSET(DATA!$C$14,$AS932,0)=BA$6),$AV932,dNULL)</f>
        <v>-99</v>
      </c>
      <c r="BB932">
        <f ca="1">IF(AND($AT932&lt;3,OFFSET(DATA!$C$14,$AS932,0)=BB$6),$AV932,dNULL)</f>
        <v>-99</v>
      </c>
      <c r="BC932">
        <f ca="1">IF(AND($AT932&lt;3,OFFSET(DATA!$C$14,$AS932,0)=BC$6),$AV932,dNULL)</f>
        <v>-99</v>
      </c>
      <c r="BD932">
        <f ca="1">IF(AND($AT932&lt;3,OFFSET(DATA!$C$14,$AS932,0)=BD$6),$AV932,dNULL)</f>
        <v>-99</v>
      </c>
      <c r="BE932">
        <f ca="1">IF(AND($AT932&lt;3,OFFSET(DATA!$C$14,$AS932,0)=BE$6),$AV932,dNULL)</f>
        <v>-99</v>
      </c>
      <c r="BF932">
        <f ca="1">IF(AND($AT932&lt;3,OFFSET(DATA!$C$14,$AS932,0)=BF$6),$AV932,dNULL)</f>
        <v>-99</v>
      </c>
      <c r="BG932">
        <f ca="1">IF(AND($AT932&lt;3,OFFSET(DATA!$C$14,$AS932,0)=BG$6),$AV932,dNULL)</f>
        <v>-99</v>
      </c>
      <c r="BH932">
        <f ca="1">IF(AND($AT932&lt;3,OFFSET(DATA!$C$14,$AS932,0)=BH$6),$AV932,dNULL)</f>
        <v>-99</v>
      </c>
    </row>
    <row r="933" spans="45:60" x14ac:dyDescent="0.25">
      <c r="AS933">
        <f t="shared" si="144"/>
        <v>27</v>
      </c>
      <c r="AT933">
        <f t="shared" si="145"/>
        <v>10</v>
      </c>
      <c r="AU933">
        <f t="shared" ca="1" si="146"/>
        <v>-99</v>
      </c>
      <c r="AV933">
        <f t="shared" ca="1" si="147"/>
        <v>-99</v>
      </c>
      <c r="AW933">
        <f ca="1">IF(AND($AT933&lt;3,OFFSET(DATA!$C$14,$AS933,0)=AW$6),$AV933,dNULL)</f>
        <v>-99</v>
      </c>
      <c r="AX933">
        <f ca="1">IF(AND($AT933&lt;3,OFFSET(DATA!$C$14,$AS933,0)=AX$6),$AV933,dNULL)</f>
        <v>-99</v>
      </c>
      <c r="AY933">
        <f ca="1">IF(AND($AT933&lt;3,OFFSET(DATA!$C$14,$AS933,0)=AY$6),$AV933,dNULL)</f>
        <v>-99</v>
      </c>
      <c r="AZ933">
        <f ca="1">IF(AND($AT933&lt;3,OFFSET(DATA!$C$14,$AS933,0)=AZ$6),$AV933,dNULL)</f>
        <v>-99</v>
      </c>
      <c r="BA933">
        <f ca="1">IF(AND($AT933&lt;3,OFFSET(DATA!$C$14,$AS933,0)=BA$6),$AV933,dNULL)</f>
        <v>-99</v>
      </c>
      <c r="BB933">
        <f ca="1">IF(AND($AT933&lt;3,OFFSET(DATA!$C$14,$AS933,0)=BB$6),$AV933,dNULL)</f>
        <v>-99</v>
      </c>
      <c r="BC933">
        <f ca="1">IF(AND($AT933&lt;3,OFFSET(DATA!$C$14,$AS933,0)=BC$6),$AV933,dNULL)</f>
        <v>-99</v>
      </c>
      <c r="BD933">
        <f ca="1">IF(AND($AT933&lt;3,OFFSET(DATA!$C$14,$AS933,0)=BD$6),$AV933,dNULL)</f>
        <v>-99</v>
      </c>
      <c r="BE933">
        <f ca="1">IF(AND($AT933&lt;3,OFFSET(DATA!$C$14,$AS933,0)=BE$6),$AV933,dNULL)</f>
        <v>-99</v>
      </c>
      <c r="BF933">
        <f ca="1">IF(AND($AT933&lt;3,OFFSET(DATA!$C$14,$AS933,0)=BF$6),$AV933,dNULL)</f>
        <v>-99</v>
      </c>
      <c r="BG933">
        <f ca="1">IF(AND($AT933&lt;3,OFFSET(DATA!$C$14,$AS933,0)=BG$6),$AV933,dNULL)</f>
        <v>-99</v>
      </c>
      <c r="BH933">
        <f ca="1">IF(AND($AT933&lt;3,OFFSET(DATA!$C$14,$AS933,0)=BH$6),$AV933,dNULL)</f>
        <v>-99</v>
      </c>
    </row>
    <row r="934" spans="45:60" x14ac:dyDescent="0.25">
      <c r="AS934">
        <f t="shared" si="144"/>
        <v>28</v>
      </c>
      <c r="AT934">
        <f t="shared" si="145"/>
        <v>10</v>
      </c>
      <c r="AU934">
        <f t="shared" ca="1" si="146"/>
        <v>-99</v>
      </c>
      <c r="AV934">
        <f t="shared" ca="1" si="147"/>
        <v>-99</v>
      </c>
      <c r="AW934">
        <f ca="1">IF(AND($AT934&lt;3,OFFSET(DATA!$C$14,$AS934,0)=AW$6),$AV934,dNULL)</f>
        <v>-99</v>
      </c>
      <c r="AX934">
        <f ca="1">IF(AND($AT934&lt;3,OFFSET(DATA!$C$14,$AS934,0)=AX$6),$AV934,dNULL)</f>
        <v>-99</v>
      </c>
      <c r="AY934">
        <f ca="1">IF(AND($AT934&lt;3,OFFSET(DATA!$C$14,$AS934,0)=AY$6),$AV934,dNULL)</f>
        <v>-99</v>
      </c>
      <c r="AZ934">
        <f ca="1">IF(AND($AT934&lt;3,OFFSET(DATA!$C$14,$AS934,0)=AZ$6),$AV934,dNULL)</f>
        <v>-99</v>
      </c>
      <c r="BA934">
        <f ca="1">IF(AND($AT934&lt;3,OFFSET(DATA!$C$14,$AS934,0)=BA$6),$AV934,dNULL)</f>
        <v>-99</v>
      </c>
      <c r="BB934">
        <f ca="1">IF(AND($AT934&lt;3,OFFSET(DATA!$C$14,$AS934,0)=BB$6),$AV934,dNULL)</f>
        <v>-99</v>
      </c>
      <c r="BC934">
        <f ca="1">IF(AND($AT934&lt;3,OFFSET(DATA!$C$14,$AS934,0)=BC$6),$AV934,dNULL)</f>
        <v>-99</v>
      </c>
      <c r="BD934">
        <f ca="1">IF(AND($AT934&lt;3,OFFSET(DATA!$C$14,$AS934,0)=BD$6),$AV934,dNULL)</f>
        <v>-99</v>
      </c>
      <c r="BE934">
        <f ca="1">IF(AND($AT934&lt;3,OFFSET(DATA!$C$14,$AS934,0)=BE$6),$AV934,dNULL)</f>
        <v>-99</v>
      </c>
      <c r="BF934">
        <f ca="1">IF(AND($AT934&lt;3,OFFSET(DATA!$C$14,$AS934,0)=BF$6),$AV934,dNULL)</f>
        <v>-99</v>
      </c>
      <c r="BG934">
        <f ca="1">IF(AND($AT934&lt;3,OFFSET(DATA!$C$14,$AS934,0)=BG$6),$AV934,dNULL)</f>
        <v>-99</v>
      </c>
      <c r="BH934">
        <f ca="1">IF(AND($AT934&lt;3,OFFSET(DATA!$C$14,$AS934,0)=BH$6),$AV934,dNULL)</f>
        <v>-99</v>
      </c>
    </row>
    <row r="935" spans="45:60" x14ac:dyDescent="0.25">
      <c r="AS935">
        <f t="shared" si="144"/>
        <v>29</v>
      </c>
      <c r="AT935">
        <f t="shared" si="145"/>
        <v>10</v>
      </c>
      <c r="AU935">
        <f t="shared" ca="1" si="146"/>
        <v>-99</v>
      </c>
      <c r="AV935">
        <f t="shared" ca="1" si="147"/>
        <v>-99</v>
      </c>
      <c r="AW935">
        <f ca="1">IF(AND($AT935&lt;3,OFFSET(DATA!$C$14,$AS935,0)=AW$6),$AV935,dNULL)</f>
        <v>-99</v>
      </c>
      <c r="AX935">
        <f ca="1">IF(AND($AT935&lt;3,OFFSET(DATA!$C$14,$AS935,0)=AX$6),$AV935,dNULL)</f>
        <v>-99</v>
      </c>
      <c r="AY935">
        <f ca="1">IF(AND($AT935&lt;3,OFFSET(DATA!$C$14,$AS935,0)=AY$6),$AV935,dNULL)</f>
        <v>-99</v>
      </c>
      <c r="AZ935">
        <f ca="1">IF(AND($AT935&lt;3,OFFSET(DATA!$C$14,$AS935,0)=AZ$6),$AV935,dNULL)</f>
        <v>-99</v>
      </c>
      <c r="BA935">
        <f ca="1">IF(AND($AT935&lt;3,OFFSET(DATA!$C$14,$AS935,0)=BA$6),$AV935,dNULL)</f>
        <v>-99</v>
      </c>
      <c r="BB935">
        <f ca="1">IF(AND($AT935&lt;3,OFFSET(DATA!$C$14,$AS935,0)=BB$6),$AV935,dNULL)</f>
        <v>-99</v>
      </c>
      <c r="BC935">
        <f ca="1">IF(AND($AT935&lt;3,OFFSET(DATA!$C$14,$AS935,0)=BC$6),$AV935,dNULL)</f>
        <v>-99</v>
      </c>
      <c r="BD935">
        <f ca="1">IF(AND($AT935&lt;3,OFFSET(DATA!$C$14,$AS935,0)=BD$6),$AV935,dNULL)</f>
        <v>-99</v>
      </c>
      <c r="BE935">
        <f ca="1">IF(AND($AT935&lt;3,OFFSET(DATA!$C$14,$AS935,0)=BE$6),$AV935,dNULL)</f>
        <v>-99</v>
      </c>
      <c r="BF935">
        <f ca="1">IF(AND($AT935&lt;3,OFFSET(DATA!$C$14,$AS935,0)=BF$6),$AV935,dNULL)</f>
        <v>-99</v>
      </c>
      <c r="BG935">
        <f ca="1">IF(AND($AT935&lt;3,OFFSET(DATA!$C$14,$AS935,0)=BG$6),$AV935,dNULL)</f>
        <v>-99</v>
      </c>
      <c r="BH935">
        <f ca="1">IF(AND($AT935&lt;3,OFFSET(DATA!$C$14,$AS935,0)=BH$6),$AV935,dNULL)</f>
        <v>-99</v>
      </c>
    </row>
    <row r="936" spans="45:60" x14ac:dyDescent="0.25">
      <c r="AS936">
        <f t="shared" si="144"/>
        <v>30</v>
      </c>
      <c r="AT936">
        <f t="shared" si="145"/>
        <v>10</v>
      </c>
      <c r="AU936">
        <f t="shared" ca="1" si="146"/>
        <v>-99</v>
      </c>
      <c r="AV936">
        <f t="shared" ca="1" si="147"/>
        <v>-99</v>
      </c>
      <c r="AW936">
        <f ca="1">IF(AND($AT936&lt;3,OFFSET(DATA!$C$14,$AS936,0)=AW$6),$AV936,dNULL)</f>
        <v>-99</v>
      </c>
      <c r="AX936">
        <f ca="1">IF(AND($AT936&lt;3,OFFSET(DATA!$C$14,$AS936,0)=AX$6),$AV936,dNULL)</f>
        <v>-99</v>
      </c>
      <c r="AY936">
        <f ca="1">IF(AND($AT936&lt;3,OFFSET(DATA!$C$14,$AS936,0)=AY$6),$AV936,dNULL)</f>
        <v>-99</v>
      </c>
      <c r="AZ936">
        <f ca="1">IF(AND($AT936&lt;3,OFFSET(DATA!$C$14,$AS936,0)=AZ$6),$AV936,dNULL)</f>
        <v>-99</v>
      </c>
      <c r="BA936">
        <f ca="1">IF(AND($AT936&lt;3,OFFSET(DATA!$C$14,$AS936,0)=BA$6),$AV936,dNULL)</f>
        <v>-99</v>
      </c>
      <c r="BB936">
        <f ca="1">IF(AND($AT936&lt;3,OFFSET(DATA!$C$14,$AS936,0)=BB$6),$AV936,dNULL)</f>
        <v>-99</v>
      </c>
      <c r="BC936">
        <f ca="1">IF(AND($AT936&lt;3,OFFSET(DATA!$C$14,$AS936,0)=BC$6),$AV936,dNULL)</f>
        <v>-99</v>
      </c>
      <c r="BD936">
        <f ca="1">IF(AND($AT936&lt;3,OFFSET(DATA!$C$14,$AS936,0)=BD$6),$AV936,dNULL)</f>
        <v>-99</v>
      </c>
      <c r="BE936">
        <f ca="1">IF(AND($AT936&lt;3,OFFSET(DATA!$C$14,$AS936,0)=BE$6),$AV936,dNULL)</f>
        <v>-99</v>
      </c>
      <c r="BF936">
        <f ca="1">IF(AND($AT936&lt;3,OFFSET(DATA!$C$14,$AS936,0)=BF$6),$AV936,dNULL)</f>
        <v>-99</v>
      </c>
      <c r="BG936">
        <f ca="1">IF(AND($AT936&lt;3,OFFSET(DATA!$C$14,$AS936,0)=BG$6),$AV936,dNULL)</f>
        <v>-99</v>
      </c>
      <c r="BH936">
        <f ca="1">IF(AND($AT936&lt;3,OFFSET(DATA!$C$14,$AS936,0)=BH$6),$AV936,dNULL)</f>
        <v>-99</v>
      </c>
    </row>
    <row r="937" spans="45:60" x14ac:dyDescent="0.25">
      <c r="AS937">
        <f t="shared" si="144"/>
        <v>31</v>
      </c>
      <c r="AT937">
        <f t="shared" si="145"/>
        <v>10</v>
      </c>
      <c r="AU937">
        <f t="shared" ca="1" si="146"/>
        <v>-99</v>
      </c>
      <c r="AV937">
        <f t="shared" ca="1" si="147"/>
        <v>-99</v>
      </c>
      <c r="AW937">
        <f ca="1">IF(AND($AT937&lt;3,OFFSET(DATA!$C$14,$AS937,0)=AW$6),$AV937,dNULL)</f>
        <v>-99</v>
      </c>
      <c r="AX937">
        <f ca="1">IF(AND($AT937&lt;3,OFFSET(DATA!$C$14,$AS937,0)=AX$6),$AV937,dNULL)</f>
        <v>-99</v>
      </c>
      <c r="AY937">
        <f ca="1">IF(AND($AT937&lt;3,OFFSET(DATA!$C$14,$AS937,0)=AY$6),$AV937,dNULL)</f>
        <v>-99</v>
      </c>
      <c r="AZ937">
        <f ca="1">IF(AND($AT937&lt;3,OFFSET(DATA!$C$14,$AS937,0)=AZ$6),$AV937,dNULL)</f>
        <v>-99</v>
      </c>
      <c r="BA937">
        <f ca="1">IF(AND($AT937&lt;3,OFFSET(DATA!$C$14,$AS937,0)=BA$6),$AV937,dNULL)</f>
        <v>-99</v>
      </c>
      <c r="BB937">
        <f ca="1">IF(AND($AT937&lt;3,OFFSET(DATA!$C$14,$AS937,0)=BB$6),$AV937,dNULL)</f>
        <v>-99</v>
      </c>
      <c r="BC937">
        <f ca="1">IF(AND($AT937&lt;3,OFFSET(DATA!$C$14,$AS937,0)=BC$6),$AV937,dNULL)</f>
        <v>-99</v>
      </c>
      <c r="BD937">
        <f ca="1">IF(AND($AT937&lt;3,OFFSET(DATA!$C$14,$AS937,0)=BD$6),$AV937,dNULL)</f>
        <v>-99</v>
      </c>
      <c r="BE937">
        <f ca="1">IF(AND($AT937&lt;3,OFFSET(DATA!$C$14,$AS937,0)=BE$6),$AV937,dNULL)</f>
        <v>-99</v>
      </c>
      <c r="BF937">
        <f ca="1">IF(AND($AT937&lt;3,OFFSET(DATA!$C$14,$AS937,0)=BF$6),$AV937,dNULL)</f>
        <v>-99</v>
      </c>
      <c r="BG937">
        <f ca="1">IF(AND($AT937&lt;3,OFFSET(DATA!$C$14,$AS937,0)=BG$6),$AV937,dNULL)</f>
        <v>-99</v>
      </c>
      <c r="BH937">
        <f ca="1">IF(AND($AT937&lt;3,OFFSET(DATA!$C$14,$AS937,0)=BH$6),$AV937,dNULL)</f>
        <v>-99</v>
      </c>
    </row>
    <row r="938" spans="45:60" x14ac:dyDescent="0.25">
      <c r="AS938">
        <f t="shared" si="144"/>
        <v>32</v>
      </c>
      <c r="AT938">
        <f t="shared" si="145"/>
        <v>10</v>
      </c>
      <c r="AU938">
        <f t="shared" ca="1" si="146"/>
        <v>-99</v>
      </c>
      <c r="AV938">
        <f t="shared" ca="1" si="147"/>
        <v>-99</v>
      </c>
      <c r="AW938">
        <f ca="1">IF(AND($AT938&lt;3,OFFSET(DATA!$C$14,$AS938,0)=AW$6),$AV938,dNULL)</f>
        <v>-99</v>
      </c>
      <c r="AX938">
        <f ca="1">IF(AND($AT938&lt;3,OFFSET(DATA!$C$14,$AS938,0)=AX$6),$AV938,dNULL)</f>
        <v>-99</v>
      </c>
      <c r="AY938">
        <f ca="1">IF(AND($AT938&lt;3,OFFSET(DATA!$C$14,$AS938,0)=AY$6),$AV938,dNULL)</f>
        <v>-99</v>
      </c>
      <c r="AZ938">
        <f ca="1">IF(AND($AT938&lt;3,OFFSET(DATA!$C$14,$AS938,0)=AZ$6),$AV938,dNULL)</f>
        <v>-99</v>
      </c>
      <c r="BA938">
        <f ca="1">IF(AND($AT938&lt;3,OFFSET(DATA!$C$14,$AS938,0)=BA$6),$AV938,dNULL)</f>
        <v>-99</v>
      </c>
      <c r="BB938">
        <f ca="1">IF(AND($AT938&lt;3,OFFSET(DATA!$C$14,$AS938,0)=BB$6),$AV938,dNULL)</f>
        <v>-99</v>
      </c>
      <c r="BC938">
        <f ca="1">IF(AND($AT938&lt;3,OFFSET(DATA!$C$14,$AS938,0)=BC$6),$AV938,dNULL)</f>
        <v>-99</v>
      </c>
      <c r="BD938">
        <f ca="1">IF(AND($AT938&lt;3,OFFSET(DATA!$C$14,$AS938,0)=BD$6),$AV938,dNULL)</f>
        <v>-99</v>
      </c>
      <c r="BE938">
        <f ca="1">IF(AND($AT938&lt;3,OFFSET(DATA!$C$14,$AS938,0)=BE$6),$AV938,dNULL)</f>
        <v>-99</v>
      </c>
      <c r="BF938">
        <f ca="1">IF(AND($AT938&lt;3,OFFSET(DATA!$C$14,$AS938,0)=BF$6),$AV938,dNULL)</f>
        <v>-99</v>
      </c>
      <c r="BG938">
        <f ca="1">IF(AND($AT938&lt;3,OFFSET(DATA!$C$14,$AS938,0)=BG$6),$AV938,dNULL)</f>
        <v>-99</v>
      </c>
      <c r="BH938">
        <f ca="1">IF(AND($AT938&lt;3,OFFSET(DATA!$C$14,$AS938,0)=BH$6),$AV938,dNULL)</f>
        <v>-99</v>
      </c>
    </row>
    <row r="939" spans="45:60" x14ac:dyDescent="0.25">
      <c r="AS939">
        <f t="shared" si="144"/>
        <v>33</v>
      </c>
      <c r="AT939">
        <f t="shared" si="145"/>
        <v>10</v>
      </c>
      <c r="AU939">
        <f t="shared" ca="1" si="146"/>
        <v>-99</v>
      </c>
      <c r="AV939">
        <f t="shared" ca="1" si="147"/>
        <v>-99</v>
      </c>
      <c r="AW939">
        <f ca="1">IF(AND($AT939&lt;3,OFFSET(DATA!$C$14,$AS939,0)=AW$6),$AV939,dNULL)</f>
        <v>-99</v>
      </c>
      <c r="AX939">
        <f ca="1">IF(AND($AT939&lt;3,OFFSET(DATA!$C$14,$AS939,0)=AX$6),$AV939,dNULL)</f>
        <v>-99</v>
      </c>
      <c r="AY939">
        <f ca="1">IF(AND($AT939&lt;3,OFFSET(DATA!$C$14,$AS939,0)=AY$6),$AV939,dNULL)</f>
        <v>-99</v>
      </c>
      <c r="AZ939">
        <f ca="1">IF(AND($AT939&lt;3,OFFSET(DATA!$C$14,$AS939,0)=AZ$6),$AV939,dNULL)</f>
        <v>-99</v>
      </c>
      <c r="BA939">
        <f ca="1">IF(AND($AT939&lt;3,OFFSET(DATA!$C$14,$AS939,0)=BA$6),$AV939,dNULL)</f>
        <v>-99</v>
      </c>
      <c r="BB939">
        <f ca="1">IF(AND($AT939&lt;3,OFFSET(DATA!$C$14,$AS939,0)=BB$6),$AV939,dNULL)</f>
        <v>-99</v>
      </c>
      <c r="BC939">
        <f ca="1">IF(AND($AT939&lt;3,OFFSET(DATA!$C$14,$AS939,0)=BC$6),$AV939,dNULL)</f>
        <v>-99</v>
      </c>
      <c r="BD939">
        <f ca="1">IF(AND($AT939&lt;3,OFFSET(DATA!$C$14,$AS939,0)=BD$6),$AV939,dNULL)</f>
        <v>-99</v>
      </c>
      <c r="BE939">
        <f ca="1">IF(AND($AT939&lt;3,OFFSET(DATA!$C$14,$AS939,0)=BE$6),$AV939,dNULL)</f>
        <v>-99</v>
      </c>
      <c r="BF939">
        <f ca="1">IF(AND($AT939&lt;3,OFFSET(DATA!$C$14,$AS939,0)=BF$6),$AV939,dNULL)</f>
        <v>-99</v>
      </c>
      <c r="BG939">
        <f ca="1">IF(AND($AT939&lt;3,OFFSET(DATA!$C$14,$AS939,0)=BG$6),$AV939,dNULL)</f>
        <v>-99</v>
      </c>
      <c r="BH939">
        <f ca="1">IF(AND($AT939&lt;3,OFFSET(DATA!$C$14,$AS939,0)=BH$6),$AV939,dNULL)</f>
        <v>-99</v>
      </c>
    </row>
    <row r="940" spans="45:60" x14ac:dyDescent="0.25">
      <c r="AS940">
        <f t="shared" si="144"/>
        <v>34</v>
      </c>
      <c r="AT940">
        <f t="shared" si="145"/>
        <v>10</v>
      </c>
      <c r="AU940">
        <f t="shared" ca="1" si="146"/>
        <v>-99</v>
      </c>
      <c r="AV940">
        <f t="shared" ca="1" si="147"/>
        <v>-99</v>
      </c>
      <c r="AW940">
        <f ca="1">IF(AND($AT940&lt;3,OFFSET(DATA!$C$14,$AS940,0)=AW$6),$AV940,dNULL)</f>
        <v>-99</v>
      </c>
      <c r="AX940">
        <f ca="1">IF(AND($AT940&lt;3,OFFSET(DATA!$C$14,$AS940,0)=AX$6),$AV940,dNULL)</f>
        <v>-99</v>
      </c>
      <c r="AY940">
        <f ca="1">IF(AND($AT940&lt;3,OFFSET(DATA!$C$14,$AS940,0)=AY$6),$AV940,dNULL)</f>
        <v>-99</v>
      </c>
      <c r="AZ940">
        <f ca="1">IF(AND($AT940&lt;3,OFFSET(DATA!$C$14,$AS940,0)=AZ$6),$AV940,dNULL)</f>
        <v>-99</v>
      </c>
      <c r="BA940">
        <f ca="1">IF(AND($AT940&lt;3,OFFSET(DATA!$C$14,$AS940,0)=BA$6),$AV940,dNULL)</f>
        <v>-99</v>
      </c>
      <c r="BB940">
        <f ca="1">IF(AND($AT940&lt;3,OFFSET(DATA!$C$14,$AS940,0)=BB$6),$AV940,dNULL)</f>
        <v>-99</v>
      </c>
      <c r="BC940">
        <f ca="1">IF(AND($AT940&lt;3,OFFSET(DATA!$C$14,$AS940,0)=BC$6),$AV940,dNULL)</f>
        <v>-99</v>
      </c>
      <c r="BD940">
        <f ca="1">IF(AND($AT940&lt;3,OFFSET(DATA!$C$14,$AS940,0)=BD$6),$AV940,dNULL)</f>
        <v>-99</v>
      </c>
      <c r="BE940">
        <f ca="1">IF(AND($AT940&lt;3,OFFSET(DATA!$C$14,$AS940,0)=BE$6),$AV940,dNULL)</f>
        <v>-99</v>
      </c>
      <c r="BF940">
        <f ca="1">IF(AND($AT940&lt;3,OFFSET(DATA!$C$14,$AS940,0)=BF$6),$AV940,dNULL)</f>
        <v>-99</v>
      </c>
      <c r="BG940">
        <f ca="1">IF(AND($AT940&lt;3,OFFSET(DATA!$C$14,$AS940,0)=BG$6),$AV940,dNULL)</f>
        <v>-99</v>
      </c>
      <c r="BH940">
        <f ca="1">IF(AND($AT940&lt;3,OFFSET(DATA!$C$14,$AS940,0)=BH$6),$AV940,dNULL)</f>
        <v>-99</v>
      </c>
    </row>
    <row r="941" spans="45:60" x14ac:dyDescent="0.25">
      <c r="AS941">
        <f t="shared" si="144"/>
        <v>35</v>
      </c>
      <c r="AT941">
        <f t="shared" si="145"/>
        <v>10</v>
      </c>
      <c r="AU941">
        <f t="shared" ca="1" si="146"/>
        <v>-99</v>
      </c>
      <c r="AV941">
        <f t="shared" ca="1" si="147"/>
        <v>-99</v>
      </c>
      <c r="AW941">
        <f ca="1">IF(AND($AT941&lt;3,OFFSET(DATA!$C$14,$AS941,0)=AW$6),$AV941,dNULL)</f>
        <v>-99</v>
      </c>
      <c r="AX941">
        <f ca="1">IF(AND($AT941&lt;3,OFFSET(DATA!$C$14,$AS941,0)=AX$6),$AV941,dNULL)</f>
        <v>-99</v>
      </c>
      <c r="AY941">
        <f ca="1">IF(AND($AT941&lt;3,OFFSET(DATA!$C$14,$AS941,0)=AY$6),$AV941,dNULL)</f>
        <v>-99</v>
      </c>
      <c r="AZ941">
        <f ca="1">IF(AND($AT941&lt;3,OFFSET(DATA!$C$14,$AS941,0)=AZ$6),$AV941,dNULL)</f>
        <v>-99</v>
      </c>
      <c r="BA941">
        <f ca="1">IF(AND($AT941&lt;3,OFFSET(DATA!$C$14,$AS941,0)=BA$6),$AV941,dNULL)</f>
        <v>-99</v>
      </c>
      <c r="BB941">
        <f ca="1">IF(AND($AT941&lt;3,OFFSET(DATA!$C$14,$AS941,0)=BB$6),$AV941,dNULL)</f>
        <v>-99</v>
      </c>
      <c r="BC941">
        <f ca="1">IF(AND($AT941&lt;3,OFFSET(DATA!$C$14,$AS941,0)=BC$6),$AV941,dNULL)</f>
        <v>-99</v>
      </c>
      <c r="BD941">
        <f ca="1">IF(AND($AT941&lt;3,OFFSET(DATA!$C$14,$AS941,0)=BD$6),$AV941,dNULL)</f>
        <v>-99</v>
      </c>
      <c r="BE941">
        <f ca="1">IF(AND($AT941&lt;3,OFFSET(DATA!$C$14,$AS941,0)=BE$6),$AV941,dNULL)</f>
        <v>-99</v>
      </c>
      <c r="BF941">
        <f ca="1">IF(AND($AT941&lt;3,OFFSET(DATA!$C$14,$AS941,0)=BF$6),$AV941,dNULL)</f>
        <v>-99</v>
      </c>
      <c r="BG941">
        <f ca="1">IF(AND($AT941&lt;3,OFFSET(DATA!$C$14,$AS941,0)=BG$6),$AV941,dNULL)</f>
        <v>-99</v>
      </c>
      <c r="BH941">
        <f ca="1">IF(AND($AT941&lt;3,OFFSET(DATA!$C$14,$AS941,0)=BH$6),$AV941,dNULL)</f>
        <v>-99</v>
      </c>
    </row>
    <row r="942" spans="45:60" x14ac:dyDescent="0.25">
      <c r="AS942">
        <f t="shared" si="144"/>
        <v>36</v>
      </c>
      <c r="AT942">
        <f t="shared" si="145"/>
        <v>10</v>
      </c>
      <c r="AU942">
        <f t="shared" ca="1" si="146"/>
        <v>-99</v>
      </c>
      <c r="AV942">
        <f t="shared" ca="1" si="147"/>
        <v>-99</v>
      </c>
      <c r="AW942">
        <f ca="1">IF(AND($AT942&lt;3,OFFSET(DATA!$C$14,$AS942,0)=AW$6),$AV942,dNULL)</f>
        <v>-99</v>
      </c>
      <c r="AX942">
        <f ca="1">IF(AND($AT942&lt;3,OFFSET(DATA!$C$14,$AS942,0)=AX$6),$AV942,dNULL)</f>
        <v>-99</v>
      </c>
      <c r="AY942">
        <f ca="1">IF(AND($AT942&lt;3,OFFSET(DATA!$C$14,$AS942,0)=AY$6),$AV942,dNULL)</f>
        <v>-99</v>
      </c>
      <c r="AZ942">
        <f ca="1">IF(AND($AT942&lt;3,OFFSET(DATA!$C$14,$AS942,0)=AZ$6),$AV942,dNULL)</f>
        <v>-99</v>
      </c>
      <c r="BA942">
        <f ca="1">IF(AND($AT942&lt;3,OFFSET(DATA!$C$14,$AS942,0)=BA$6),$AV942,dNULL)</f>
        <v>-99</v>
      </c>
      <c r="BB942">
        <f ca="1">IF(AND($AT942&lt;3,OFFSET(DATA!$C$14,$AS942,0)=BB$6),$AV942,dNULL)</f>
        <v>-99</v>
      </c>
      <c r="BC942">
        <f ca="1">IF(AND($AT942&lt;3,OFFSET(DATA!$C$14,$AS942,0)=BC$6),$AV942,dNULL)</f>
        <v>-99</v>
      </c>
      <c r="BD942">
        <f ca="1">IF(AND($AT942&lt;3,OFFSET(DATA!$C$14,$AS942,0)=BD$6),$AV942,dNULL)</f>
        <v>-99</v>
      </c>
      <c r="BE942">
        <f ca="1">IF(AND($AT942&lt;3,OFFSET(DATA!$C$14,$AS942,0)=BE$6),$AV942,dNULL)</f>
        <v>-99</v>
      </c>
      <c r="BF942">
        <f ca="1">IF(AND($AT942&lt;3,OFFSET(DATA!$C$14,$AS942,0)=BF$6),$AV942,dNULL)</f>
        <v>-99</v>
      </c>
      <c r="BG942">
        <f ca="1">IF(AND($AT942&lt;3,OFFSET(DATA!$C$14,$AS942,0)=BG$6),$AV942,dNULL)</f>
        <v>-99</v>
      </c>
      <c r="BH942">
        <f ca="1">IF(AND($AT942&lt;3,OFFSET(DATA!$C$14,$AS942,0)=BH$6),$AV942,dNULL)</f>
        <v>-99</v>
      </c>
    </row>
    <row r="943" spans="45:60" x14ac:dyDescent="0.25">
      <c r="AS943">
        <f t="shared" si="144"/>
        <v>37</v>
      </c>
      <c r="AT943">
        <f t="shared" si="145"/>
        <v>10</v>
      </c>
      <c r="AU943">
        <f t="shared" ca="1" si="146"/>
        <v>-99</v>
      </c>
      <c r="AV943">
        <f t="shared" ca="1" si="147"/>
        <v>-99</v>
      </c>
      <c r="AW943">
        <f ca="1">IF(AND($AT943&lt;3,OFFSET(DATA!$C$14,$AS943,0)=AW$6),$AV943,dNULL)</f>
        <v>-99</v>
      </c>
      <c r="AX943">
        <f ca="1">IF(AND($AT943&lt;3,OFFSET(DATA!$C$14,$AS943,0)=AX$6),$AV943,dNULL)</f>
        <v>-99</v>
      </c>
      <c r="AY943">
        <f ca="1">IF(AND($AT943&lt;3,OFFSET(DATA!$C$14,$AS943,0)=AY$6),$AV943,dNULL)</f>
        <v>-99</v>
      </c>
      <c r="AZ943">
        <f ca="1">IF(AND($AT943&lt;3,OFFSET(DATA!$C$14,$AS943,0)=AZ$6),$AV943,dNULL)</f>
        <v>-99</v>
      </c>
      <c r="BA943">
        <f ca="1">IF(AND($AT943&lt;3,OFFSET(DATA!$C$14,$AS943,0)=BA$6),$AV943,dNULL)</f>
        <v>-99</v>
      </c>
      <c r="BB943">
        <f ca="1">IF(AND($AT943&lt;3,OFFSET(DATA!$C$14,$AS943,0)=BB$6),$AV943,dNULL)</f>
        <v>-99</v>
      </c>
      <c r="BC943">
        <f ca="1">IF(AND($AT943&lt;3,OFFSET(DATA!$C$14,$AS943,0)=BC$6),$AV943,dNULL)</f>
        <v>-99</v>
      </c>
      <c r="BD943">
        <f ca="1">IF(AND($AT943&lt;3,OFFSET(DATA!$C$14,$AS943,0)=BD$6),$AV943,dNULL)</f>
        <v>-99</v>
      </c>
      <c r="BE943">
        <f ca="1">IF(AND($AT943&lt;3,OFFSET(DATA!$C$14,$AS943,0)=BE$6),$AV943,dNULL)</f>
        <v>-99</v>
      </c>
      <c r="BF943">
        <f ca="1">IF(AND($AT943&lt;3,OFFSET(DATA!$C$14,$AS943,0)=BF$6),$AV943,dNULL)</f>
        <v>-99</v>
      </c>
      <c r="BG943">
        <f ca="1">IF(AND($AT943&lt;3,OFFSET(DATA!$C$14,$AS943,0)=BG$6),$AV943,dNULL)</f>
        <v>-99</v>
      </c>
      <c r="BH943">
        <f ca="1">IF(AND($AT943&lt;3,OFFSET(DATA!$C$14,$AS943,0)=BH$6),$AV943,dNULL)</f>
        <v>-99</v>
      </c>
    </row>
    <row r="944" spans="45:60" x14ac:dyDescent="0.25">
      <c r="AS944">
        <f t="shared" si="144"/>
        <v>38</v>
      </c>
      <c r="AT944">
        <f t="shared" si="145"/>
        <v>10</v>
      </c>
      <c r="AU944">
        <f t="shared" ca="1" si="146"/>
        <v>-99</v>
      </c>
      <c r="AV944">
        <f t="shared" ca="1" si="147"/>
        <v>-99</v>
      </c>
      <c r="AW944">
        <f ca="1">IF(AND($AT944&lt;3,OFFSET(DATA!$C$14,$AS944,0)=AW$6),$AV944,dNULL)</f>
        <v>-99</v>
      </c>
      <c r="AX944">
        <f ca="1">IF(AND($AT944&lt;3,OFFSET(DATA!$C$14,$AS944,0)=AX$6),$AV944,dNULL)</f>
        <v>-99</v>
      </c>
      <c r="AY944">
        <f ca="1">IF(AND($AT944&lt;3,OFFSET(DATA!$C$14,$AS944,0)=AY$6),$AV944,dNULL)</f>
        <v>-99</v>
      </c>
      <c r="AZ944">
        <f ca="1">IF(AND($AT944&lt;3,OFFSET(DATA!$C$14,$AS944,0)=AZ$6),$AV944,dNULL)</f>
        <v>-99</v>
      </c>
      <c r="BA944">
        <f ca="1">IF(AND($AT944&lt;3,OFFSET(DATA!$C$14,$AS944,0)=BA$6),$AV944,dNULL)</f>
        <v>-99</v>
      </c>
      <c r="BB944">
        <f ca="1">IF(AND($AT944&lt;3,OFFSET(DATA!$C$14,$AS944,0)=BB$6),$AV944,dNULL)</f>
        <v>-99</v>
      </c>
      <c r="BC944">
        <f ca="1">IF(AND($AT944&lt;3,OFFSET(DATA!$C$14,$AS944,0)=BC$6),$AV944,dNULL)</f>
        <v>-99</v>
      </c>
      <c r="BD944">
        <f ca="1">IF(AND($AT944&lt;3,OFFSET(DATA!$C$14,$AS944,0)=BD$6),$AV944,dNULL)</f>
        <v>-99</v>
      </c>
      <c r="BE944">
        <f ca="1">IF(AND($AT944&lt;3,OFFSET(DATA!$C$14,$AS944,0)=BE$6),$AV944,dNULL)</f>
        <v>-99</v>
      </c>
      <c r="BF944">
        <f ca="1">IF(AND($AT944&lt;3,OFFSET(DATA!$C$14,$AS944,0)=BF$6),$AV944,dNULL)</f>
        <v>-99</v>
      </c>
      <c r="BG944">
        <f ca="1">IF(AND($AT944&lt;3,OFFSET(DATA!$C$14,$AS944,0)=BG$6),$AV944,dNULL)</f>
        <v>-99</v>
      </c>
      <c r="BH944">
        <f ca="1">IF(AND($AT944&lt;3,OFFSET(DATA!$C$14,$AS944,0)=BH$6),$AV944,dNULL)</f>
        <v>-99</v>
      </c>
    </row>
    <row r="945" spans="45:60" x14ac:dyDescent="0.25">
      <c r="AS945">
        <f t="shared" si="144"/>
        <v>39</v>
      </c>
      <c r="AT945">
        <f t="shared" si="145"/>
        <v>10</v>
      </c>
      <c r="AU945">
        <f t="shared" ca="1" si="146"/>
        <v>-99</v>
      </c>
      <c r="AV945">
        <f t="shared" ca="1" si="147"/>
        <v>-99</v>
      </c>
      <c r="AW945">
        <f ca="1">IF(AND($AT945&lt;3,OFFSET(DATA!$C$14,$AS945,0)=AW$6),$AV945,dNULL)</f>
        <v>-99</v>
      </c>
      <c r="AX945">
        <f ca="1">IF(AND($AT945&lt;3,OFFSET(DATA!$C$14,$AS945,0)=AX$6),$AV945,dNULL)</f>
        <v>-99</v>
      </c>
      <c r="AY945">
        <f ca="1">IF(AND($AT945&lt;3,OFFSET(DATA!$C$14,$AS945,0)=AY$6),$AV945,dNULL)</f>
        <v>-99</v>
      </c>
      <c r="AZ945">
        <f ca="1">IF(AND($AT945&lt;3,OFFSET(DATA!$C$14,$AS945,0)=AZ$6),$AV945,dNULL)</f>
        <v>-99</v>
      </c>
      <c r="BA945">
        <f ca="1">IF(AND($AT945&lt;3,OFFSET(DATA!$C$14,$AS945,0)=BA$6),$AV945,dNULL)</f>
        <v>-99</v>
      </c>
      <c r="BB945">
        <f ca="1">IF(AND($AT945&lt;3,OFFSET(DATA!$C$14,$AS945,0)=BB$6),$AV945,dNULL)</f>
        <v>-99</v>
      </c>
      <c r="BC945">
        <f ca="1">IF(AND($AT945&lt;3,OFFSET(DATA!$C$14,$AS945,0)=BC$6),$AV945,dNULL)</f>
        <v>-99</v>
      </c>
      <c r="BD945">
        <f ca="1">IF(AND($AT945&lt;3,OFFSET(DATA!$C$14,$AS945,0)=BD$6),$AV945,dNULL)</f>
        <v>-99</v>
      </c>
      <c r="BE945">
        <f ca="1">IF(AND($AT945&lt;3,OFFSET(DATA!$C$14,$AS945,0)=BE$6),$AV945,dNULL)</f>
        <v>-99</v>
      </c>
      <c r="BF945">
        <f ca="1">IF(AND($AT945&lt;3,OFFSET(DATA!$C$14,$AS945,0)=BF$6),$AV945,dNULL)</f>
        <v>-99</v>
      </c>
      <c r="BG945">
        <f ca="1">IF(AND($AT945&lt;3,OFFSET(DATA!$C$14,$AS945,0)=BG$6),$AV945,dNULL)</f>
        <v>-99</v>
      </c>
      <c r="BH945">
        <f ca="1">IF(AND($AT945&lt;3,OFFSET(DATA!$C$14,$AS945,0)=BH$6),$AV945,dNULL)</f>
        <v>-99</v>
      </c>
    </row>
    <row r="946" spans="45:60" x14ac:dyDescent="0.25">
      <c r="AS946">
        <f t="shared" si="144"/>
        <v>40</v>
      </c>
      <c r="AT946">
        <f t="shared" si="145"/>
        <v>10</v>
      </c>
      <c r="AU946">
        <f t="shared" ca="1" si="146"/>
        <v>-99</v>
      </c>
      <c r="AV946">
        <f t="shared" ca="1" si="147"/>
        <v>-99</v>
      </c>
      <c r="AW946">
        <f ca="1">IF(AND($AT946&lt;3,OFFSET(DATA!$C$14,$AS946,0)=AW$6),$AV946,dNULL)</f>
        <v>-99</v>
      </c>
      <c r="AX946">
        <f ca="1">IF(AND($AT946&lt;3,OFFSET(DATA!$C$14,$AS946,0)=AX$6),$AV946,dNULL)</f>
        <v>-99</v>
      </c>
      <c r="AY946">
        <f ca="1">IF(AND($AT946&lt;3,OFFSET(DATA!$C$14,$AS946,0)=AY$6),$AV946,dNULL)</f>
        <v>-99</v>
      </c>
      <c r="AZ946">
        <f ca="1">IF(AND($AT946&lt;3,OFFSET(DATA!$C$14,$AS946,0)=AZ$6),$AV946,dNULL)</f>
        <v>-99</v>
      </c>
      <c r="BA946">
        <f ca="1">IF(AND($AT946&lt;3,OFFSET(DATA!$C$14,$AS946,0)=BA$6),$AV946,dNULL)</f>
        <v>-99</v>
      </c>
      <c r="BB946">
        <f ca="1">IF(AND($AT946&lt;3,OFFSET(DATA!$C$14,$AS946,0)=BB$6),$AV946,dNULL)</f>
        <v>-99</v>
      </c>
      <c r="BC946">
        <f ca="1">IF(AND($AT946&lt;3,OFFSET(DATA!$C$14,$AS946,0)=BC$6),$AV946,dNULL)</f>
        <v>-99</v>
      </c>
      <c r="BD946">
        <f ca="1">IF(AND($AT946&lt;3,OFFSET(DATA!$C$14,$AS946,0)=BD$6),$AV946,dNULL)</f>
        <v>-99</v>
      </c>
      <c r="BE946">
        <f ca="1">IF(AND($AT946&lt;3,OFFSET(DATA!$C$14,$AS946,0)=BE$6),$AV946,dNULL)</f>
        <v>-99</v>
      </c>
      <c r="BF946">
        <f ca="1">IF(AND($AT946&lt;3,OFFSET(DATA!$C$14,$AS946,0)=BF$6),$AV946,dNULL)</f>
        <v>-99</v>
      </c>
      <c r="BG946">
        <f ca="1">IF(AND($AT946&lt;3,OFFSET(DATA!$C$14,$AS946,0)=BG$6),$AV946,dNULL)</f>
        <v>-99</v>
      </c>
      <c r="BH946">
        <f ca="1">IF(AND($AT946&lt;3,OFFSET(DATA!$C$14,$AS946,0)=BH$6),$AV946,dNULL)</f>
        <v>-99</v>
      </c>
    </row>
    <row r="947" spans="45:60" x14ac:dyDescent="0.25">
      <c r="AS947">
        <f t="shared" si="144"/>
        <v>41</v>
      </c>
      <c r="AT947">
        <f t="shared" si="145"/>
        <v>10</v>
      </c>
      <c r="AU947">
        <f t="shared" ca="1" si="146"/>
        <v>-99</v>
      </c>
      <c r="AV947">
        <f t="shared" ca="1" si="147"/>
        <v>-99</v>
      </c>
      <c r="AW947">
        <f ca="1">IF(AND($AT947&lt;3,OFFSET(DATA!$C$14,$AS947,0)=AW$6),$AV947,dNULL)</f>
        <v>-99</v>
      </c>
      <c r="AX947">
        <f ca="1">IF(AND($AT947&lt;3,OFFSET(DATA!$C$14,$AS947,0)=AX$6),$AV947,dNULL)</f>
        <v>-99</v>
      </c>
      <c r="AY947">
        <f ca="1">IF(AND($AT947&lt;3,OFFSET(DATA!$C$14,$AS947,0)=AY$6),$AV947,dNULL)</f>
        <v>-99</v>
      </c>
      <c r="AZ947">
        <f ca="1">IF(AND($AT947&lt;3,OFFSET(DATA!$C$14,$AS947,0)=AZ$6),$AV947,dNULL)</f>
        <v>-99</v>
      </c>
      <c r="BA947">
        <f ca="1">IF(AND($AT947&lt;3,OFFSET(DATA!$C$14,$AS947,0)=BA$6),$AV947,dNULL)</f>
        <v>-99</v>
      </c>
      <c r="BB947">
        <f ca="1">IF(AND($AT947&lt;3,OFFSET(DATA!$C$14,$AS947,0)=BB$6),$AV947,dNULL)</f>
        <v>-99</v>
      </c>
      <c r="BC947">
        <f ca="1">IF(AND($AT947&lt;3,OFFSET(DATA!$C$14,$AS947,0)=BC$6),$AV947,dNULL)</f>
        <v>-99</v>
      </c>
      <c r="BD947">
        <f ca="1">IF(AND($AT947&lt;3,OFFSET(DATA!$C$14,$AS947,0)=BD$6),$AV947,dNULL)</f>
        <v>-99</v>
      </c>
      <c r="BE947">
        <f ca="1">IF(AND($AT947&lt;3,OFFSET(DATA!$C$14,$AS947,0)=BE$6),$AV947,dNULL)</f>
        <v>-99</v>
      </c>
      <c r="BF947">
        <f ca="1">IF(AND($AT947&lt;3,OFFSET(DATA!$C$14,$AS947,0)=BF$6),$AV947,dNULL)</f>
        <v>-99</v>
      </c>
      <c r="BG947">
        <f ca="1">IF(AND($AT947&lt;3,OFFSET(DATA!$C$14,$AS947,0)=BG$6),$AV947,dNULL)</f>
        <v>-99</v>
      </c>
      <c r="BH947">
        <f ca="1">IF(AND($AT947&lt;3,OFFSET(DATA!$C$14,$AS947,0)=BH$6),$AV947,dNULL)</f>
        <v>-99</v>
      </c>
    </row>
    <row r="948" spans="45:60" x14ac:dyDescent="0.25">
      <c r="AS948">
        <f t="shared" si="144"/>
        <v>42</v>
      </c>
      <c r="AT948">
        <f t="shared" si="145"/>
        <v>10</v>
      </c>
      <c r="AU948">
        <f t="shared" ca="1" si="146"/>
        <v>-99</v>
      </c>
      <c r="AV948">
        <f t="shared" ca="1" si="147"/>
        <v>-99</v>
      </c>
      <c r="AW948">
        <f ca="1">IF(AND($AT948&lt;3,OFFSET(DATA!$C$14,$AS948,0)=AW$6),$AV948,dNULL)</f>
        <v>-99</v>
      </c>
      <c r="AX948">
        <f ca="1">IF(AND($AT948&lt;3,OFFSET(DATA!$C$14,$AS948,0)=AX$6),$AV948,dNULL)</f>
        <v>-99</v>
      </c>
      <c r="AY948">
        <f ca="1">IF(AND($AT948&lt;3,OFFSET(DATA!$C$14,$AS948,0)=AY$6),$AV948,dNULL)</f>
        <v>-99</v>
      </c>
      <c r="AZ948">
        <f ca="1">IF(AND($AT948&lt;3,OFFSET(DATA!$C$14,$AS948,0)=AZ$6),$AV948,dNULL)</f>
        <v>-99</v>
      </c>
      <c r="BA948">
        <f ca="1">IF(AND($AT948&lt;3,OFFSET(DATA!$C$14,$AS948,0)=BA$6),$AV948,dNULL)</f>
        <v>-99</v>
      </c>
      <c r="BB948">
        <f ca="1">IF(AND($AT948&lt;3,OFFSET(DATA!$C$14,$AS948,0)=BB$6),$AV948,dNULL)</f>
        <v>-99</v>
      </c>
      <c r="BC948">
        <f ca="1">IF(AND($AT948&lt;3,OFFSET(DATA!$C$14,$AS948,0)=BC$6),$AV948,dNULL)</f>
        <v>-99</v>
      </c>
      <c r="BD948">
        <f ca="1">IF(AND($AT948&lt;3,OFFSET(DATA!$C$14,$AS948,0)=BD$6),$AV948,dNULL)</f>
        <v>-99</v>
      </c>
      <c r="BE948">
        <f ca="1">IF(AND($AT948&lt;3,OFFSET(DATA!$C$14,$AS948,0)=BE$6),$AV948,dNULL)</f>
        <v>-99</v>
      </c>
      <c r="BF948">
        <f ca="1">IF(AND($AT948&lt;3,OFFSET(DATA!$C$14,$AS948,0)=BF$6),$AV948,dNULL)</f>
        <v>-99</v>
      </c>
      <c r="BG948">
        <f ca="1">IF(AND($AT948&lt;3,OFFSET(DATA!$C$14,$AS948,0)=BG$6),$AV948,dNULL)</f>
        <v>-99</v>
      </c>
      <c r="BH948">
        <f ca="1">IF(AND($AT948&lt;3,OFFSET(DATA!$C$14,$AS948,0)=BH$6),$AV948,dNULL)</f>
        <v>-99</v>
      </c>
    </row>
    <row r="949" spans="45:60" x14ac:dyDescent="0.25">
      <c r="AS949">
        <f t="shared" si="144"/>
        <v>43</v>
      </c>
      <c r="AT949">
        <f t="shared" si="145"/>
        <v>10</v>
      </c>
      <c r="AU949">
        <f t="shared" ca="1" si="146"/>
        <v>-99</v>
      </c>
      <c r="AV949">
        <f t="shared" ca="1" si="147"/>
        <v>-99</v>
      </c>
      <c r="AW949">
        <f ca="1">IF(AND($AT949&lt;3,OFFSET(DATA!$C$14,$AS949,0)=AW$6),$AV949,dNULL)</f>
        <v>-99</v>
      </c>
      <c r="AX949">
        <f ca="1">IF(AND($AT949&lt;3,OFFSET(DATA!$C$14,$AS949,0)=AX$6),$AV949,dNULL)</f>
        <v>-99</v>
      </c>
      <c r="AY949">
        <f ca="1">IF(AND($AT949&lt;3,OFFSET(DATA!$C$14,$AS949,0)=AY$6),$AV949,dNULL)</f>
        <v>-99</v>
      </c>
      <c r="AZ949">
        <f ca="1">IF(AND($AT949&lt;3,OFFSET(DATA!$C$14,$AS949,0)=AZ$6),$AV949,dNULL)</f>
        <v>-99</v>
      </c>
      <c r="BA949">
        <f ca="1">IF(AND($AT949&lt;3,OFFSET(DATA!$C$14,$AS949,0)=BA$6),$AV949,dNULL)</f>
        <v>-99</v>
      </c>
      <c r="BB949">
        <f ca="1">IF(AND($AT949&lt;3,OFFSET(DATA!$C$14,$AS949,0)=BB$6),$AV949,dNULL)</f>
        <v>-99</v>
      </c>
      <c r="BC949">
        <f ca="1">IF(AND($AT949&lt;3,OFFSET(DATA!$C$14,$AS949,0)=BC$6),$AV949,dNULL)</f>
        <v>-99</v>
      </c>
      <c r="BD949">
        <f ca="1">IF(AND($AT949&lt;3,OFFSET(DATA!$C$14,$AS949,0)=BD$6),$AV949,dNULL)</f>
        <v>-99</v>
      </c>
      <c r="BE949">
        <f ca="1">IF(AND($AT949&lt;3,OFFSET(DATA!$C$14,$AS949,0)=BE$6),$AV949,dNULL)</f>
        <v>-99</v>
      </c>
      <c r="BF949">
        <f ca="1">IF(AND($AT949&lt;3,OFFSET(DATA!$C$14,$AS949,0)=BF$6),$AV949,dNULL)</f>
        <v>-99</v>
      </c>
      <c r="BG949">
        <f ca="1">IF(AND($AT949&lt;3,OFFSET(DATA!$C$14,$AS949,0)=BG$6),$AV949,dNULL)</f>
        <v>-99</v>
      </c>
      <c r="BH949">
        <f ca="1">IF(AND($AT949&lt;3,OFFSET(DATA!$C$14,$AS949,0)=BH$6),$AV949,dNULL)</f>
        <v>-99</v>
      </c>
    </row>
    <row r="950" spans="45:60" x14ac:dyDescent="0.25">
      <c r="AS950">
        <f t="shared" si="144"/>
        <v>44</v>
      </c>
      <c r="AT950">
        <f t="shared" si="145"/>
        <v>10</v>
      </c>
      <c r="AU950">
        <f t="shared" ca="1" si="146"/>
        <v>-99</v>
      </c>
      <c r="AV950">
        <f t="shared" ca="1" si="147"/>
        <v>-99</v>
      </c>
      <c r="AW950">
        <f ca="1">IF(AND($AT950&lt;3,OFFSET(DATA!$C$14,$AS950,0)=AW$6),$AV950,dNULL)</f>
        <v>-99</v>
      </c>
      <c r="AX950">
        <f ca="1">IF(AND($AT950&lt;3,OFFSET(DATA!$C$14,$AS950,0)=AX$6),$AV950,dNULL)</f>
        <v>-99</v>
      </c>
      <c r="AY950">
        <f ca="1">IF(AND($AT950&lt;3,OFFSET(DATA!$C$14,$AS950,0)=AY$6),$AV950,dNULL)</f>
        <v>-99</v>
      </c>
      <c r="AZ950">
        <f ca="1">IF(AND($AT950&lt;3,OFFSET(DATA!$C$14,$AS950,0)=AZ$6),$AV950,dNULL)</f>
        <v>-99</v>
      </c>
      <c r="BA950">
        <f ca="1">IF(AND($AT950&lt;3,OFFSET(DATA!$C$14,$AS950,0)=BA$6),$AV950,dNULL)</f>
        <v>-99</v>
      </c>
      <c r="BB950">
        <f ca="1">IF(AND($AT950&lt;3,OFFSET(DATA!$C$14,$AS950,0)=BB$6),$AV950,dNULL)</f>
        <v>-99</v>
      </c>
      <c r="BC950">
        <f ca="1">IF(AND($AT950&lt;3,OFFSET(DATA!$C$14,$AS950,0)=BC$6),$AV950,dNULL)</f>
        <v>-99</v>
      </c>
      <c r="BD950">
        <f ca="1">IF(AND($AT950&lt;3,OFFSET(DATA!$C$14,$AS950,0)=BD$6),$AV950,dNULL)</f>
        <v>-99</v>
      </c>
      <c r="BE950">
        <f ca="1">IF(AND($AT950&lt;3,OFFSET(DATA!$C$14,$AS950,0)=BE$6),$AV950,dNULL)</f>
        <v>-99</v>
      </c>
      <c r="BF950">
        <f ca="1">IF(AND($AT950&lt;3,OFFSET(DATA!$C$14,$AS950,0)=BF$6),$AV950,dNULL)</f>
        <v>-99</v>
      </c>
      <c r="BG950">
        <f ca="1">IF(AND($AT950&lt;3,OFFSET(DATA!$C$14,$AS950,0)=BG$6),$AV950,dNULL)</f>
        <v>-99</v>
      </c>
      <c r="BH950">
        <f ca="1">IF(AND($AT950&lt;3,OFFSET(DATA!$C$14,$AS950,0)=BH$6),$AV950,dNULL)</f>
        <v>-99</v>
      </c>
    </row>
    <row r="951" spans="45:60" x14ac:dyDescent="0.25">
      <c r="AS951">
        <f t="shared" si="144"/>
        <v>45</v>
      </c>
      <c r="AT951">
        <f t="shared" si="145"/>
        <v>10</v>
      </c>
      <c r="AU951">
        <f t="shared" ca="1" si="146"/>
        <v>-99</v>
      </c>
      <c r="AV951">
        <f t="shared" ca="1" si="147"/>
        <v>-99</v>
      </c>
      <c r="AW951">
        <f ca="1">IF(AND($AT951&lt;3,OFFSET(DATA!$C$14,$AS951,0)=AW$6),$AV951,dNULL)</f>
        <v>-99</v>
      </c>
      <c r="AX951">
        <f ca="1">IF(AND($AT951&lt;3,OFFSET(DATA!$C$14,$AS951,0)=AX$6),$AV951,dNULL)</f>
        <v>-99</v>
      </c>
      <c r="AY951">
        <f ca="1">IF(AND($AT951&lt;3,OFFSET(DATA!$C$14,$AS951,0)=AY$6),$AV951,dNULL)</f>
        <v>-99</v>
      </c>
      <c r="AZ951">
        <f ca="1">IF(AND($AT951&lt;3,OFFSET(DATA!$C$14,$AS951,0)=AZ$6),$AV951,dNULL)</f>
        <v>-99</v>
      </c>
      <c r="BA951">
        <f ca="1">IF(AND($AT951&lt;3,OFFSET(DATA!$C$14,$AS951,0)=BA$6),$AV951,dNULL)</f>
        <v>-99</v>
      </c>
      <c r="BB951">
        <f ca="1">IF(AND($AT951&lt;3,OFFSET(DATA!$C$14,$AS951,0)=BB$6),$AV951,dNULL)</f>
        <v>-99</v>
      </c>
      <c r="BC951">
        <f ca="1">IF(AND($AT951&lt;3,OFFSET(DATA!$C$14,$AS951,0)=BC$6),$AV951,dNULL)</f>
        <v>-99</v>
      </c>
      <c r="BD951">
        <f ca="1">IF(AND($AT951&lt;3,OFFSET(DATA!$C$14,$AS951,0)=BD$6),$AV951,dNULL)</f>
        <v>-99</v>
      </c>
      <c r="BE951">
        <f ca="1">IF(AND($AT951&lt;3,OFFSET(DATA!$C$14,$AS951,0)=BE$6),$AV951,dNULL)</f>
        <v>-99</v>
      </c>
      <c r="BF951">
        <f ca="1">IF(AND($AT951&lt;3,OFFSET(DATA!$C$14,$AS951,0)=BF$6),$AV951,dNULL)</f>
        <v>-99</v>
      </c>
      <c r="BG951">
        <f ca="1">IF(AND($AT951&lt;3,OFFSET(DATA!$C$14,$AS951,0)=BG$6),$AV951,dNULL)</f>
        <v>-99</v>
      </c>
      <c r="BH951">
        <f ca="1">IF(AND($AT951&lt;3,OFFSET(DATA!$C$14,$AS951,0)=BH$6),$AV951,dNULL)</f>
        <v>-99</v>
      </c>
    </row>
    <row r="952" spans="45:60" x14ac:dyDescent="0.25">
      <c r="AS952">
        <f t="shared" si="144"/>
        <v>46</v>
      </c>
      <c r="AT952">
        <f t="shared" si="145"/>
        <v>10</v>
      </c>
      <c r="AU952">
        <f t="shared" ca="1" si="146"/>
        <v>-99</v>
      </c>
      <c r="AV952">
        <f t="shared" ca="1" si="147"/>
        <v>-99</v>
      </c>
      <c r="AW952">
        <f ca="1">IF(AND($AT952&lt;3,OFFSET(DATA!$C$14,$AS952,0)=AW$6),$AV952,dNULL)</f>
        <v>-99</v>
      </c>
      <c r="AX952">
        <f ca="1">IF(AND($AT952&lt;3,OFFSET(DATA!$C$14,$AS952,0)=AX$6),$AV952,dNULL)</f>
        <v>-99</v>
      </c>
      <c r="AY952">
        <f ca="1">IF(AND($AT952&lt;3,OFFSET(DATA!$C$14,$AS952,0)=AY$6),$AV952,dNULL)</f>
        <v>-99</v>
      </c>
      <c r="AZ952">
        <f ca="1">IF(AND($AT952&lt;3,OFFSET(DATA!$C$14,$AS952,0)=AZ$6),$AV952,dNULL)</f>
        <v>-99</v>
      </c>
      <c r="BA952">
        <f ca="1">IF(AND($AT952&lt;3,OFFSET(DATA!$C$14,$AS952,0)=BA$6),$AV952,dNULL)</f>
        <v>-99</v>
      </c>
      <c r="BB952">
        <f ca="1">IF(AND($AT952&lt;3,OFFSET(DATA!$C$14,$AS952,0)=BB$6),$AV952,dNULL)</f>
        <v>-99</v>
      </c>
      <c r="BC952">
        <f ca="1">IF(AND($AT952&lt;3,OFFSET(DATA!$C$14,$AS952,0)=BC$6),$AV952,dNULL)</f>
        <v>-99</v>
      </c>
      <c r="BD952">
        <f ca="1">IF(AND($AT952&lt;3,OFFSET(DATA!$C$14,$AS952,0)=BD$6),$AV952,dNULL)</f>
        <v>-99</v>
      </c>
      <c r="BE952">
        <f ca="1">IF(AND($AT952&lt;3,OFFSET(DATA!$C$14,$AS952,0)=BE$6),$AV952,dNULL)</f>
        <v>-99</v>
      </c>
      <c r="BF952">
        <f ca="1">IF(AND($AT952&lt;3,OFFSET(DATA!$C$14,$AS952,0)=BF$6),$AV952,dNULL)</f>
        <v>-99</v>
      </c>
      <c r="BG952">
        <f ca="1">IF(AND($AT952&lt;3,OFFSET(DATA!$C$14,$AS952,0)=BG$6),$AV952,dNULL)</f>
        <v>-99</v>
      </c>
      <c r="BH952">
        <f ca="1">IF(AND($AT952&lt;3,OFFSET(DATA!$C$14,$AS952,0)=BH$6),$AV952,dNULL)</f>
        <v>-99</v>
      </c>
    </row>
    <row r="953" spans="45:60" x14ac:dyDescent="0.25">
      <c r="AS953">
        <f t="shared" si="144"/>
        <v>47</v>
      </c>
      <c r="AT953">
        <f t="shared" si="145"/>
        <v>10</v>
      </c>
      <c r="AU953">
        <f t="shared" ca="1" si="146"/>
        <v>-99</v>
      </c>
      <c r="AV953">
        <f t="shared" ca="1" si="147"/>
        <v>-99</v>
      </c>
      <c r="AW953">
        <f ca="1">IF(AND($AT953&lt;3,OFFSET(DATA!$C$14,$AS953,0)=AW$6),$AV953,dNULL)</f>
        <v>-99</v>
      </c>
      <c r="AX953">
        <f ca="1">IF(AND($AT953&lt;3,OFFSET(DATA!$C$14,$AS953,0)=AX$6),$AV953,dNULL)</f>
        <v>-99</v>
      </c>
      <c r="AY953">
        <f ca="1">IF(AND($AT953&lt;3,OFFSET(DATA!$C$14,$AS953,0)=AY$6),$AV953,dNULL)</f>
        <v>-99</v>
      </c>
      <c r="AZ953">
        <f ca="1">IF(AND($AT953&lt;3,OFFSET(DATA!$C$14,$AS953,0)=AZ$6),$AV953,dNULL)</f>
        <v>-99</v>
      </c>
      <c r="BA953">
        <f ca="1">IF(AND($AT953&lt;3,OFFSET(DATA!$C$14,$AS953,0)=BA$6),$AV953,dNULL)</f>
        <v>-99</v>
      </c>
      <c r="BB953">
        <f ca="1">IF(AND($AT953&lt;3,OFFSET(DATA!$C$14,$AS953,0)=BB$6),$AV953,dNULL)</f>
        <v>-99</v>
      </c>
      <c r="BC953">
        <f ca="1">IF(AND($AT953&lt;3,OFFSET(DATA!$C$14,$AS953,0)=BC$6),$AV953,dNULL)</f>
        <v>-99</v>
      </c>
      <c r="BD953">
        <f ca="1">IF(AND($AT953&lt;3,OFFSET(DATA!$C$14,$AS953,0)=BD$6),$AV953,dNULL)</f>
        <v>-99</v>
      </c>
      <c r="BE953">
        <f ca="1">IF(AND($AT953&lt;3,OFFSET(DATA!$C$14,$AS953,0)=BE$6),$AV953,dNULL)</f>
        <v>-99</v>
      </c>
      <c r="BF953">
        <f ca="1">IF(AND($AT953&lt;3,OFFSET(DATA!$C$14,$AS953,0)=BF$6),$AV953,dNULL)</f>
        <v>-99</v>
      </c>
      <c r="BG953">
        <f ca="1">IF(AND($AT953&lt;3,OFFSET(DATA!$C$14,$AS953,0)=BG$6),$AV953,dNULL)</f>
        <v>-99</v>
      </c>
      <c r="BH953">
        <f ca="1">IF(AND($AT953&lt;3,OFFSET(DATA!$C$14,$AS953,0)=BH$6),$AV953,dNULL)</f>
        <v>-99</v>
      </c>
    </row>
    <row r="954" spans="45:60" x14ac:dyDescent="0.25">
      <c r="AS954">
        <f t="shared" si="144"/>
        <v>48</v>
      </c>
      <c r="AT954">
        <f t="shared" si="145"/>
        <v>10</v>
      </c>
      <c r="AU954">
        <f t="shared" ca="1" si="146"/>
        <v>-99</v>
      </c>
      <c r="AV954">
        <f t="shared" ca="1" si="147"/>
        <v>-99</v>
      </c>
      <c r="AW954">
        <f ca="1">IF(AND($AT954&lt;3,OFFSET(DATA!$C$14,$AS954,0)=AW$6),$AV954,dNULL)</f>
        <v>-99</v>
      </c>
      <c r="AX954">
        <f ca="1">IF(AND($AT954&lt;3,OFFSET(DATA!$C$14,$AS954,0)=AX$6),$AV954,dNULL)</f>
        <v>-99</v>
      </c>
      <c r="AY954">
        <f ca="1">IF(AND($AT954&lt;3,OFFSET(DATA!$C$14,$AS954,0)=AY$6),$AV954,dNULL)</f>
        <v>-99</v>
      </c>
      <c r="AZ954">
        <f ca="1">IF(AND($AT954&lt;3,OFFSET(DATA!$C$14,$AS954,0)=AZ$6),$AV954,dNULL)</f>
        <v>-99</v>
      </c>
      <c r="BA954">
        <f ca="1">IF(AND($AT954&lt;3,OFFSET(DATA!$C$14,$AS954,0)=BA$6),$AV954,dNULL)</f>
        <v>-99</v>
      </c>
      <c r="BB954">
        <f ca="1">IF(AND($AT954&lt;3,OFFSET(DATA!$C$14,$AS954,0)=BB$6),$AV954,dNULL)</f>
        <v>-99</v>
      </c>
      <c r="BC954">
        <f ca="1">IF(AND($AT954&lt;3,OFFSET(DATA!$C$14,$AS954,0)=BC$6),$AV954,dNULL)</f>
        <v>-99</v>
      </c>
      <c r="BD954">
        <f ca="1">IF(AND($AT954&lt;3,OFFSET(DATA!$C$14,$AS954,0)=BD$6),$AV954,dNULL)</f>
        <v>-99</v>
      </c>
      <c r="BE954">
        <f ca="1">IF(AND($AT954&lt;3,OFFSET(DATA!$C$14,$AS954,0)=BE$6),$AV954,dNULL)</f>
        <v>-99</v>
      </c>
      <c r="BF954">
        <f ca="1">IF(AND($AT954&lt;3,OFFSET(DATA!$C$14,$AS954,0)=BF$6),$AV954,dNULL)</f>
        <v>-99</v>
      </c>
      <c r="BG954">
        <f ca="1">IF(AND($AT954&lt;3,OFFSET(DATA!$C$14,$AS954,0)=BG$6),$AV954,dNULL)</f>
        <v>-99</v>
      </c>
      <c r="BH954">
        <f ca="1">IF(AND($AT954&lt;3,OFFSET(DATA!$C$14,$AS954,0)=BH$6),$AV954,dNULL)</f>
        <v>-99</v>
      </c>
    </row>
    <row r="955" spans="45:60" x14ac:dyDescent="0.25">
      <c r="AS955">
        <f t="shared" si="144"/>
        <v>49</v>
      </c>
      <c r="AT955">
        <f t="shared" si="145"/>
        <v>10</v>
      </c>
      <c r="AU955">
        <f t="shared" ca="1" si="146"/>
        <v>-99</v>
      </c>
      <c r="AV955">
        <f t="shared" ca="1" si="147"/>
        <v>-99</v>
      </c>
      <c r="AW955">
        <f ca="1">IF(AND($AT955&lt;3,OFFSET(DATA!$C$14,$AS955,0)=AW$6),$AV955,dNULL)</f>
        <v>-99</v>
      </c>
      <c r="AX955">
        <f ca="1">IF(AND($AT955&lt;3,OFFSET(DATA!$C$14,$AS955,0)=AX$6),$AV955,dNULL)</f>
        <v>-99</v>
      </c>
      <c r="AY955">
        <f ca="1">IF(AND($AT955&lt;3,OFFSET(DATA!$C$14,$AS955,0)=AY$6),$AV955,dNULL)</f>
        <v>-99</v>
      </c>
      <c r="AZ955">
        <f ca="1">IF(AND($AT955&lt;3,OFFSET(DATA!$C$14,$AS955,0)=AZ$6),$AV955,dNULL)</f>
        <v>-99</v>
      </c>
      <c r="BA955">
        <f ca="1">IF(AND($AT955&lt;3,OFFSET(DATA!$C$14,$AS955,0)=BA$6),$AV955,dNULL)</f>
        <v>-99</v>
      </c>
      <c r="BB955">
        <f ca="1">IF(AND($AT955&lt;3,OFFSET(DATA!$C$14,$AS955,0)=BB$6),$AV955,dNULL)</f>
        <v>-99</v>
      </c>
      <c r="BC955">
        <f ca="1">IF(AND($AT955&lt;3,OFFSET(DATA!$C$14,$AS955,0)=BC$6),$AV955,dNULL)</f>
        <v>-99</v>
      </c>
      <c r="BD955">
        <f ca="1">IF(AND($AT955&lt;3,OFFSET(DATA!$C$14,$AS955,0)=BD$6),$AV955,dNULL)</f>
        <v>-99</v>
      </c>
      <c r="BE955">
        <f ca="1">IF(AND($AT955&lt;3,OFFSET(DATA!$C$14,$AS955,0)=BE$6),$AV955,dNULL)</f>
        <v>-99</v>
      </c>
      <c r="BF955">
        <f ca="1">IF(AND($AT955&lt;3,OFFSET(DATA!$C$14,$AS955,0)=BF$6),$AV955,dNULL)</f>
        <v>-99</v>
      </c>
      <c r="BG955">
        <f ca="1">IF(AND($AT955&lt;3,OFFSET(DATA!$C$14,$AS955,0)=BG$6),$AV955,dNULL)</f>
        <v>-99</v>
      </c>
      <c r="BH955">
        <f ca="1">IF(AND($AT955&lt;3,OFFSET(DATA!$C$14,$AS955,0)=BH$6),$AV955,dNULL)</f>
        <v>-99</v>
      </c>
    </row>
    <row r="956" spans="45:60" x14ac:dyDescent="0.25">
      <c r="AS956">
        <f t="shared" si="144"/>
        <v>50</v>
      </c>
      <c r="AT956">
        <f t="shared" si="145"/>
        <v>10</v>
      </c>
      <c r="AU956">
        <f t="shared" ca="1" si="146"/>
        <v>-99</v>
      </c>
      <c r="AV956">
        <f t="shared" ca="1" si="147"/>
        <v>-99</v>
      </c>
      <c r="AW956">
        <f ca="1">IF(AND($AT956&lt;3,OFFSET(DATA!$C$14,$AS956,0)=AW$6),$AV956,dNULL)</f>
        <v>-99</v>
      </c>
      <c r="AX956">
        <f ca="1">IF(AND($AT956&lt;3,OFFSET(DATA!$C$14,$AS956,0)=AX$6),$AV956,dNULL)</f>
        <v>-99</v>
      </c>
      <c r="AY956">
        <f ca="1">IF(AND($AT956&lt;3,OFFSET(DATA!$C$14,$AS956,0)=AY$6),$AV956,dNULL)</f>
        <v>-99</v>
      </c>
      <c r="AZ956">
        <f ca="1">IF(AND($AT956&lt;3,OFFSET(DATA!$C$14,$AS956,0)=AZ$6),$AV956,dNULL)</f>
        <v>-99</v>
      </c>
      <c r="BA956">
        <f ca="1">IF(AND($AT956&lt;3,OFFSET(DATA!$C$14,$AS956,0)=BA$6),$AV956,dNULL)</f>
        <v>-99</v>
      </c>
      <c r="BB956">
        <f ca="1">IF(AND($AT956&lt;3,OFFSET(DATA!$C$14,$AS956,0)=BB$6),$AV956,dNULL)</f>
        <v>-99</v>
      </c>
      <c r="BC956">
        <f ca="1">IF(AND($AT956&lt;3,OFFSET(DATA!$C$14,$AS956,0)=BC$6),$AV956,dNULL)</f>
        <v>-99</v>
      </c>
      <c r="BD956">
        <f ca="1">IF(AND($AT956&lt;3,OFFSET(DATA!$C$14,$AS956,0)=BD$6),$AV956,dNULL)</f>
        <v>-99</v>
      </c>
      <c r="BE956">
        <f ca="1">IF(AND($AT956&lt;3,OFFSET(DATA!$C$14,$AS956,0)=BE$6),$AV956,dNULL)</f>
        <v>-99</v>
      </c>
      <c r="BF956">
        <f ca="1">IF(AND($AT956&lt;3,OFFSET(DATA!$C$14,$AS956,0)=BF$6),$AV956,dNULL)</f>
        <v>-99</v>
      </c>
      <c r="BG956">
        <f ca="1">IF(AND($AT956&lt;3,OFFSET(DATA!$C$14,$AS956,0)=BG$6),$AV956,dNULL)</f>
        <v>-99</v>
      </c>
      <c r="BH956">
        <f ca="1">IF(AND($AT956&lt;3,OFFSET(DATA!$C$14,$AS956,0)=BH$6),$AV956,dNULL)</f>
        <v>-99</v>
      </c>
    </row>
    <row r="957" spans="45:60" x14ac:dyDescent="0.25">
      <c r="AS957">
        <f t="shared" si="144"/>
        <v>51</v>
      </c>
      <c r="AT957">
        <f t="shared" si="145"/>
        <v>10</v>
      </c>
      <c r="AU957">
        <f t="shared" ca="1" si="146"/>
        <v>-99</v>
      </c>
      <c r="AV957">
        <f t="shared" ca="1" si="147"/>
        <v>-99</v>
      </c>
      <c r="AW957">
        <f ca="1">IF(AND($AT957&lt;3,OFFSET(DATA!$C$14,$AS957,0)=AW$6),$AV957,dNULL)</f>
        <v>-99</v>
      </c>
      <c r="AX957">
        <f ca="1">IF(AND($AT957&lt;3,OFFSET(DATA!$C$14,$AS957,0)=AX$6),$AV957,dNULL)</f>
        <v>-99</v>
      </c>
      <c r="AY957">
        <f ca="1">IF(AND($AT957&lt;3,OFFSET(DATA!$C$14,$AS957,0)=AY$6),$AV957,dNULL)</f>
        <v>-99</v>
      </c>
      <c r="AZ957">
        <f ca="1">IF(AND($AT957&lt;3,OFFSET(DATA!$C$14,$AS957,0)=AZ$6),$AV957,dNULL)</f>
        <v>-99</v>
      </c>
      <c r="BA957">
        <f ca="1">IF(AND($AT957&lt;3,OFFSET(DATA!$C$14,$AS957,0)=BA$6),$AV957,dNULL)</f>
        <v>-99</v>
      </c>
      <c r="BB957">
        <f ca="1">IF(AND($AT957&lt;3,OFFSET(DATA!$C$14,$AS957,0)=BB$6),$AV957,dNULL)</f>
        <v>-99</v>
      </c>
      <c r="BC957">
        <f ca="1">IF(AND($AT957&lt;3,OFFSET(DATA!$C$14,$AS957,0)=BC$6),$AV957,dNULL)</f>
        <v>-99</v>
      </c>
      <c r="BD957">
        <f ca="1">IF(AND($AT957&lt;3,OFFSET(DATA!$C$14,$AS957,0)=BD$6),$AV957,dNULL)</f>
        <v>-99</v>
      </c>
      <c r="BE957">
        <f ca="1">IF(AND($AT957&lt;3,OFFSET(DATA!$C$14,$AS957,0)=BE$6),$AV957,dNULL)</f>
        <v>-99</v>
      </c>
      <c r="BF957">
        <f ca="1">IF(AND($AT957&lt;3,OFFSET(DATA!$C$14,$AS957,0)=BF$6),$AV957,dNULL)</f>
        <v>-99</v>
      </c>
      <c r="BG957">
        <f ca="1">IF(AND($AT957&lt;3,OFFSET(DATA!$C$14,$AS957,0)=BG$6),$AV957,dNULL)</f>
        <v>-99</v>
      </c>
      <c r="BH957">
        <f ca="1">IF(AND($AT957&lt;3,OFFSET(DATA!$C$14,$AS957,0)=BH$6),$AV957,dNULL)</f>
        <v>-99</v>
      </c>
    </row>
    <row r="958" spans="45:60" x14ac:dyDescent="0.25">
      <c r="AS958">
        <f t="shared" si="144"/>
        <v>52</v>
      </c>
      <c r="AT958">
        <f t="shared" si="145"/>
        <v>10</v>
      </c>
      <c r="AU958">
        <f t="shared" ca="1" si="146"/>
        <v>-99</v>
      </c>
      <c r="AV958">
        <f t="shared" ca="1" si="147"/>
        <v>-99</v>
      </c>
      <c r="AW958">
        <f ca="1">IF(AND($AT958&lt;3,OFFSET(DATA!$C$14,$AS958,0)=AW$6),$AV958,dNULL)</f>
        <v>-99</v>
      </c>
      <c r="AX958">
        <f ca="1">IF(AND($AT958&lt;3,OFFSET(DATA!$C$14,$AS958,0)=AX$6),$AV958,dNULL)</f>
        <v>-99</v>
      </c>
      <c r="AY958">
        <f ca="1">IF(AND($AT958&lt;3,OFFSET(DATA!$C$14,$AS958,0)=AY$6),$AV958,dNULL)</f>
        <v>-99</v>
      </c>
      <c r="AZ958">
        <f ca="1">IF(AND($AT958&lt;3,OFFSET(DATA!$C$14,$AS958,0)=AZ$6),$AV958,dNULL)</f>
        <v>-99</v>
      </c>
      <c r="BA958">
        <f ca="1">IF(AND($AT958&lt;3,OFFSET(DATA!$C$14,$AS958,0)=BA$6),$AV958,dNULL)</f>
        <v>-99</v>
      </c>
      <c r="BB958">
        <f ca="1">IF(AND($AT958&lt;3,OFFSET(DATA!$C$14,$AS958,0)=BB$6),$AV958,dNULL)</f>
        <v>-99</v>
      </c>
      <c r="BC958">
        <f ca="1">IF(AND($AT958&lt;3,OFFSET(DATA!$C$14,$AS958,0)=BC$6),$AV958,dNULL)</f>
        <v>-99</v>
      </c>
      <c r="BD958">
        <f ca="1">IF(AND($AT958&lt;3,OFFSET(DATA!$C$14,$AS958,0)=BD$6),$AV958,dNULL)</f>
        <v>-99</v>
      </c>
      <c r="BE958">
        <f ca="1">IF(AND($AT958&lt;3,OFFSET(DATA!$C$14,$AS958,0)=BE$6),$AV958,dNULL)</f>
        <v>-99</v>
      </c>
      <c r="BF958">
        <f ca="1">IF(AND($AT958&lt;3,OFFSET(DATA!$C$14,$AS958,0)=BF$6),$AV958,dNULL)</f>
        <v>-99</v>
      </c>
      <c r="BG958">
        <f ca="1">IF(AND($AT958&lt;3,OFFSET(DATA!$C$14,$AS958,0)=BG$6),$AV958,dNULL)</f>
        <v>-99</v>
      </c>
      <c r="BH958">
        <f ca="1">IF(AND($AT958&lt;3,OFFSET(DATA!$C$14,$AS958,0)=BH$6),$AV958,dNULL)</f>
        <v>-99</v>
      </c>
    </row>
    <row r="959" spans="45:60" x14ac:dyDescent="0.25">
      <c r="AS959">
        <f t="shared" si="144"/>
        <v>53</v>
      </c>
      <c r="AT959">
        <f t="shared" si="145"/>
        <v>10</v>
      </c>
      <c r="AU959">
        <f t="shared" ca="1" si="146"/>
        <v>-99</v>
      </c>
      <c r="AV959">
        <f t="shared" ca="1" si="147"/>
        <v>-99</v>
      </c>
      <c r="AW959">
        <f ca="1">IF(AND($AT959&lt;3,OFFSET(DATA!$C$14,$AS959,0)=AW$6),$AV959,dNULL)</f>
        <v>-99</v>
      </c>
      <c r="AX959">
        <f ca="1">IF(AND($AT959&lt;3,OFFSET(DATA!$C$14,$AS959,0)=AX$6),$AV959,dNULL)</f>
        <v>-99</v>
      </c>
      <c r="AY959">
        <f ca="1">IF(AND($AT959&lt;3,OFFSET(DATA!$C$14,$AS959,0)=AY$6),$AV959,dNULL)</f>
        <v>-99</v>
      </c>
      <c r="AZ959">
        <f ca="1">IF(AND($AT959&lt;3,OFFSET(DATA!$C$14,$AS959,0)=AZ$6),$AV959,dNULL)</f>
        <v>-99</v>
      </c>
      <c r="BA959">
        <f ca="1">IF(AND($AT959&lt;3,OFFSET(DATA!$C$14,$AS959,0)=BA$6),$AV959,dNULL)</f>
        <v>-99</v>
      </c>
      <c r="BB959">
        <f ca="1">IF(AND($AT959&lt;3,OFFSET(DATA!$C$14,$AS959,0)=BB$6),$AV959,dNULL)</f>
        <v>-99</v>
      </c>
      <c r="BC959">
        <f ca="1">IF(AND($AT959&lt;3,OFFSET(DATA!$C$14,$AS959,0)=BC$6),$AV959,dNULL)</f>
        <v>-99</v>
      </c>
      <c r="BD959">
        <f ca="1">IF(AND($AT959&lt;3,OFFSET(DATA!$C$14,$AS959,0)=BD$6),$AV959,dNULL)</f>
        <v>-99</v>
      </c>
      <c r="BE959">
        <f ca="1">IF(AND($AT959&lt;3,OFFSET(DATA!$C$14,$AS959,0)=BE$6),$AV959,dNULL)</f>
        <v>-99</v>
      </c>
      <c r="BF959">
        <f ca="1">IF(AND($AT959&lt;3,OFFSET(DATA!$C$14,$AS959,0)=BF$6),$AV959,dNULL)</f>
        <v>-99</v>
      </c>
      <c r="BG959">
        <f ca="1">IF(AND($AT959&lt;3,OFFSET(DATA!$C$14,$AS959,0)=BG$6),$AV959,dNULL)</f>
        <v>-99</v>
      </c>
      <c r="BH959">
        <f ca="1">IF(AND($AT959&lt;3,OFFSET(DATA!$C$14,$AS959,0)=BH$6),$AV959,dNULL)</f>
        <v>-99</v>
      </c>
    </row>
    <row r="960" spans="45:60" x14ac:dyDescent="0.25">
      <c r="AS960">
        <f t="shared" si="144"/>
        <v>54</v>
      </c>
      <c r="AT960">
        <f t="shared" si="145"/>
        <v>10</v>
      </c>
      <c r="AU960">
        <f t="shared" ca="1" si="146"/>
        <v>-99</v>
      </c>
      <c r="AV960">
        <f t="shared" ca="1" si="147"/>
        <v>-99</v>
      </c>
      <c r="AW960">
        <f ca="1">IF(AND($AT960&lt;3,OFFSET(DATA!$C$14,$AS960,0)=AW$6),$AV960,dNULL)</f>
        <v>-99</v>
      </c>
      <c r="AX960">
        <f ca="1">IF(AND($AT960&lt;3,OFFSET(DATA!$C$14,$AS960,0)=AX$6),$AV960,dNULL)</f>
        <v>-99</v>
      </c>
      <c r="AY960">
        <f ca="1">IF(AND($AT960&lt;3,OFFSET(DATA!$C$14,$AS960,0)=AY$6),$AV960,dNULL)</f>
        <v>-99</v>
      </c>
      <c r="AZ960">
        <f ca="1">IF(AND($AT960&lt;3,OFFSET(DATA!$C$14,$AS960,0)=AZ$6),$AV960,dNULL)</f>
        <v>-99</v>
      </c>
      <c r="BA960">
        <f ca="1">IF(AND($AT960&lt;3,OFFSET(DATA!$C$14,$AS960,0)=BA$6),$AV960,dNULL)</f>
        <v>-99</v>
      </c>
      <c r="BB960">
        <f ca="1">IF(AND($AT960&lt;3,OFFSET(DATA!$C$14,$AS960,0)=BB$6),$AV960,dNULL)</f>
        <v>-99</v>
      </c>
      <c r="BC960">
        <f ca="1">IF(AND($AT960&lt;3,OFFSET(DATA!$C$14,$AS960,0)=BC$6),$AV960,dNULL)</f>
        <v>-99</v>
      </c>
      <c r="BD960">
        <f ca="1">IF(AND($AT960&lt;3,OFFSET(DATA!$C$14,$AS960,0)=BD$6),$AV960,dNULL)</f>
        <v>-99</v>
      </c>
      <c r="BE960">
        <f ca="1">IF(AND($AT960&lt;3,OFFSET(DATA!$C$14,$AS960,0)=BE$6),$AV960,dNULL)</f>
        <v>-99</v>
      </c>
      <c r="BF960">
        <f ca="1">IF(AND($AT960&lt;3,OFFSET(DATA!$C$14,$AS960,0)=BF$6),$AV960,dNULL)</f>
        <v>-99</v>
      </c>
      <c r="BG960">
        <f ca="1">IF(AND($AT960&lt;3,OFFSET(DATA!$C$14,$AS960,0)=BG$6),$AV960,dNULL)</f>
        <v>-99</v>
      </c>
      <c r="BH960">
        <f ca="1">IF(AND($AT960&lt;3,OFFSET(DATA!$C$14,$AS960,0)=BH$6),$AV960,dNULL)</f>
        <v>-99</v>
      </c>
    </row>
    <row r="961" spans="45:60" x14ac:dyDescent="0.25">
      <c r="AS961">
        <f t="shared" si="144"/>
        <v>55</v>
      </c>
      <c r="AT961">
        <f t="shared" si="145"/>
        <v>10</v>
      </c>
      <c r="AU961">
        <f t="shared" ca="1" si="146"/>
        <v>-99</v>
      </c>
      <c r="AV961">
        <f t="shared" ca="1" si="147"/>
        <v>-99</v>
      </c>
      <c r="AW961">
        <f ca="1">IF(AND($AT961&lt;3,OFFSET(DATA!$C$14,$AS961,0)=AW$6),$AV961,dNULL)</f>
        <v>-99</v>
      </c>
      <c r="AX961">
        <f ca="1">IF(AND($AT961&lt;3,OFFSET(DATA!$C$14,$AS961,0)=AX$6),$AV961,dNULL)</f>
        <v>-99</v>
      </c>
      <c r="AY961">
        <f ca="1">IF(AND($AT961&lt;3,OFFSET(DATA!$C$14,$AS961,0)=AY$6),$AV961,dNULL)</f>
        <v>-99</v>
      </c>
      <c r="AZ961">
        <f ca="1">IF(AND($AT961&lt;3,OFFSET(DATA!$C$14,$AS961,0)=AZ$6),$AV961,dNULL)</f>
        <v>-99</v>
      </c>
      <c r="BA961">
        <f ca="1">IF(AND($AT961&lt;3,OFFSET(DATA!$C$14,$AS961,0)=BA$6),$AV961,dNULL)</f>
        <v>-99</v>
      </c>
      <c r="BB961">
        <f ca="1">IF(AND($AT961&lt;3,OFFSET(DATA!$C$14,$AS961,0)=BB$6),$AV961,dNULL)</f>
        <v>-99</v>
      </c>
      <c r="BC961">
        <f ca="1">IF(AND($AT961&lt;3,OFFSET(DATA!$C$14,$AS961,0)=BC$6),$AV961,dNULL)</f>
        <v>-99</v>
      </c>
      <c r="BD961">
        <f ca="1">IF(AND($AT961&lt;3,OFFSET(DATA!$C$14,$AS961,0)=BD$6),$AV961,dNULL)</f>
        <v>-99</v>
      </c>
      <c r="BE961">
        <f ca="1">IF(AND($AT961&lt;3,OFFSET(DATA!$C$14,$AS961,0)=BE$6),$AV961,dNULL)</f>
        <v>-99</v>
      </c>
      <c r="BF961">
        <f ca="1">IF(AND($AT961&lt;3,OFFSET(DATA!$C$14,$AS961,0)=BF$6),$AV961,dNULL)</f>
        <v>-99</v>
      </c>
      <c r="BG961">
        <f ca="1">IF(AND($AT961&lt;3,OFFSET(DATA!$C$14,$AS961,0)=BG$6),$AV961,dNULL)</f>
        <v>-99</v>
      </c>
      <c r="BH961">
        <f ca="1">IF(AND($AT961&lt;3,OFFSET(DATA!$C$14,$AS961,0)=BH$6),$AV961,dNULL)</f>
        <v>-99</v>
      </c>
    </row>
    <row r="962" spans="45:60" x14ac:dyDescent="0.25">
      <c r="AS962">
        <f t="shared" si="144"/>
        <v>56</v>
      </c>
      <c r="AT962">
        <f t="shared" si="145"/>
        <v>10</v>
      </c>
      <c r="AU962">
        <f t="shared" ca="1" si="146"/>
        <v>-99</v>
      </c>
      <c r="AV962">
        <f t="shared" ca="1" si="147"/>
        <v>-99</v>
      </c>
      <c r="AW962">
        <f ca="1">IF(AND($AT962&lt;3,OFFSET(DATA!$C$14,$AS962,0)=AW$6),$AV962,dNULL)</f>
        <v>-99</v>
      </c>
      <c r="AX962">
        <f ca="1">IF(AND($AT962&lt;3,OFFSET(DATA!$C$14,$AS962,0)=AX$6),$AV962,dNULL)</f>
        <v>-99</v>
      </c>
      <c r="AY962">
        <f ca="1">IF(AND($AT962&lt;3,OFFSET(DATA!$C$14,$AS962,0)=AY$6),$AV962,dNULL)</f>
        <v>-99</v>
      </c>
      <c r="AZ962">
        <f ca="1">IF(AND($AT962&lt;3,OFFSET(DATA!$C$14,$AS962,0)=AZ$6),$AV962,dNULL)</f>
        <v>-99</v>
      </c>
      <c r="BA962">
        <f ca="1">IF(AND($AT962&lt;3,OFFSET(DATA!$C$14,$AS962,0)=BA$6),$AV962,dNULL)</f>
        <v>-99</v>
      </c>
      <c r="BB962">
        <f ca="1">IF(AND($AT962&lt;3,OFFSET(DATA!$C$14,$AS962,0)=BB$6),$AV962,dNULL)</f>
        <v>-99</v>
      </c>
      <c r="BC962">
        <f ca="1">IF(AND($AT962&lt;3,OFFSET(DATA!$C$14,$AS962,0)=BC$6),$AV962,dNULL)</f>
        <v>-99</v>
      </c>
      <c r="BD962">
        <f ca="1">IF(AND($AT962&lt;3,OFFSET(DATA!$C$14,$AS962,0)=BD$6),$AV962,dNULL)</f>
        <v>-99</v>
      </c>
      <c r="BE962">
        <f ca="1">IF(AND($AT962&lt;3,OFFSET(DATA!$C$14,$AS962,0)=BE$6),$AV962,dNULL)</f>
        <v>-99</v>
      </c>
      <c r="BF962">
        <f ca="1">IF(AND($AT962&lt;3,OFFSET(DATA!$C$14,$AS962,0)=BF$6),$AV962,dNULL)</f>
        <v>-99</v>
      </c>
      <c r="BG962">
        <f ca="1">IF(AND($AT962&lt;3,OFFSET(DATA!$C$14,$AS962,0)=BG$6),$AV962,dNULL)</f>
        <v>-99</v>
      </c>
      <c r="BH962">
        <f ca="1">IF(AND($AT962&lt;3,OFFSET(DATA!$C$14,$AS962,0)=BH$6),$AV962,dNULL)</f>
        <v>-99</v>
      </c>
    </row>
    <row r="963" spans="45:60" x14ac:dyDescent="0.25">
      <c r="AS963">
        <f t="shared" si="144"/>
        <v>57</v>
      </c>
      <c r="AT963">
        <f t="shared" si="145"/>
        <v>10</v>
      </c>
      <c r="AU963">
        <f t="shared" ca="1" si="146"/>
        <v>-99</v>
      </c>
      <c r="AV963">
        <f t="shared" ca="1" si="147"/>
        <v>-99</v>
      </c>
      <c r="AW963">
        <f ca="1">IF(AND($AT963&lt;3,OFFSET(DATA!$C$14,$AS963,0)=AW$6),$AV963,dNULL)</f>
        <v>-99</v>
      </c>
      <c r="AX963">
        <f ca="1">IF(AND($AT963&lt;3,OFFSET(DATA!$C$14,$AS963,0)=AX$6),$AV963,dNULL)</f>
        <v>-99</v>
      </c>
      <c r="AY963">
        <f ca="1">IF(AND($AT963&lt;3,OFFSET(DATA!$C$14,$AS963,0)=AY$6),$AV963,dNULL)</f>
        <v>-99</v>
      </c>
      <c r="AZ963">
        <f ca="1">IF(AND($AT963&lt;3,OFFSET(DATA!$C$14,$AS963,0)=AZ$6),$AV963,dNULL)</f>
        <v>-99</v>
      </c>
      <c r="BA963">
        <f ca="1">IF(AND($AT963&lt;3,OFFSET(DATA!$C$14,$AS963,0)=BA$6),$AV963,dNULL)</f>
        <v>-99</v>
      </c>
      <c r="BB963">
        <f ca="1">IF(AND($AT963&lt;3,OFFSET(DATA!$C$14,$AS963,0)=BB$6),$AV963,dNULL)</f>
        <v>-99</v>
      </c>
      <c r="BC963">
        <f ca="1">IF(AND($AT963&lt;3,OFFSET(DATA!$C$14,$AS963,0)=BC$6),$AV963,dNULL)</f>
        <v>-99</v>
      </c>
      <c r="BD963">
        <f ca="1">IF(AND($AT963&lt;3,OFFSET(DATA!$C$14,$AS963,0)=BD$6),$AV963,dNULL)</f>
        <v>-99</v>
      </c>
      <c r="BE963">
        <f ca="1">IF(AND($AT963&lt;3,OFFSET(DATA!$C$14,$AS963,0)=BE$6),$AV963,dNULL)</f>
        <v>-99</v>
      </c>
      <c r="BF963">
        <f ca="1">IF(AND($AT963&lt;3,OFFSET(DATA!$C$14,$AS963,0)=BF$6),$AV963,dNULL)</f>
        <v>-99</v>
      </c>
      <c r="BG963">
        <f ca="1">IF(AND($AT963&lt;3,OFFSET(DATA!$C$14,$AS963,0)=BG$6),$AV963,dNULL)</f>
        <v>-99</v>
      </c>
      <c r="BH963">
        <f ca="1">IF(AND($AT963&lt;3,OFFSET(DATA!$C$14,$AS963,0)=BH$6),$AV963,dNULL)</f>
        <v>-99</v>
      </c>
    </row>
    <row r="964" spans="45:60" x14ac:dyDescent="0.25">
      <c r="AS964">
        <f t="shared" si="144"/>
        <v>58</v>
      </c>
      <c r="AT964">
        <f t="shared" si="145"/>
        <v>10</v>
      </c>
      <c r="AU964">
        <f t="shared" ca="1" si="146"/>
        <v>-99</v>
      </c>
      <c r="AV964">
        <f t="shared" ca="1" si="147"/>
        <v>-99</v>
      </c>
      <c r="AW964">
        <f ca="1">IF(AND($AT964&lt;3,OFFSET(DATA!$C$14,$AS964,0)=AW$6),$AV964,dNULL)</f>
        <v>-99</v>
      </c>
      <c r="AX964">
        <f ca="1">IF(AND($AT964&lt;3,OFFSET(DATA!$C$14,$AS964,0)=AX$6),$AV964,dNULL)</f>
        <v>-99</v>
      </c>
      <c r="AY964">
        <f ca="1">IF(AND($AT964&lt;3,OFFSET(DATA!$C$14,$AS964,0)=AY$6),$AV964,dNULL)</f>
        <v>-99</v>
      </c>
      <c r="AZ964">
        <f ca="1">IF(AND($AT964&lt;3,OFFSET(DATA!$C$14,$AS964,0)=AZ$6),$AV964,dNULL)</f>
        <v>-99</v>
      </c>
      <c r="BA964">
        <f ca="1">IF(AND($AT964&lt;3,OFFSET(DATA!$C$14,$AS964,0)=BA$6),$AV964,dNULL)</f>
        <v>-99</v>
      </c>
      <c r="BB964">
        <f ca="1">IF(AND($AT964&lt;3,OFFSET(DATA!$C$14,$AS964,0)=BB$6),$AV964,dNULL)</f>
        <v>-99</v>
      </c>
      <c r="BC964">
        <f ca="1">IF(AND($AT964&lt;3,OFFSET(DATA!$C$14,$AS964,0)=BC$6),$AV964,dNULL)</f>
        <v>-99</v>
      </c>
      <c r="BD964">
        <f ca="1">IF(AND($AT964&lt;3,OFFSET(DATA!$C$14,$AS964,0)=BD$6),$AV964,dNULL)</f>
        <v>-99</v>
      </c>
      <c r="BE964">
        <f ca="1">IF(AND($AT964&lt;3,OFFSET(DATA!$C$14,$AS964,0)=BE$6),$AV964,dNULL)</f>
        <v>-99</v>
      </c>
      <c r="BF964">
        <f ca="1">IF(AND($AT964&lt;3,OFFSET(DATA!$C$14,$AS964,0)=BF$6),$AV964,dNULL)</f>
        <v>-99</v>
      </c>
      <c r="BG964">
        <f ca="1">IF(AND($AT964&lt;3,OFFSET(DATA!$C$14,$AS964,0)=BG$6),$AV964,dNULL)</f>
        <v>-99</v>
      </c>
      <c r="BH964">
        <f ca="1">IF(AND($AT964&lt;3,OFFSET(DATA!$C$14,$AS964,0)=BH$6),$AV964,dNULL)</f>
        <v>-99</v>
      </c>
    </row>
    <row r="965" spans="45:60" x14ac:dyDescent="0.25">
      <c r="AS965">
        <f t="shared" si="144"/>
        <v>59</v>
      </c>
      <c r="AT965">
        <f t="shared" si="145"/>
        <v>10</v>
      </c>
      <c r="AU965">
        <f t="shared" ca="1" si="146"/>
        <v>-99</v>
      </c>
      <c r="AV965">
        <f t="shared" ca="1" si="147"/>
        <v>-99</v>
      </c>
      <c r="AW965">
        <f ca="1">IF(AND($AT965&lt;3,OFFSET(DATA!$C$14,$AS965,0)=AW$6),$AV965,dNULL)</f>
        <v>-99</v>
      </c>
      <c r="AX965">
        <f ca="1">IF(AND($AT965&lt;3,OFFSET(DATA!$C$14,$AS965,0)=AX$6),$AV965,dNULL)</f>
        <v>-99</v>
      </c>
      <c r="AY965">
        <f ca="1">IF(AND($AT965&lt;3,OFFSET(DATA!$C$14,$AS965,0)=AY$6),$AV965,dNULL)</f>
        <v>-99</v>
      </c>
      <c r="AZ965">
        <f ca="1">IF(AND($AT965&lt;3,OFFSET(DATA!$C$14,$AS965,0)=AZ$6),$AV965,dNULL)</f>
        <v>-99</v>
      </c>
      <c r="BA965">
        <f ca="1">IF(AND($AT965&lt;3,OFFSET(DATA!$C$14,$AS965,0)=BA$6),$AV965,dNULL)</f>
        <v>-99</v>
      </c>
      <c r="BB965">
        <f ca="1">IF(AND($AT965&lt;3,OFFSET(DATA!$C$14,$AS965,0)=BB$6),$AV965,dNULL)</f>
        <v>-99</v>
      </c>
      <c r="BC965">
        <f ca="1">IF(AND($AT965&lt;3,OFFSET(DATA!$C$14,$AS965,0)=BC$6),$AV965,dNULL)</f>
        <v>-99</v>
      </c>
      <c r="BD965">
        <f ca="1">IF(AND($AT965&lt;3,OFFSET(DATA!$C$14,$AS965,0)=BD$6),$AV965,dNULL)</f>
        <v>-99</v>
      </c>
      <c r="BE965">
        <f ca="1">IF(AND($AT965&lt;3,OFFSET(DATA!$C$14,$AS965,0)=BE$6),$AV965,dNULL)</f>
        <v>-99</v>
      </c>
      <c r="BF965">
        <f ca="1">IF(AND($AT965&lt;3,OFFSET(DATA!$C$14,$AS965,0)=BF$6),$AV965,dNULL)</f>
        <v>-99</v>
      </c>
      <c r="BG965">
        <f ca="1">IF(AND($AT965&lt;3,OFFSET(DATA!$C$14,$AS965,0)=BG$6),$AV965,dNULL)</f>
        <v>-99</v>
      </c>
      <c r="BH965">
        <f ca="1">IF(AND($AT965&lt;3,OFFSET(DATA!$C$14,$AS965,0)=BH$6),$AV965,dNULL)</f>
        <v>-99</v>
      </c>
    </row>
    <row r="966" spans="45:60" x14ac:dyDescent="0.25">
      <c r="AS966">
        <f t="shared" si="144"/>
        <v>60</v>
      </c>
      <c r="AT966">
        <f t="shared" si="145"/>
        <v>10</v>
      </c>
      <c r="AU966">
        <f t="shared" ca="1" si="146"/>
        <v>-99</v>
      </c>
      <c r="AV966">
        <f t="shared" ca="1" si="147"/>
        <v>-99</v>
      </c>
      <c r="AW966">
        <f ca="1">IF(AND($AT966&lt;3,OFFSET(DATA!$C$14,$AS966,0)=AW$6),$AV966,dNULL)</f>
        <v>-99</v>
      </c>
      <c r="AX966">
        <f ca="1">IF(AND($AT966&lt;3,OFFSET(DATA!$C$14,$AS966,0)=AX$6),$AV966,dNULL)</f>
        <v>-99</v>
      </c>
      <c r="AY966">
        <f ca="1">IF(AND($AT966&lt;3,OFFSET(DATA!$C$14,$AS966,0)=AY$6),$AV966,dNULL)</f>
        <v>-99</v>
      </c>
      <c r="AZ966">
        <f ca="1">IF(AND($AT966&lt;3,OFFSET(DATA!$C$14,$AS966,0)=AZ$6),$AV966,dNULL)</f>
        <v>-99</v>
      </c>
      <c r="BA966">
        <f ca="1">IF(AND($AT966&lt;3,OFFSET(DATA!$C$14,$AS966,0)=BA$6),$AV966,dNULL)</f>
        <v>-99</v>
      </c>
      <c r="BB966">
        <f ca="1">IF(AND($AT966&lt;3,OFFSET(DATA!$C$14,$AS966,0)=BB$6),$AV966,dNULL)</f>
        <v>-99</v>
      </c>
      <c r="BC966">
        <f ca="1">IF(AND($AT966&lt;3,OFFSET(DATA!$C$14,$AS966,0)=BC$6),$AV966,dNULL)</f>
        <v>-99</v>
      </c>
      <c r="BD966">
        <f ca="1">IF(AND($AT966&lt;3,OFFSET(DATA!$C$14,$AS966,0)=BD$6),$AV966,dNULL)</f>
        <v>-99</v>
      </c>
      <c r="BE966">
        <f ca="1">IF(AND($AT966&lt;3,OFFSET(DATA!$C$14,$AS966,0)=BE$6),$AV966,dNULL)</f>
        <v>-99</v>
      </c>
      <c r="BF966">
        <f ca="1">IF(AND($AT966&lt;3,OFFSET(DATA!$C$14,$AS966,0)=BF$6),$AV966,dNULL)</f>
        <v>-99</v>
      </c>
      <c r="BG966">
        <f ca="1">IF(AND($AT966&lt;3,OFFSET(DATA!$C$14,$AS966,0)=BG$6),$AV966,dNULL)</f>
        <v>-99</v>
      </c>
      <c r="BH966">
        <f ca="1">IF(AND($AT966&lt;3,OFFSET(DATA!$C$14,$AS966,0)=BH$6),$AV966,dNULL)</f>
        <v>-99</v>
      </c>
    </row>
    <row r="967" spans="45:60" x14ac:dyDescent="0.25">
      <c r="AS967">
        <f t="shared" ref="AS967:AS1030" si="148">MOD(ROW(AT967)-ROW($AT$7),lCNTsites)+1</f>
        <v>61</v>
      </c>
      <c r="AT967">
        <f t="shared" ref="AT967:AT1030" si="149">INT((ROW(AT967)-ROW($AT$7))/lCNTsites)</f>
        <v>10</v>
      </c>
      <c r="AU967">
        <f t="shared" ref="AU967:AU1030" ca="1" si="150">IF($AT967=0,(1-OFFSET($AL$6,$AS967,$AT967*2))-OFFSET($AL$6,$AS967,$AT967*2+1)*$K$8,IF($AT967=1,dAnionOFF+1+OFFSET($AL$6,$AS967,$AT967*2)+OFFSET($AL$6,$AS967,$AT967*2+1)/2,IF($AT967=2,$K$17-(1-OFFSET($AL$6,$AS967,$AT967*2))*0.5+(1-OFFSET($AL$6,$AS967,$AT967*2+1))*0.5,dNULL)))</f>
        <v>-99</v>
      </c>
      <c r="AV967">
        <f t="shared" ref="AV967:AV1030" ca="1" si="151">IF($AT967=0,OFFSET($AL$6,$AS967,$AT967*2+1)*$L$8,IF($AT967=1,OFFSET($AL$6,$AS967,$AT967*2+1)*3^0.5/2,IF($AT967=2,$L$17+(2-OFFSET($AL$6,$AS967,$AT967*2)-OFFSET($AL$6,$AS967,$AT967*2+1))*$L$8,dNULL)))</f>
        <v>-99</v>
      </c>
      <c r="AW967">
        <f ca="1">IF(AND($AT967&lt;3,OFFSET(DATA!$C$14,$AS967,0)=AW$6),$AV967,dNULL)</f>
        <v>-99</v>
      </c>
      <c r="AX967">
        <f ca="1">IF(AND($AT967&lt;3,OFFSET(DATA!$C$14,$AS967,0)=AX$6),$AV967,dNULL)</f>
        <v>-99</v>
      </c>
      <c r="AY967">
        <f ca="1">IF(AND($AT967&lt;3,OFFSET(DATA!$C$14,$AS967,0)=AY$6),$AV967,dNULL)</f>
        <v>-99</v>
      </c>
      <c r="AZ967">
        <f ca="1">IF(AND($AT967&lt;3,OFFSET(DATA!$C$14,$AS967,0)=AZ$6),$AV967,dNULL)</f>
        <v>-99</v>
      </c>
      <c r="BA967">
        <f ca="1">IF(AND($AT967&lt;3,OFFSET(DATA!$C$14,$AS967,0)=BA$6),$AV967,dNULL)</f>
        <v>-99</v>
      </c>
      <c r="BB967">
        <f ca="1">IF(AND($AT967&lt;3,OFFSET(DATA!$C$14,$AS967,0)=BB$6),$AV967,dNULL)</f>
        <v>-99</v>
      </c>
      <c r="BC967">
        <f ca="1">IF(AND($AT967&lt;3,OFFSET(DATA!$C$14,$AS967,0)=BC$6),$AV967,dNULL)</f>
        <v>-99</v>
      </c>
      <c r="BD967">
        <f ca="1">IF(AND($AT967&lt;3,OFFSET(DATA!$C$14,$AS967,0)=BD$6),$AV967,dNULL)</f>
        <v>-99</v>
      </c>
      <c r="BE967">
        <f ca="1">IF(AND($AT967&lt;3,OFFSET(DATA!$C$14,$AS967,0)=BE$6),$AV967,dNULL)</f>
        <v>-99</v>
      </c>
      <c r="BF967">
        <f ca="1">IF(AND($AT967&lt;3,OFFSET(DATA!$C$14,$AS967,0)=BF$6),$AV967,dNULL)</f>
        <v>-99</v>
      </c>
      <c r="BG967">
        <f ca="1">IF(AND($AT967&lt;3,OFFSET(DATA!$C$14,$AS967,0)=BG$6),$AV967,dNULL)</f>
        <v>-99</v>
      </c>
      <c r="BH967">
        <f ca="1">IF(AND($AT967&lt;3,OFFSET(DATA!$C$14,$AS967,0)=BH$6),$AV967,dNULL)</f>
        <v>-99</v>
      </c>
    </row>
    <row r="968" spans="45:60" x14ac:dyDescent="0.25">
      <c r="AS968">
        <f t="shared" si="148"/>
        <v>62</v>
      </c>
      <c r="AT968">
        <f t="shared" si="149"/>
        <v>10</v>
      </c>
      <c r="AU968">
        <f t="shared" ca="1" si="150"/>
        <v>-99</v>
      </c>
      <c r="AV968">
        <f t="shared" ca="1" si="151"/>
        <v>-99</v>
      </c>
      <c r="AW968">
        <f ca="1">IF(AND($AT968&lt;3,OFFSET(DATA!$C$14,$AS968,0)=AW$6),$AV968,dNULL)</f>
        <v>-99</v>
      </c>
      <c r="AX968">
        <f ca="1">IF(AND($AT968&lt;3,OFFSET(DATA!$C$14,$AS968,0)=AX$6),$AV968,dNULL)</f>
        <v>-99</v>
      </c>
      <c r="AY968">
        <f ca="1">IF(AND($AT968&lt;3,OFFSET(DATA!$C$14,$AS968,0)=AY$6),$AV968,dNULL)</f>
        <v>-99</v>
      </c>
      <c r="AZ968">
        <f ca="1">IF(AND($AT968&lt;3,OFFSET(DATA!$C$14,$AS968,0)=AZ$6),$AV968,dNULL)</f>
        <v>-99</v>
      </c>
      <c r="BA968">
        <f ca="1">IF(AND($AT968&lt;3,OFFSET(DATA!$C$14,$AS968,0)=BA$6),$AV968,dNULL)</f>
        <v>-99</v>
      </c>
      <c r="BB968">
        <f ca="1">IF(AND($AT968&lt;3,OFFSET(DATA!$C$14,$AS968,0)=BB$6),$AV968,dNULL)</f>
        <v>-99</v>
      </c>
      <c r="BC968">
        <f ca="1">IF(AND($AT968&lt;3,OFFSET(DATA!$C$14,$AS968,0)=BC$6),$AV968,dNULL)</f>
        <v>-99</v>
      </c>
      <c r="BD968">
        <f ca="1">IF(AND($AT968&lt;3,OFFSET(DATA!$C$14,$AS968,0)=BD$6),$AV968,dNULL)</f>
        <v>-99</v>
      </c>
      <c r="BE968">
        <f ca="1">IF(AND($AT968&lt;3,OFFSET(DATA!$C$14,$AS968,0)=BE$6),$AV968,dNULL)</f>
        <v>-99</v>
      </c>
      <c r="BF968">
        <f ca="1">IF(AND($AT968&lt;3,OFFSET(DATA!$C$14,$AS968,0)=BF$6),$AV968,dNULL)</f>
        <v>-99</v>
      </c>
      <c r="BG968">
        <f ca="1">IF(AND($AT968&lt;3,OFFSET(DATA!$C$14,$AS968,0)=BG$6),$AV968,dNULL)</f>
        <v>-99</v>
      </c>
      <c r="BH968">
        <f ca="1">IF(AND($AT968&lt;3,OFFSET(DATA!$C$14,$AS968,0)=BH$6),$AV968,dNULL)</f>
        <v>-99</v>
      </c>
    </row>
    <row r="969" spans="45:60" x14ac:dyDescent="0.25">
      <c r="AS969">
        <f t="shared" si="148"/>
        <v>63</v>
      </c>
      <c r="AT969">
        <f t="shared" si="149"/>
        <v>10</v>
      </c>
      <c r="AU969">
        <f t="shared" ca="1" si="150"/>
        <v>-99</v>
      </c>
      <c r="AV969">
        <f t="shared" ca="1" si="151"/>
        <v>-99</v>
      </c>
      <c r="AW969">
        <f ca="1">IF(AND($AT969&lt;3,OFFSET(DATA!$C$14,$AS969,0)=AW$6),$AV969,dNULL)</f>
        <v>-99</v>
      </c>
      <c r="AX969">
        <f ca="1">IF(AND($AT969&lt;3,OFFSET(DATA!$C$14,$AS969,0)=AX$6),$AV969,dNULL)</f>
        <v>-99</v>
      </c>
      <c r="AY969">
        <f ca="1">IF(AND($AT969&lt;3,OFFSET(DATA!$C$14,$AS969,0)=AY$6),$AV969,dNULL)</f>
        <v>-99</v>
      </c>
      <c r="AZ969">
        <f ca="1">IF(AND($AT969&lt;3,OFFSET(DATA!$C$14,$AS969,0)=AZ$6),$AV969,dNULL)</f>
        <v>-99</v>
      </c>
      <c r="BA969">
        <f ca="1">IF(AND($AT969&lt;3,OFFSET(DATA!$C$14,$AS969,0)=BA$6),$AV969,dNULL)</f>
        <v>-99</v>
      </c>
      <c r="BB969">
        <f ca="1">IF(AND($AT969&lt;3,OFFSET(DATA!$C$14,$AS969,0)=BB$6),$AV969,dNULL)</f>
        <v>-99</v>
      </c>
      <c r="BC969">
        <f ca="1">IF(AND($AT969&lt;3,OFFSET(DATA!$C$14,$AS969,0)=BC$6),$AV969,dNULL)</f>
        <v>-99</v>
      </c>
      <c r="BD969">
        <f ca="1">IF(AND($AT969&lt;3,OFFSET(DATA!$C$14,$AS969,0)=BD$6),$AV969,dNULL)</f>
        <v>-99</v>
      </c>
      <c r="BE969">
        <f ca="1">IF(AND($AT969&lt;3,OFFSET(DATA!$C$14,$AS969,0)=BE$6),$AV969,dNULL)</f>
        <v>-99</v>
      </c>
      <c r="BF969">
        <f ca="1">IF(AND($AT969&lt;3,OFFSET(DATA!$C$14,$AS969,0)=BF$6),$AV969,dNULL)</f>
        <v>-99</v>
      </c>
      <c r="BG969">
        <f ca="1">IF(AND($AT969&lt;3,OFFSET(DATA!$C$14,$AS969,0)=BG$6),$AV969,dNULL)</f>
        <v>-99</v>
      </c>
      <c r="BH969">
        <f ca="1">IF(AND($AT969&lt;3,OFFSET(DATA!$C$14,$AS969,0)=BH$6),$AV969,dNULL)</f>
        <v>-99</v>
      </c>
    </row>
    <row r="970" spans="45:60" x14ac:dyDescent="0.25">
      <c r="AS970">
        <f t="shared" si="148"/>
        <v>64</v>
      </c>
      <c r="AT970">
        <f t="shared" si="149"/>
        <v>10</v>
      </c>
      <c r="AU970">
        <f t="shared" ca="1" si="150"/>
        <v>-99</v>
      </c>
      <c r="AV970">
        <f t="shared" ca="1" si="151"/>
        <v>-99</v>
      </c>
      <c r="AW970">
        <f ca="1">IF(AND($AT970&lt;3,OFFSET(DATA!$C$14,$AS970,0)=AW$6),$AV970,dNULL)</f>
        <v>-99</v>
      </c>
      <c r="AX970">
        <f ca="1">IF(AND($AT970&lt;3,OFFSET(DATA!$C$14,$AS970,0)=AX$6),$AV970,dNULL)</f>
        <v>-99</v>
      </c>
      <c r="AY970">
        <f ca="1">IF(AND($AT970&lt;3,OFFSET(DATA!$C$14,$AS970,0)=AY$6),$AV970,dNULL)</f>
        <v>-99</v>
      </c>
      <c r="AZ970">
        <f ca="1">IF(AND($AT970&lt;3,OFFSET(DATA!$C$14,$AS970,0)=AZ$6),$AV970,dNULL)</f>
        <v>-99</v>
      </c>
      <c r="BA970">
        <f ca="1">IF(AND($AT970&lt;3,OFFSET(DATA!$C$14,$AS970,0)=BA$6),$AV970,dNULL)</f>
        <v>-99</v>
      </c>
      <c r="BB970">
        <f ca="1">IF(AND($AT970&lt;3,OFFSET(DATA!$C$14,$AS970,0)=BB$6),$AV970,dNULL)</f>
        <v>-99</v>
      </c>
      <c r="BC970">
        <f ca="1">IF(AND($AT970&lt;3,OFFSET(DATA!$C$14,$AS970,0)=BC$6),$AV970,dNULL)</f>
        <v>-99</v>
      </c>
      <c r="BD970">
        <f ca="1">IF(AND($AT970&lt;3,OFFSET(DATA!$C$14,$AS970,0)=BD$6),$AV970,dNULL)</f>
        <v>-99</v>
      </c>
      <c r="BE970">
        <f ca="1">IF(AND($AT970&lt;3,OFFSET(DATA!$C$14,$AS970,0)=BE$6),$AV970,dNULL)</f>
        <v>-99</v>
      </c>
      <c r="BF970">
        <f ca="1">IF(AND($AT970&lt;3,OFFSET(DATA!$C$14,$AS970,0)=BF$6),$AV970,dNULL)</f>
        <v>-99</v>
      </c>
      <c r="BG970">
        <f ca="1">IF(AND($AT970&lt;3,OFFSET(DATA!$C$14,$AS970,0)=BG$6),$AV970,dNULL)</f>
        <v>-99</v>
      </c>
      <c r="BH970">
        <f ca="1">IF(AND($AT970&lt;3,OFFSET(DATA!$C$14,$AS970,0)=BH$6),$AV970,dNULL)</f>
        <v>-99</v>
      </c>
    </row>
    <row r="971" spans="45:60" x14ac:dyDescent="0.25">
      <c r="AS971">
        <f t="shared" si="148"/>
        <v>65</v>
      </c>
      <c r="AT971">
        <f t="shared" si="149"/>
        <v>10</v>
      </c>
      <c r="AU971">
        <f t="shared" ca="1" si="150"/>
        <v>-99</v>
      </c>
      <c r="AV971">
        <f t="shared" ca="1" si="151"/>
        <v>-99</v>
      </c>
      <c r="AW971">
        <f ca="1">IF(AND($AT971&lt;3,OFFSET(DATA!$C$14,$AS971,0)=AW$6),$AV971,dNULL)</f>
        <v>-99</v>
      </c>
      <c r="AX971">
        <f ca="1">IF(AND($AT971&lt;3,OFFSET(DATA!$C$14,$AS971,0)=AX$6),$AV971,dNULL)</f>
        <v>-99</v>
      </c>
      <c r="AY971">
        <f ca="1">IF(AND($AT971&lt;3,OFFSET(DATA!$C$14,$AS971,0)=AY$6),$AV971,dNULL)</f>
        <v>-99</v>
      </c>
      <c r="AZ971">
        <f ca="1">IF(AND($AT971&lt;3,OFFSET(DATA!$C$14,$AS971,0)=AZ$6),$AV971,dNULL)</f>
        <v>-99</v>
      </c>
      <c r="BA971">
        <f ca="1">IF(AND($AT971&lt;3,OFFSET(DATA!$C$14,$AS971,0)=BA$6),$AV971,dNULL)</f>
        <v>-99</v>
      </c>
      <c r="BB971">
        <f ca="1">IF(AND($AT971&lt;3,OFFSET(DATA!$C$14,$AS971,0)=BB$6),$AV971,dNULL)</f>
        <v>-99</v>
      </c>
      <c r="BC971">
        <f ca="1">IF(AND($AT971&lt;3,OFFSET(DATA!$C$14,$AS971,0)=BC$6),$AV971,dNULL)</f>
        <v>-99</v>
      </c>
      <c r="BD971">
        <f ca="1">IF(AND($AT971&lt;3,OFFSET(DATA!$C$14,$AS971,0)=BD$6),$AV971,dNULL)</f>
        <v>-99</v>
      </c>
      <c r="BE971">
        <f ca="1">IF(AND($AT971&lt;3,OFFSET(DATA!$C$14,$AS971,0)=BE$6),$AV971,dNULL)</f>
        <v>-99</v>
      </c>
      <c r="BF971">
        <f ca="1">IF(AND($AT971&lt;3,OFFSET(DATA!$C$14,$AS971,0)=BF$6),$AV971,dNULL)</f>
        <v>-99</v>
      </c>
      <c r="BG971">
        <f ca="1">IF(AND($AT971&lt;3,OFFSET(DATA!$C$14,$AS971,0)=BG$6),$AV971,dNULL)</f>
        <v>-99</v>
      </c>
      <c r="BH971">
        <f ca="1">IF(AND($AT971&lt;3,OFFSET(DATA!$C$14,$AS971,0)=BH$6),$AV971,dNULL)</f>
        <v>-99</v>
      </c>
    </row>
    <row r="972" spans="45:60" x14ac:dyDescent="0.25">
      <c r="AS972">
        <f t="shared" si="148"/>
        <v>66</v>
      </c>
      <c r="AT972">
        <f t="shared" si="149"/>
        <v>10</v>
      </c>
      <c r="AU972">
        <f t="shared" ca="1" si="150"/>
        <v>-99</v>
      </c>
      <c r="AV972">
        <f t="shared" ca="1" si="151"/>
        <v>-99</v>
      </c>
      <c r="AW972">
        <f ca="1">IF(AND($AT972&lt;3,OFFSET(DATA!$C$14,$AS972,0)=AW$6),$AV972,dNULL)</f>
        <v>-99</v>
      </c>
      <c r="AX972">
        <f ca="1">IF(AND($AT972&lt;3,OFFSET(DATA!$C$14,$AS972,0)=AX$6),$AV972,dNULL)</f>
        <v>-99</v>
      </c>
      <c r="AY972">
        <f ca="1">IF(AND($AT972&lt;3,OFFSET(DATA!$C$14,$AS972,0)=AY$6),$AV972,dNULL)</f>
        <v>-99</v>
      </c>
      <c r="AZ972">
        <f ca="1">IF(AND($AT972&lt;3,OFFSET(DATA!$C$14,$AS972,0)=AZ$6),$AV972,dNULL)</f>
        <v>-99</v>
      </c>
      <c r="BA972">
        <f ca="1">IF(AND($AT972&lt;3,OFFSET(DATA!$C$14,$AS972,0)=BA$6),$AV972,dNULL)</f>
        <v>-99</v>
      </c>
      <c r="BB972">
        <f ca="1">IF(AND($AT972&lt;3,OFFSET(DATA!$C$14,$AS972,0)=BB$6),$AV972,dNULL)</f>
        <v>-99</v>
      </c>
      <c r="BC972">
        <f ca="1">IF(AND($AT972&lt;3,OFFSET(DATA!$C$14,$AS972,0)=BC$6),$AV972,dNULL)</f>
        <v>-99</v>
      </c>
      <c r="BD972">
        <f ca="1">IF(AND($AT972&lt;3,OFFSET(DATA!$C$14,$AS972,0)=BD$6),$AV972,dNULL)</f>
        <v>-99</v>
      </c>
      <c r="BE972">
        <f ca="1">IF(AND($AT972&lt;3,OFFSET(DATA!$C$14,$AS972,0)=BE$6),$AV972,dNULL)</f>
        <v>-99</v>
      </c>
      <c r="BF972">
        <f ca="1">IF(AND($AT972&lt;3,OFFSET(DATA!$C$14,$AS972,0)=BF$6),$AV972,dNULL)</f>
        <v>-99</v>
      </c>
      <c r="BG972">
        <f ca="1">IF(AND($AT972&lt;3,OFFSET(DATA!$C$14,$AS972,0)=BG$6),$AV972,dNULL)</f>
        <v>-99</v>
      </c>
      <c r="BH972">
        <f ca="1">IF(AND($AT972&lt;3,OFFSET(DATA!$C$14,$AS972,0)=BH$6),$AV972,dNULL)</f>
        <v>-99</v>
      </c>
    </row>
    <row r="973" spans="45:60" x14ac:dyDescent="0.25">
      <c r="AS973">
        <f t="shared" si="148"/>
        <v>67</v>
      </c>
      <c r="AT973">
        <f t="shared" si="149"/>
        <v>10</v>
      </c>
      <c r="AU973">
        <f t="shared" ca="1" si="150"/>
        <v>-99</v>
      </c>
      <c r="AV973">
        <f t="shared" ca="1" si="151"/>
        <v>-99</v>
      </c>
      <c r="AW973">
        <f ca="1">IF(AND($AT973&lt;3,OFFSET(DATA!$C$14,$AS973,0)=AW$6),$AV973,dNULL)</f>
        <v>-99</v>
      </c>
      <c r="AX973">
        <f ca="1">IF(AND($AT973&lt;3,OFFSET(DATA!$C$14,$AS973,0)=AX$6),$AV973,dNULL)</f>
        <v>-99</v>
      </c>
      <c r="AY973">
        <f ca="1">IF(AND($AT973&lt;3,OFFSET(DATA!$C$14,$AS973,0)=AY$6),$AV973,dNULL)</f>
        <v>-99</v>
      </c>
      <c r="AZ973">
        <f ca="1">IF(AND($AT973&lt;3,OFFSET(DATA!$C$14,$AS973,0)=AZ$6),$AV973,dNULL)</f>
        <v>-99</v>
      </c>
      <c r="BA973">
        <f ca="1">IF(AND($AT973&lt;3,OFFSET(DATA!$C$14,$AS973,0)=BA$6),$AV973,dNULL)</f>
        <v>-99</v>
      </c>
      <c r="BB973">
        <f ca="1">IF(AND($AT973&lt;3,OFFSET(DATA!$C$14,$AS973,0)=BB$6),$AV973,dNULL)</f>
        <v>-99</v>
      </c>
      <c r="BC973">
        <f ca="1">IF(AND($AT973&lt;3,OFFSET(DATA!$C$14,$AS973,0)=BC$6),$AV973,dNULL)</f>
        <v>-99</v>
      </c>
      <c r="BD973">
        <f ca="1">IF(AND($AT973&lt;3,OFFSET(DATA!$C$14,$AS973,0)=BD$6),$AV973,dNULL)</f>
        <v>-99</v>
      </c>
      <c r="BE973">
        <f ca="1">IF(AND($AT973&lt;3,OFFSET(DATA!$C$14,$AS973,0)=BE$6),$AV973,dNULL)</f>
        <v>-99</v>
      </c>
      <c r="BF973">
        <f ca="1">IF(AND($AT973&lt;3,OFFSET(DATA!$C$14,$AS973,0)=BF$6),$AV973,dNULL)</f>
        <v>-99</v>
      </c>
      <c r="BG973">
        <f ca="1">IF(AND($AT973&lt;3,OFFSET(DATA!$C$14,$AS973,0)=BG$6),$AV973,dNULL)</f>
        <v>-99</v>
      </c>
      <c r="BH973">
        <f ca="1">IF(AND($AT973&lt;3,OFFSET(DATA!$C$14,$AS973,0)=BH$6),$AV973,dNULL)</f>
        <v>-99</v>
      </c>
    </row>
    <row r="974" spans="45:60" x14ac:dyDescent="0.25">
      <c r="AS974">
        <f t="shared" si="148"/>
        <v>68</v>
      </c>
      <c r="AT974">
        <f t="shared" si="149"/>
        <v>10</v>
      </c>
      <c r="AU974">
        <f t="shared" ca="1" si="150"/>
        <v>-99</v>
      </c>
      <c r="AV974">
        <f t="shared" ca="1" si="151"/>
        <v>-99</v>
      </c>
      <c r="AW974">
        <f ca="1">IF(AND($AT974&lt;3,OFFSET(DATA!$C$14,$AS974,0)=AW$6),$AV974,dNULL)</f>
        <v>-99</v>
      </c>
      <c r="AX974">
        <f ca="1">IF(AND($AT974&lt;3,OFFSET(DATA!$C$14,$AS974,0)=AX$6),$AV974,dNULL)</f>
        <v>-99</v>
      </c>
      <c r="AY974">
        <f ca="1">IF(AND($AT974&lt;3,OFFSET(DATA!$C$14,$AS974,0)=AY$6),$AV974,dNULL)</f>
        <v>-99</v>
      </c>
      <c r="AZ974">
        <f ca="1">IF(AND($AT974&lt;3,OFFSET(DATA!$C$14,$AS974,0)=AZ$6),$AV974,dNULL)</f>
        <v>-99</v>
      </c>
      <c r="BA974">
        <f ca="1">IF(AND($AT974&lt;3,OFFSET(DATA!$C$14,$AS974,0)=BA$6),$AV974,dNULL)</f>
        <v>-99</v>
      </c>
      <c r="BB974">
        <f ca="1">IF(AND($AT974&lt;3,OFFSET(DATA!$C$14,$AS974,0)=BB$6),$AV974,dNULL)</f>
        <v>-99</v>
      </c>
      <c r="BC974">
        <f ca="1">IF(AND($AT974&lt;3,OFFSET(DATA!$C$14,$AS974,0)=BC$6),$AV974,dNULL)</f>
        <v>-99</v>
      </c>
      <c r="BD974">
        <f ca="1">IF(AND($AT974&lt;3,OFFSET(DATA!$C$14,$AS974,0)=BD$6),$AV974,dNULL)</f>
        <v>-99</v>
      </c>
      <c r="BE974">
        <f ca="1">IF(AND($AT974&lt;3,OFFSET(DATA!$C$14,$AS974,0)=BE$6),$AV974,dNULL)</f>
        <v>-99</v>
      </c>
      <c r="BF974">
        <f ca="1">IF(AND($AT974&lt;3,OFFSET(DATA!$C$14,$AS974,0)=BF$6),$AV974,dNULL)</f>
        <v>-99</v>
      </c>
      <c r="BG974">
        <f ca="1">IF(AND($AT974&lt;3,OFFSET(DATA!$C$14,$AS974,0)=BG$6),$AV974,dNULL)</f>
        <v>-99</v>
      </c>
      <c r="BH974">
        <f ca="1">IF(AND($AT974&lt;3,OFFSET(DATA!$C$14,$AS974,0)=BH$6),$AV974,dNULL)</f>
        <v>-99</v>
      </c>
    </row>
    <row r="975" spans="45:60" x14ac:dyDescent="0.25">
      <c r="AS975">
        <f t="shared" si="148"/>
        <v>69</v>
      </c>
      <c r="AT975">
        <f t="shared" si="149"/>
        <v>10</v>
      </c>
      <c r="AU975">
        <f t="shared" ca="1" si="150"/>
        <v>-99</v>
      </c>
      <c r="AV975">
        <f t="shared" ca="1" si="151"/>
        <v>-99</v>
      </c>
      <c r="AW975">
        <f ca="1">IF(AND($AT975&lt;3,OFFSET(DATA!$C$14,$AS975,0)=AW$6),$AV975,dNULL)</f>
        <v>-99</v>
      </c>
      <c r="AX975">
        <f ca="1">IF(AND($AT975&lt;3,OFFSET(DATA!$C$14,$AS975,0)=AX$6),$AV975,dNULL)</f>
        <v>-99</v>
      </c>
      <c r="AY975">
        <f ca="1">IF(AND($AT975&lt;3,OFFSET(DATA!$C$14,$AS975,0)=AY$6),$AV975,dNULL)</f>
        <v>-99</v>
      </c>
      <c r="AZ975">
        <f ca="1">IF(AND($AT975&lt;3,OFFSET(DATA!$C$14,$AS975,0)=AZ$6),$AV975,dNULL)</f>
        <v>-99</v>
      </c>
      <c r="BA975">
        <f ca="1">IF(AND($AT975&lt;3,OFFSET(DATA!$C$14,$AS975,0)=BA$6),$AV975,dNULL)</f>
        <v>-99</v>
      </c>
      <c r="BB975">
        <f ca="1">IF(AND($AT975&lt;3,OFFSET(DATA!$C$14,$AS975,0)=BB$6),$AV975,dNULL)</f>
        <v>-99</v>
      </c>
      <c r="BC975">
        <f ca="1">IF(AND($AT975&lt;3,OFFSET(DATA!$C$14,$AS975,0)=BC$6),$AV975,dNULL)</f>
        <v>-99</v>
      </c>
      <c r="BD975">
        <f ca="1">IF(AND($AT975&lt;3,OFFSET(DATA!$C$14,$AS975,0)=BD$6),$AV975,dNULL)</f>
        <v>-99</v>
      </c>
      <c r="BE975">
        <f ca="1">IF(AND($AT975&lt;3,OFFSET(DATA!$C$14,$AS975,0)=BE$6),$AV975,dNULL)</f>
        <v>-99</v>
      </c>
      <c r="BF975">
        <f ca="1">IF(AND($AT975&lt;3,OFFSET(DATA!$C$14,$AS975,0)=BF$6),$AV975,dNULL)</f>
        <v>-99</v>
      </c>
      <c r="BG975">
        <f ca="1">IF(AND($AT975&lt;3,OFFSET(DATA!$C$14,$AS975,0)=BG$6),$AV975,dNULL)</f>
        <v>-99</v>
      </c>
      <c r="BH975">
        <f ca="1">IF(AND($AT975&lt;3,OFFSET(DATA!$C$14,$AS975,0)=BH$6),$AV975,dNULL)</f>
        <v>-99</v>
      </c>
    </row>
    <row r="976" spans="45:60" x14ac:dyDescent="0.25">
      <c r="AS976">
        <f t="shared" si="148"/>
        <v>70</v>
      </c>
      <c r="AT976">
        <f t="shared" si="149"/>
        <v>10</v>
      </c>
      <c r="AU976">
        <f t="shared" ca="1" si="150"/>
        <v>-99</v>
      </c>
      <c r="AV976">
        <f t="shared" ca="1" si="151"/>
        <v>-99</v>
      </c>
      <c r="AW976">
        <f ca="1">IF(AND($AT976&lt;3,OFFSET(DATA!$C$14,$AS976,0)=AW$6),$AV976,dNULL)</f>
        <v>-99</v>
      </c>
      <c r="AX976">
        <f ca="1">IF(AND($AT976&lt;3,OFFSET(DATA!$C$14,$AS976,0)=AX$6),$AV976,dNULL)</f>
        <v>-99</v>
      </c>
      <c r="AY976">
        <f ca="1">IF(AND($AT976&lt;3,OFFSET(DATA!$C$14,$AS976,0)=AY$6),$AV976,dNULL)</f>
        <v>-99</v>
      </c>
      <c r="AZ976">
        <f ca="1">IF(AND($AT976&lt;3,OFFSET(DATA!$C$14,$AS976,0)=AZ$6),$AV976,dNULL)</f>
        <v>-99</v>
      </c>
      <c r="BA976">
        <f ca="1">IF(AND($AT976&lt;3,OFFSET(DATA!$C$14,$AS976,0)=BA$6),$AV976,dNULL)</f>
        <v>-99</v>
      </c>
      <c r="BB976">
        <f ca="1">IF(AND($AT976&lt;3,OFFSET(DATA!$C$14,$AS976,0)=BB$6),$AV976,dNULL)</f>
        <v>-99</v>
      </c>
      <c r="BC976">
        <f ca="1">IF(AND($AT976&lt;3,OFFSET(DATA!$C$14,$AS976,0)=BC$6),$AV976,dNULL)</f>
        <v>-99</v>
      </c>
      <c r="BD976">
        <f ca="1">IF(AND($AT976&lt;3,OFFSET(DATA!$C$14,$AS976,0)=BD$6),$AV976,dNULL)</f>
        <v>-99</v>
      </c>
      <c r="BE976">
        <f ca="1">IF(AND($AT976&lt;3,OFFSET(DATA!$C$14,$AS976,0)=BE$6),$AV976,dNULL)</f>
        <v>-99</v>
      </c>
      <c r="BF976">
        <f ca="1">IF(AND($AT976&lt;3,OFFSET(DATA!$C$14,$AS976,0)=BF$6),$AV976,dNULL)</f>
        <v>-99</v>
      </c>
      <c r="BG976">
        <f ca="1">IF(AND($AT976&lt;3,OFFSET(DATA!$C$14,$AS976,0)=BG$6),$AV976,dNULL)</f>
        <v>-99</v>
      </c>
      <c r="BH976">
        <f ca="1">IF(AND($AT976&lt;3,OFFSET(DATA!$C$14,$AS976,0)=BH$6),$AV976,dNULL)</f>
        <v>-99</v>
      </c>
    </row>
    <row r="977" spans="45:60" x14ac:dyDescent="0.25">
      <c r="AS977">
        <f t="shared" si="148"/>
        <v>71</v>
      </c>
      <c r="AT977">
        <f t="shared" si="149"/>
        <v>10</v>
      </c>
      <c r="AU977">
        <f t="shared" ca="1" si="150"/>
        <v>-99</v>
      </c>
      <c r="AV977">
        <f t="shared" ca="1" si="151"/>
        <v>-99</v>
      </c>
      <c r="AW977">
        <f ca="1">IF(AND($AT977&lt;3,OFFSET(DATA!$C$14,$AS977,0)=AW$6),$AV977,dNULL)</f>
        <v>-99</v>
      </c>
      <c r="AX977">
        <f ca="1">IF(AND($AT977&lt;3,OFFSET(DATA!$C$14,$AS977,0)=AX$6),$AV977,dNULL)</f>
        <v>-99</v>
      </c>
      <c r="AY977">
        <f ca="1">IF(AND($AT977&lt;3,OFFSET(DATA!$C$14,$AS977,0)=AY$6),$AV977,dNULL)</f>
        <v>-99</v>
      </c>
      <c r="AZ977">
        <f ca="1">IF(AND($AT977&lt;3,OFFSET(DATA!$C$14,$AS977,0)=AZ$6),$AV977,dNULL)</f>
        <v>-99</v>
      </c>
      <c r="BA977">
        <f ca="1">IF(AND($AT977&lt;3,OFFSET(DATA!$C$14,$AS977,0)=BA$6),$AV977,dNULL)</f>
        <v>-99</v>
      </c>
      <c r="BB977">
        <f ca="1">IF(AND($AT977&lt;3,OFFSET(DATA!$C$14,$AS977,0)=BB$6),$AV977,dNULL)</f>
        <v>-99</v>
      </c>
      <c r="BC977">
        <f ca="1">IF(AND($AT977&lt;3,OFFSET(DATA!$C$14,$AS977,0)=BC$6),$AV977,dNULL)</f>
        <v>-99</v>
      </c>
      <c r="BD977">
        <f ca="1">IF(AND($AT977&lt;3,OFFSET(DATA!$C$14,$AS977,0)=BD$6),$AV977,dNULL)</f>
        <v>-99</v>
      </c>
      <c r="BE977">
        <f ca="1">IF(AND($AT977&lt;3,OFFSET(DATA!$C$14,$AS977,0)=BE$6),$AV977,dNULL)</f>
        <v>-99</v>
      </c>
      <c r="BF977">
        <f ca="1">IF(AND($AT977&lt;3,OFFSET(DATA!$C$14,$AS977,0)=BF$6),$AV977,dNULL)</f>
        <v>-99</v>
      </c>
      <c r="BG977">
        <f ca="1">IF(AND($AT977&lt;3,OFFSET(DATA!$C$14,$AS977,0)=BG$6),$AV977,dNULL)</f>
        <v>-99</v>
      </c>
      <c r="BH977">
        <f ca="1">IF(AND($AT977&lt;3,OFFSET(DATA!$C$14,$AS977,0)=BH$6),$AV977,dNULL)</f>
        <v>-99</v>
      </c>
    </row>
    <row r="978" spans="45:60" x14ac:dyDescent="0.25">
      <c r="AS978">
        <f t="shared" si="148"/>
        <v>72</v>
      </c>
      <c r="AT978">
        <f t="shared" si="149"/>
        <v>10</v>
      </c>
      <c r="AU978">
        <f t="shared" ca="1" si="150"/>
        <v>-99</v>
      </c>
      <c r="AV978">
        <f t="shared" ca="1" si="151"/>
        <v>-99</v>
      </c>
      <c r="AW978">
        <f ca="1">IF(AND($AT978&lt;3,OFFSET(DATA!$C$14,$AS978,0)=AW$6),$AV978,dNULL)</f>
        <v>-99</v>
      </c>
      <c r="AX978">
        <f ca="1">IF(AND($AT978&lt;3,OFFSET(DATA!$C$14,$AS978,0)=AX$6),$AV978,dNULL)</f>
        <v>-99</v>
      </c>
      <c r="AY978">
        <f ca="1">IF(AND($AT978&lt;3,OFFSET(DATA!$C$14,$AS978,0)=AY$6),$AV978,dNULL)</f>
        <v>-99</v>
      </c>
      <c r="AZ978">
        <f ca="1">IF(AND($AT978&lt;3,OFFSET(DATA!$C$14,$AS978,0)=AZ$6),$AV978,dNULL)</f>
        <v>-99</v>
      </c>
      <c r="BA978">
        <f ca="1">IF(AND($AT978&lt;3,OFFSET(DATA!$C$14,$AS978,0)=BA$6),$AV978,dNULL)</f>
        <v>-99</v>
      </c>
      <c r="BB978">
        <f ca="1">IF(AND($AT978&lt;3,OFFSET(DATA!$C$14,$AS978,0)=BB$6),$AV978,dNULL)</f>
        <v>-99</v>
      </c>
      <c r="BC978">
        <f ca="1">IF(AND($AT978&lt;3,OFFSET(DATA!$C$14,$AS978,0)=BC$6),$AV978,dNULL)</f>
        <v>-99</v>
      </c>
      <c r="BD978">
        <f ca="1">IF(AND($AT978&lt;3,OFFSET(DATA!$C$14,$AS978,0)=BD$6),$AV978,dNULL)</f>
        <v>-99</v>
      </c>
      <c r="BE978">
        <f ca="1">IF(AND($AT978&lt;3,OFFSET(DATA!$C$14,$AS978,0)=BE$6),$AV978,dNULL)</f>
        <v>-99</v>
      </c>
      <c r="BF978">
        <f ca="1">IF(AND($AT978&lt;3,OFFSET(DATA!$C$14,$AS978,0)=BF$6),$AV978,dNULL)</f>
        <v>-99</v>
      </c>
      <c r="BG978">
        <f ca="1">IF(AND($AT978&lt;3,OFFSET(DATA!$C$14,$AS978,0)=BG$6),$AV978,dNULL)</f>
        <v>-99</v>
      </c>
      <c r="BH978">
        <f ca="1">IF(AND($AT978&lt;3,OFFSET(DATA!$C$14,$AS978,0)=BH$6),$AV978,dNULL)</f>
        <v>-99</v>
      </c>
    </row>
    <row r="979" spans="45:60" x14ac:dyDescent="0.25">
      <c r="AS979">
        <f t="shared" si="148"/>
        <v>73</v>
      </c>
      <c r="AT979">
        <f t="shared" si="149"/>
        <v>10</v>
      </c>
      <c r="AU979">
        <f t="shared" ca="1" si="150"/>
        <v>-99</v>
      </c>
      <c r="AV979">
        <f t="shared" ca="1" si="151"/>
        <v>-99</v>
      </c>
      <c r="AW979">
        <f ca="1">IF(AND($AT979&lt;3,OFFSET(DATA!$C$14,$AS979,0)=AW$6),$AV979,dNULL)</f>
        <v>-99</v>
      </c>
      <c r="AX979">
        <f ca="1">IF(AND($AT979&lt;3,OFFSET(DATA!$C$14,$AS979,0)=AX$6),$AV979,dNULL)</f>
        <v>-99</v>
      </c>
      <c r="AY979">
        <f ca="1">IF(AND($AT979&lt;3,OFFSET(DATA!$C$14,$AS979,0)=AY$6),$AV979,dNULL)</f>
        <v>-99</v>
      </c>
      <c r="AZ979">
        <f ca="1">IF(AND($AT979&lt;3,OFFSET(DATA!$C$14,$AS979,0)=AZ$6),$AV979,dNULL)</f>
        <v>-99</v>
      </c>
      <c r="BA979">
        <f ca="1">IF(AND($AT979&lt;3,OFFSET(DATA!$C$14,$AS979,0)=BA$6),$AV979,dNULL)</f>
        <v>-99</v>
      </c>
      <c r="BB979">
        <f ca="1">IF(AND($AT979&lt;3,OFFSET(DATA!$C$14,$AS979,0)=BB$6),$AV979,dNULL)</f>
        <v>-99</v>
      </c>
      <c r="BC979">
        <f ca="1">IF(AND($AT979&lt;3,OFFSET(DATA!$C$14,$AS979,0)=BC$6),$AV979,dNULL)</f>
        <v>-99</v>
      </c>
      <c r="BD979">
        <f ca="1">IF(AND($AT979&lt;3,OFFSET(DATA!$C$14,$AS979,0)=BD$6),$AV979,dNULL)</f>
        <v>-99</v>
      </c>
      <c r="BE979">
        <f ca="1">IF(AND($AT979&lt;3,OFFSET(DATA!$C$14,$AS979,0)=BE$6),$AV979,dNULL)</f>
        <v>-99</v>
      </c>
      <c r="BF979">
        <f ca="1">IF(AND($AT979&lt;3,OFFSET(DATA!$C$14,$AS979,0)=BF$6),$AV979,dNULL)</f>
        <v>-99</v>
      </c>
      <c r="BG979">
        <f ca="1">IF(AND($AT979&lt;3,OFFSET(DATA!$C$14,$AS979,0)=BG$6),$AV979,dNULL)</f>
        <v>-99</v>
      </c>
      <c r="BH979">
        <f ca="1">IF(AND($AT979&lt;3,OFFSET(DATA!$C$14,$AS979,0)=BH$6),$AV979,dNULL)</f>
        <v>-99</v>
      </c>
    </row>
    <row r="980" spans="45:60" x14ac:dyDescent="0.25">
      <c r="AS980">
        <f t="shared" si="148"/>
        <v>74</v>
      </c>
      <c r="AT980">
        <f t="shared" si="149"/>
        <v>10</v>
      </c>
      <c r="AU980">
        <f t="shared" ca="1" si="150"/>
        <v>-99</v>
      </c>
      <c r="AV980">
        <f t="shared" ca="1" si="151"/>
        <v>-99</v>
      </c>
      <c r="AW980">
        <f ca="1">IF(AND($AT980&lt;3,OFFSET(DATA!$C$14,$AS980,0)=AW$6),$AV980,dNULL)</f>
        <v>-99</v>
      </c>
      <c r="AX980">
        <f ca="1">IF(AND($AT980&lt;3,OFFSET(DATA!$C$14,$AS980,0)=AX$6),$AV980,dNULL)</f>
        <v>-99</v>
      </c>
      <c r="AY980">
        <f ca="1">IF(AND($AT980&lt;3,OFFSET(DATA!$C$14,$AS980,0)=AY$6),$AV980,dNULL)</f>
        <v>-99</v>
      </c>
      <c r="AZ980">
        <f ca="1">IF(AND($AT980&lt;3,OFFSET(DATA!$C$14,$AS980,0)=AZ$6),$AV980,dNULL)</f>
        <v>-99</v>
      </c>
      <c r="BA980">
        <f ca="1">IF(AND($AT980&lt;3,OFFSET(DATA!$C$14,$AS980,0)=BA$6),$AV980,dNULL)</f>
        <v>-99</v>
      </c>
      <c r="BB980">
        <f ca="1">IF(AND($AT980&lt;3,OFFSET(DATA!$C$14,$AS980,0)=BB$6),$AV980,dNULL)</f>
        <v>-99</v>
      </c>
      <c r="BC980">
        <f ca="1">IF(AND($AT980&lt;3,OFFSET(DATA!$C$14,$AS980,0)=BC$6),$AV980,dNULL)</f>
        <v>-99</v>
      </c>
      <c r="BD980">
        <f ca="1">IF(AND($AT980&lt;3,OFFSET(DATA!$C$14,$AS980,0)=BD$6),$AV980,dNULL)</f>
        <v>-99</v>
      </c>
      <c r="BE980">
        <f ca="1">IF(AND($AT980&lt;3,OFFSET(DATA!$C$14,$AS980,0)=BE$6),$AV980,dNULL)</f>
        <v>-99</v>
      </c>
      <c r="BF980">
        <f ca="1">IF(AND($AT980&lt;3,OFFSET(DATA!$C$14,$AS980,0)=BF$6),$AV980,dNULL)</f>
        <v>-99</v>
      </c>
      <c r="BG980">
        <f ca="1">IF(AND($AT980&lt;3,OFFSET(DATA!$C$14,$AS980,0)=BG$6),$AV980,dNULL)</f>
        <v>-99</v>
      </c>
      <c r="BH980">
        <f ca="1">IF(AND($AT980&lt;3,OFFSET(DATA!$C$14,$AS980,0)=BH$6),$AV980,dNULL)</f>
        <v>-99</v>
      </c>
    </row>
    <row r="981" spans="45:60" x14ac:dyDescent="0.25">
      <c r="AS981">
        <f t="shared" si="148"/>
        <v>75</v>
      </c>
      <c r="AT981">
        <f t="shared" si="149"/>
        <v>10</v>
      </c>
      <c r="AU981">
        <f t="shared" ca="1" si="150"/>
        <v>-99</v>
      </c>
      <c r="AV981">
        <f t="shared" ca="1" si="151"/>
        <v>-99</v>
      </c>
      <c r="AW981">
        <f ca="1">IF(AND($AT981&lt;3,OFFSET(DATA!$C$14,$AS981,0)=AW$6),$AV981,dNULL)</f>
        <v>-99</v>
      </c>
      <c r="AX981">
        <f ca="1">IF(AND($AT981&lt;3,OFFSET(DATA!$C$14,$AS981,0)=AX$6),$AV981,dNULL)</f>
        <v>-99</v>
      </c>
      <c r="AY981">
        <f ca="1">IF(AND($AT981&lt;3,OFFSET(DATA!$C$14,$AS981,0)=AY$6),$AV981,dNULL)</f>
        <v>-99</v>
      </c>
      <c r="AZ981">
        <f ca="1">IF(AND($AT981&lt;3,OFFSET(DATA!$C$14,$AS981,0)=AZ$6),$AV981,dNULL)</f>
        <v>-99</v>
      </c>
      <c r="BA981">
        <f ca="1">IF(AND($AT981&lt;3,OFFSET(DATA!$C$14,$AS981,0)=BA$6),$AV981,dNULL)</f>
        <v>-99</v>
      </c>
      <c r="BB981">
        <f ca="1">IF(AND($AT981&lt;3,OFFSET(DATA!$C$14,$AS981,0)=BB$6),$AV981,dNULL)</f>
        <v>-99</v>
      </c>
      <c r="BC981">
        <f ca="1">IF(AND($AT981&lt;3,OFFSET(DATA!$C$14,$AS981,0)=BC$6),$AV981,dNULL)</f>
        <v>-99</v>
      </c>
      <c r="BD981">
        <f ca="1">IF(AND($AT981&lt;3,OFFSET(DATA!$C$14,$AS981,0)=BD$6),$AV981,dNULL)</f>
        <v>-99</v>
      </c>
      <c r="BE981">
        <f ca="1">IF(AND($AT981&lt;3,OFFSET(DATA!$C$14,$AS981,0)=BE$6),$AV981,dNULL)</f>
        <v>-99</v>
      </c>
      <c r="BF981">
        <f ca="1">IF(AND($AT981&lt;3,OFFSET(DATA!$C$14,$AS981,0)=BF$6),$AV981,dNULL)</f>
        <v>-99</v>
      </c>
      <c r="BG981">
        <f ca="1">IF(AND($AT981&lt;3,OFFSET(DATA!$C$14,$AS981,0)=BG$6),$AV981,dNULL)</f>
        <v>-99</v>
      </c>
      <c r="BH981">
        <f ca="1">IF(AND($AT981&lt;3,OFFSET(DATA!$C$14,$AS981,0)=BH$6),$AV981,dNULL)</f>
        <v>-99</v>
      </c>
    </row>
    <row r="982" spans="45:60" x14ac:dyDescent="0.25">
      <c r="AS982">
        <f t="shared" si="148"/>
        <v>76</v>
      </c>
      <c r="AT982">
        <f t="shared" si="149"/>
        <v>10</v>
      </c>
      <c r="AU982">
        <f t="shared" ca="1" si="150"/>
        <v>-99</v>
      </c>
      <c r="AV982">
        <f t="shared" ca="1" si="151"/>
        <v>-99</v>
      </c>
      <c r="AW982">
        <f ca="1">IF(AND($AT982&lt;3,OFFSET(DATA!$C$14,$AS982,0)=AW$6),$AV982,dNULL)</f>
        <v>-99</v>
      </c>
      <c r="AX982">
        <f ca="1">IF(AND($AT982&lt;3,OFFSET(DATA!$C$14,$AS982,0)=AX$6),$AV982,dNULL)</f>
        <v>-99</v>
      </c>
      <c r="AY982">
        <f ca="1">IF(AND($AT982&lt;3,OFFSET(DATA!$C$14,$AS982,0)=AY$6),$AV982,dNULL)</f>
        <v>-99</v>
      </c>
      <c r="AZ982">
        <f ca="1">IF(AND($AT982&lt;3,OFFSET(DATA!$C$14,$AS982,0)=AZ$6),$AV982,dNULL)</f>
        <v>-99</v>
      </c>
      <c r="BA982">
        <f ca="1">IF(AND($AT982&lt;3,OFFSET(DATA!$C$14,$AS982,0)=BA$6),$AV982,dNULL)</f>
        <v>-99</v>
      </c>
      <c r="BB982">
        <f ca="1">IF(AND($AT982&lt;3,OFFSET(DATA!$C$14,$AS982,0)=BB$6),$AV982,dNULL)</f>
        <v>-99</v>
      </c>
      <c r="BC982">
        <f ca="1">IF(AND($AT982&lt;3,OFFSET(DATA!$C$14,$AS982,0)=BC$6),$AV982,dNULL)</f>
        <v>-99</v>
      </c>
      <c r="BD982">
        <f ca="1">IF(AND($AT982&lt;3,OFFSET(DATA!$C$14,$AS982,0)=BD$6),$AV982,dNULL)</f>
        <v>-99</v>
      </c>
      <c r="BE982">
        <f ca="1">IF(AND($AT982&lt;3,OFFSET(DATA!$C$14,$AS982,0)=BE$6),$AV982,dNULL)</f>
        <v>-99</v>
      </c>
      <c r="BF982">
        <f ca="1">IF(AND($AT982&lt;3,OFFSET(DATA!$C$14,$AS982,0)=BF$6),$AV982,dNULL)</f>
        <v>-99</v>
      </c>
      <c r="BG982">
        <f ca="1">IF(AND($AT982&lt;3,OFFSET(DATA!$C$14,$AS982,0)=BG$6),$AV982,dNULL)</f>
        <v>-99</v>
      </c>
      <c r="BH982">
        <f ca="1">IF(AND($AT982&lt;3,OFFSET(DATA!$C$14,$AS982,0)=BH$6),$AV982,dNULL)</f>
        <v>-99</v>
      </c>
    </row>
    <row r="983" spans="45:60" x14ac:dyDescent="0.25">
      <c r="AS983">
        <f t="shared" si="148"/>
        <v>77</v>
      </c>
      <c r="AT983">
        <f t="shared" si="149"/>
        <v>10</v>
      </c>
      <c r="AU983">
        <f t="shared" ca="1" si="150"/>
        <v>-99</v>
      </c>
      <c r="AV983">
        <f t="shared" ca="1" si="151"/>
        <v>-99</v>
      </c>
      <c r="AW983">
        <f ca="1">IF(AND($AT983&lt;3,OFFSET(DATA!$C$14,$AS983,0)=AW$6),$AV983,dNULL)</f>
        <v>-99</v>
      </c>
      <c r="AX983">
        <f ca="1">IF(AND($AT983&lt;3,OFFSET(DATA!$C$14,$AS983,0)=AX$6),$AV983,dNULL)</f>
        <v>-99</v>
      </c>
      <c r="AY983">
        <f ca="1">IF(AND($AT983&lt;3,OFFSET(DATA!$C$14,$AS983,0)=AY$6),$AV983,dNULL)</f>
        <v>-99</v>
      </c>
      <c r="AZ983">
        <f ca="1">IF(AND($AT983&lt;3,OFFSET(DATA!$C$14,$AS983,0)=AZ$6),$AV983,dNULL)</f>
        <v>-99</v>
      </c>
      <c r="BA983">
        <f ca="1">IF(AND($AT983&lt;3,OFFSET(DATA!$C$14,$AS983,0)=BA$6),$AV983,dNULL)</f>
        <v>-99</v>
      </c>
      <c r="BB983">
        <f ca="1">IF(AND($AT983&lt;3,OFFSET(DATA!$C$14,$AS983,0)=BB$6),$AV983,dNULL)</f>
        <v>-99</v>
      </c>
      <c r="BC983">
        <f ca="1">IF(AND($AT983&lt;3,OFFSET(DATA!$C$14,$AS983,0)=BC$6),$AV983,dNULL)</f>
        <v>-99</v>
      </c>
      <c r="BD983">
        <f ca="1">IF(AND($AT983&lt;3,OFFSET(DATA!$C$14,$AS983,0)=BD$6),$AV983,dNULL)</f>
        <v>-99</v>
      </c>
      <c r="BE983">
        <f ca="1">IF(AND($AT983&lt;3,OFFSET(DATA!$C$14,$AS983,0)=BE$6),$AV983,dNULL)</f>
        <v>-99</v>
      </c>
      <c r="BF983">
        <f ca="1">IF(AND($AT983&lt;3,OFFSET(DATA!$C$14,$AS983,0)=BF$6),$AV983,dNULL)</f>
        <v>-99</v>
      </c>
      <c r="BG983">
        <f ca="1">IF(AND($AT983&lt;3,OFFSET(DATA!$C$14,$AS983,0)=BG$6),$AV983,dNULL)</f>
        <v>-99</v>
      </c>
      <c r="BH983">
        <f ca="1">IF(AND($AT983&lt;3,OFFSET(DATA!$C$14,$AS983,0)=BH$6),$AV983,dNULL)</f>
        <v>-99</v>
      </c>
    </row>
    <row r="984" spans="45:60" x14ac:dyDescent="0.25">
      <c r="AS984">
        <f t="shared" si="148"/>
        <v>78</v>
      </c>
      <c r="AT984">
        <f t="shared" si="149"/>
        <v>10</v>
      </c>
      <c r="AU984">
        <f t="shared" ca="1" si="150"/>
        <v>-99</v>
      </c>
      <c r="AV984">
        <f t="shared" ca="1" si="151"/>
        <v>-99</v>
      </c>
      <c r="AW984">
        <f ca="1">IF(AND($AT984&lt;3,OFFSET(DATA!$C$14,$AS984,0)=AW$6),$AV984,dNULL)</f>
        <v>-99</v>
      </c>
      <c r="AX984">
        <f ca="1">IF(AND($AT984&lt;3,OFFSET(DATA!$C$14,$AS984,0)=AX$6),$AV984,dNULL)</f>
        <v>-99</v>
      </c>
      <c r="AY984">
        <f ca="1">IF(AND($AT984&lt;3,OFFSET(DATA!$C$14,$AS984,0)=AY$6),$AV984,dNULL)</f>
        <v>-99</v>
      </c>
      <c r="AZ984">
        <f ca="1">IF(AND($AT984&lt;3,OFFSET(DATA!$C$14,$AS984,0)=AZ$6),$AV984,dNULL)</f>
        <v>-99</v>
      </c>
      <c r="BA984">
        <f ca="1">IF(AND($AT984&lt;3,OFFSET(DATA!$C$14,$AS984,0)=BA$6),$AV984,dNULL)</f>
        <v>-99</v>
      </c>
      <c r="BB984">
        <f ca="1">IF(AND($AT984&lt;3,OFFSET(DATA!$C$14,$AS984,0)=BB$6),$AV984,dNULL)</f>
        <v>-99</v>
      </c>
      <c r="BC984">
        <f ca="1">IF(AND($AT984&lt;3,OFFSET(DATA!$C$14,$AS984,0)=BC$6),$AV984,dNULL)</f>
        <v>-99</v>
      </c>
      <c r="BD984">
        <f ca="1">IF(AND($AT984&lt;3,OFFSET(DATA!$C$14,$AS984,0)=BD$6),$AV984,dNULL)</f>
        <v>-99</v>
      </c>
      <c r="BE984">
        <f ca="1">IF(AND($AT984&lt;3,OFFSET(DATA!$C$14,$AS984,0)=BE$6),$AV984,dNULL)</f>
        <v>-99</v>
      </c>
      <c r="BF984">
        <f ca="1">IF(AND($AT984&lt;3,OFFSET(DATA!$C$14,$AS984,0)=BF$6),$AV984,dNULL)</f>
        <v>-99</v>
      </c>
      <c r="BG984">
        <f ca="1">IF(AND($AT984&lt;3,OFFSET(DATA!$C$14,$AS984,0)=BG$6),$AV984,dNULL)</f>
        <v>-99</v>
      </c>
      <c r="BH984">
        <f ca="1">IF(AND($AT984&lt;3,OFFSET(DATA!$C$14,$AS984,0)=BH$6),$AV984,dNULL)</f>
        <v>-99</v>
      </c>
    </row>
    <row r="985" spans="45:60" x14ac:dyDescent="0.25">
      <c r="AS985">
        <f t="shared" si="148"/>
        <v>79</v>
      </c>
      <c r="AT985">
        <f t="shared" si="149"/>
        <v>10</v>
      </c>
      <c r="AU985">
        <f t="shared" ca="1" si="150"/>
        <v>-99</v>
      </c>
      <c r="AV985">
        <f t="shared" ca="1" si="151"/>
        <v>-99</v>
      </c>
      <c r="AW985">
        <f ca="1">IF(AND($AT985&lt;3,OFFSET(DATA!$C$14,$AS985,0)=AW$6),$AV985,dNULL)</f>
        <v>-99</v>
      </c>
      <c r="AX985">
        <f ca="1">IF(AND($AT985&lt;3,OFFSET(DATA!$C$14,$AS985,0)=AX$6),$AV985,dNULL)</f>
        <v>-99</v>
      </c>
      <c r="AY985">
        <f ca="1">IF(AND($AT985&lt;3,OFFSET(DATA!$C$14,$AS985,0)=AY$6),$AV985,dNULL)</f>
        <v>-99</v>
      </c>
      <c r="AZ985">
        <f ca="1">IF(AND($AT985&lt;3,OFFSET(DATA!$C$14,$AS985,0)=AZ$6),$AV985,dNULL)</f>
        <v>-99</v>
      </c>
      <c r="BA985">
        <f ca="1">IF(AND($AT985&lt;3,OFFSET(DATA!$C$14,$AS985,0)=BA$6),$AV985,dNULL)</f>
        <v>-99</v>
      </c>
      <c r="BB985">
        <f ca="1">IF(AND($AT985&lt;3,OFFSET(DATA!$C$14,$AS985,0)=BB$6),$AV985,dNULL)</f>
        <v>-99</v>
      </c>
      <c r="BC985">
        <f ca="1">IF(AND($AT985&lt;3,OFFSET(DATA!$C$14,$AS985,0)=BC$6),$AV985,dNULL)</f>
        <v>-99</v>
      </c>
      <c r="BD985">
        <f ca="1">IF(AND($AT985&lt;3,OFFSET(DATA!$C$14,$AS985,0)=BD$6),$AV985,dNULL)</f>
        <v>-99</v>
      </c>
      <c r="BE985">
        <f ca="1">IF(AND($AT985&lt;3,OFFSET(DATA!$C$14,$AS985,0)=BE$6),$AV985,dNULL)</f>
        <v>-99</v>
      </c>
      <c r="BF985">
        <f ca="1">IF(AND($AT985&lt;3,OFFSET(DATA!$C$14,$AS985,0)=BF$6),$AV985,dNULL)</f>
        <v>-99</v>
      </c>
      <c r="BG985">
        <f ca="1">IF(AND($AT985&lt;3,OFFSET(DATA!$C$14,$AS985,0)=BG$6),$AV985,dNULL)</f>
        <v>-99</v>
      </c>
      <c r="BH985">
        <f ca="1">IF(AND($AT985&lt;3,OFFSET(DATA!$C$14,$AS985,0)=BH$6),$AV985,dNULL)</f>
        <v>-99</v>
      </c>
    </row>
    <row r="986" spans="45:60" x14ac:dyDescent="0.25">
      <c r="AS986">
        <f t="shared" si="148"/>
        <v>80</v>
      </c>
      <c r="AT986">
        <f t="shared" si="149"/>
        <v>10</v>
      </c>
      <c r="AU986">
        <f t="shared" ca="1" si="150"/>
        <v>-99</v>
      </c>
      <c r="AV986">
        <f t="shared" ca="1" si="151"/>
        <v>-99</v>
      </c>
      <c r="AW986">
        <f ca="1">IF(AND($AT986&lt;3,OFFSET(DATA!$C$14,$AS986,0)=AW$6),$AV986,dNULL)</f>
        <v>-99</v>
      </c>
      <c r="AX986">
        <f ca="1">IF(AND($AT986&lt;3,OFFSET(DATA!$C$14,$AS986,0)=AX$6),$AV986,dNULL)</f>
        <v>-99</v>
      </c>
      <c r="AY986">
        <f ca="1">IF(AND($AT986&lt;3,OFFSET(DATA!$C$14,$AS986,0)=AY$6),$AV986,dNULL)</f>
        <v>-99</v>
      </c>
      <c r="AZ986">
        <f ca="1">IF(AND($AT986&lt;3,OFFSET(DATA!$C$14,$AS986,0)=AZ$6),$AV986,dNULL)</f>
        <v>-99</v>
      </c>
      <c r="BA986">
        <f ca="1">IF(AND($AT986&lt;3,OFFSET(DATA!$C$14,$AS986,0)=BA$6),$AV986,dNULL)</f>
        <v>-99</v>
      </c>
      <c r="BB986">
        <f ca="1">IF(AND($AT986&lt;3,OFFSET(DATA!$C$14,$AS986,0)=BB$6),$AV986,dNULL)</f>
        <v>-99</v>
      </c>
      <c r="BC986">
        <f ca="1">IF(AND($AT986&lt;3,OFFSET(DATA!$C$14,$AS986,0)=BC$6),$AV986,dNULL)</f>
        <v>-99</v>
      </c>
      <c r="BD986">
        <f ca="1">IF(AND($AT986&lt;3,OFFSET(DATA!$C$14,$AS986,0)=BD$6),$AV986,dNULL)</f>
        <v>-99</v>
      </c>
      <c r="BE986">
        <f ca="1">IF(AND($AT986&lt;3,OFFSET(DATA!$C$14,$AS986,0)=BE$6),$AV986,dNULL)</f>
        <v>-99</v>
      </c>
      <c r="BF986">
        <f ca="1">IF(AND($AT986&lt;3,OFFSET(DATA!$C$14,$AS986,0)=BF$6),$AV986,dNULL)</f>
        <v>-99</v>
      </c>
      <c r="BG986">
        <f ca="1">IF(AND($AT986&lt;3,OFFSET(DATA!$C$14,$AS986,0)=BG$6),$AV986,dNULL)</f>
        <v>-99</v>
      </c>
      <c r="BH986">
        <f ca="1">IF(AND($AT986&lt;3,OFFSET(DATA!$C$14,$AS986,0)=BH$6),$AV986,dNULL)</f>
        <v>-99</v>
      </c>
    </row>
    <row r="987" spans="45:60" x14ac:dyDescent="0.25">
      <c r="AS987">
        <f t="shared" si="148"/>
        <v>81</v>
      </c>
      <c r="AT987">
        <f t="shared" si="149"/>
        <v>10</v>
      </c>
      <c r="AU987">
        <f t="shared" ca="1" si="150"/>
        <v>-99</v>
      </c>
      <c r="AV987">
        <f t="shared" ca="1" si="151"/>
        <v>-99</v>
      </c>
      <c r="AW987">
        <f ca="1">IF(AND($AT987&lt;3,OFFSET(DATA!$C$14,$AS987,0)=AW$6),$AV987,dNULL)</f>
        <v>-99</v>
      </c>
      <c r="AX987">
        <f ca="1">IF(AND($AT987&lt;3,OFFSET(DATA!$C$14,$AS987,0)=AX$6),$AV987,dNULL)</f>
        <v>-99</v>
      </c>
      <c r="AY987">
        <f ca="1">IF(AND($AT987&lt;3,OFFSET(DATA!$C$14,$AS987,0)=AY$6),$AV987,dNULL)</f>
        <v>-99</v>
      </c>
      <c r="AZ987">
        <f ca="1">IF(AND($AT987&lt;3,OFFSET(DATA!$C$14,$AS987,0)=AZ$6),$AV987,dNULL)</f>
        <v>-99</v>
      </c>
      <c r="BA987">
        <f ca="1">IF(AND($AT987&lt;3,OFFSET(DATA!$C$14,$AS987,0)=BA$6),$AV987,dNULL)</f>
        <v>-99</v>
      </c>
      <c r="BB987">
        <f ca="1">IF(AND($AT987&lt;3,OFFSET(DATA!$C$14,$AS987,0)=BB$6),$AV987,dNULL)</f>
        <v>-99</v>
      </c>
      <c r="BC987">
        <f ca="1">IF(AND($AT987&lt;3,OFFSET(DATA!$C$14,$AS987,0)=BC$6),$AV987,dNULL)</f>
        <v>-99</v>
      </c>
      <c r="BD987">
        <f ca="1">IF(AND($AT987&lt;3,OFFSET(DATA!$C$14,$AS987,0)=BD$6),$AV987,dNULL)</f>
        <v>-99</v>
      </c>
      <c r="BE987">
        <f ca="1">IF(AND($AT987&lt;3,OFFSET(DATA!$C$14,$AS987,0)=BE$6),$AV987,dNULL)</f>
        <v>-99</v>
      </c>
      <c r="BF987">
        <f ca="1">IF(AND($AT987&lt;3,OFFSET(DATA!$C$14,$AS987,0)=BF$6),$AV987,dNULL)</f>
        <v>-99</v>
      </c>
      <c r="BG987">
        <f ca="1">IF(AND($AT987&lt;3,OFFSET(DATA!$C$14,$AS987,0)=BG$6),$AV987,dNULL)</f>
        <v>-99</v>
      </c>
      <c r="BH987">
        <f ca="1">IF(AND($AT987&lt;3,OFFSET(DATA!$C$14,$AS987,0)=BH$6),$AV987,dNULL)</f>
        <v>-99</v>
      </c>
    </row>
    <row r="988" spans="45:60" x14ac:dyDescent="0.25">
      <c r="AS988">
        <f t="shared" si="148"/>
        <v>82</v>
      </c>
      <c r="AT988">
        <f t="shared" si="149"/>
        <v>10</v>
      </c>
      <c r="AU988">
        <f t="shared" ca="1" si="150"/>
        <v>-99</v>
      </c>
      <c r="AV988">
        <f t="shared" ca="1" si="151"/>
        <v>-99</v>
      </c>
      <c r="AW988">
        <f ca="1">IF(AND($AT988&lt;3,OFFSET(DATA!$C$14,$AS988,0)=AW$6),$AV988,dNULL)</f>
        <v>-99</v>
      </c>
      <c r="AX988">
        <f ca="1">IF(AND($AT988&lt;3,OFFSET(DATA!$C$14,$AS988,0)=AX$6),$AV988,dNULL)</f>
        <v>-99</v>
      </c>
      <c r="AY988">
        <f ca="1">IF(AND($AT988&lt;3,OFFSET(DATA!$C$14,$AS988,0)=AY$6),$AV988,dNULL)</f>
        <v>-99</v>
      </c>
      <c r="AZ988">
        <f ca="1">IF(AND($AT988&lt;3,OFFSET(DATA!$C$14,$AS988,0)=AZ$6),$AV988,dNULL)</f>
        <v>-99</v>
      </c>
      <c r="BA988">
        <f ca="1">IF(AND($AT988&lt;3,OFFSET(DATA!$C$14,$AS988,0)=BA$6),$AV988,dNULL)</f>
        <v>-99</v>
      </c>
      <c r="BB988">
        <f ca="1">IF(AND($AT988&lt;3,OFFSET(DATA!$C$14,$AS988,0)=BB$6),$AV988,dNULL)</f>
        <v>-99</v>
      </c>
      <c r="BC988">
        <f ca="1">IF(AND($AT988&lt;3,OFFSET(DATA!$C$14,$AS988,0)=BC$6),$AV988,dNULL)</f>
        <v>-99</v>
      </c>
      <c r="BD988">
        <f ca="1">IF(AND($AT988&lt;3,OFFSET(DATA!$C$14,$AS988,0)=BD$6),$AV988,dNULL)</f>
        <v>-99</v>
      </c>
      <c r="BE988">
        <f ca="1">IF(AND($AT988&lt;3,OFFSET(DATA!$C$14,$AS988,0)=BE$6),$AV988,dNULL)</f>
        <v>-99</v>
      </c>
      <c r="BF988">
        <f ca="1">IF(AND($AT988&lt;3,OFFSET(DATA!$C$14,$AS988,0)=BF$6),$AV988,dNULL)</f>
        <v>-99</v>
      </c>
      <c r="BG988">
        <f ca="1">IF(AND($AT988&lt;3,OFFSET(DATA!$C$14,$AS988,0)=BG$6),$AV988,dNULL)</f>
        <v>-99</v>
      </c>
      <c r="BH988">
        <f ca="1">IF(AND($AT988&lt;3,OFFSET(DATA!$C$14,$AS988,0)=BH$6),$AV988,dNULL)</f>
        <v>-99</v>
      </c>
    </row>
    <row r="989" spans="45:60" x14ac:dyDescent="0.25">
      <c r="AS989">
        <f t="shared" si="148"/>
        <v>83</v>
      </c>
      <c r="AT989">
        <f t="shared" si="149"/>
        <v>10</v>
      </c>
      <c r="AU989">
        <f t="shared" ca="1" si="150"/>
        <v>-99</v>
      </c>
      <c r="AV989">
        <f t="shared" ca="1" si="151"/>
        <v>-99</v>
      </c>
      <c r="AW989">
        <f ca="1">IF(AND($AT989&lt;3,OFFSET(DATA!$C$14,$AS989,0)=AW$6),$AV989,dNULL)</f>
        <v>-99</v>
      </c>
      <c r="AX989">
        <f ca="1">IF(AND($AT989&lt;3,OFFSET(DATA!$C$14,$AS989,0)=AX$6),$AV989,dNULL)</f>
        <v>-99</v>
      </c>
      <c r="AY989">
        <f ca="1">IF(AND($AT989&lt;3,OFFSET(DATA!$C$14,$AS989,0)=AY$6),$AV989,dNULL)</f>
        <v>-99</v>
      </c>
      <c r="AZ989">
        <f ca="1">IF(AND($AT989&lt;3,OFFSET(DATA!$C$14,$AS989,0)=AZ$6),$AV989,dNULL)</f>
        <v>-99</v>
      </c>
      <c r="BA989">
        <f ca="1">IF(AND($AT989&lt;3,OFFSET(DATA!$C$14,$AS989,0)=BA$6),$AV989,dNULL)</f>
        <v>-99</v>
      </c>
      <c r="BB989">
        <f ca="1">IF(AND($AT989&lt;3,OFFSET(DATA!$C$14,$AS989,0)=BB$6),$AV989,dNULL)</f>
        <v>-99</v>
      </c>
      <c r="BC989">
        <f ca="1">IF(AND($AT989&lt;3,OFFSET(DATA!$C$14,$AS989,0)=BC$6),$AV989,dNULL)</f>
        <v>-99</v>
      </c>
      <c r="BD989">
        <f ca="1">IF(AND($AT989&lt;3,OFFSET(DATA!$C$14,$AS989,0)=BD$6),$AV989,dNULL)</f>
        <v>-99</v>
      </c>
      <c r="BE989">
        <f ca="1">IF(AND($AT989&lt;3,OFFSET(DATA!$C$14,$AS989,0)=BE$6),$AV989,dNULL)</f>
        <v>-99</v>
      </c>
      <c r="BF989">
        <f ca="1">IF(AND($AT989&lt;3,OFFSET(DATA!$C$14,$AS989,0)=BF$6),$AV989,dNULL)</f>
        <v>-99</v>
      </c>
      <c r="BG989">
        <f ca="1">IF(AND($AT989&lt;3,OFFSET(DATA!$C$14,$AS989,0)=BG$6),$AV989,dNULL)</f>
        <v>-99</v>
      </c>
      <c r="BH989">
        <f ca="1">IF(AND($AT989&lt;3,OFFSET(DATA!$C$14,$AS989,0)=BH$6),$AV989,dNULL)</f>
        <v>-99</v>
      </c>
    </row>
    <row r="990" spans="45:60" x14ac:dyDescent="0.25">
      <c r="AS990">
        <f t="shared" si="148"/>
        <v>84</v>
      </c>
      <c r="AT990">
        <f t="shared" si="149"/>
        <v>10</v>
      </c>
      <c r="AU990">
        <f t="shared" ca="1" si="150"/>
        <v>-99</v>
      </c>
      <c r="AV990">
        <f t="shared" ca="1" si="151"/>
        <v>-99</v>
      </c>
      <c r="AW990">
        <f ca="1">IF(AND($AT990&lt;3,OFFSET(DATA!$C$14,$AS990,0)=AW$6),$AV990,dNULL)</f>
        <v>-99</v>
      </c>
      <c r="AX990">
        <f ca="1">IF(AND($AT990&lt;3,OFFSET(DATA!$C$14,$AS990,0)=AX$6),$AV990,dNULL)</f>
        <v>-99</v>
      </c>
      <c r="AY990">
        <f ca="1">IF(AND($AT990&lt;3,OFFSET(DATA!$C$14,$AS990,0)=AY$6),$AV990,dNULL)</f>
        <v>-99</v>
      </c>
      <c r="AZ990">
        <f ca="1">IF(AND($AT990&lt;3,OFFSET(DATA!$C$14,$AS990,0)=AZ$6),$AV990,dNULL)</f>
        <v>-99</v>
      </c>
      <c r="BA990">
        <f ca="1">IF(AND($AT990&lt;3,OFFSET(DATA!$C$14,$AS990,0)=BA$6),$AV990,dNULL)</f>
        <v>-99</v>
      </c>
      <c r="BB990">
        <f ca="1">IF(AND($AT990&lt;3,OFFSET(DATA!$C$14,$AS990,0)=BB$6),$AV990,dNULL)</f>
        <v>-99</v>
      </c>
      <c r="BC990">
        <f ca="1">IF(AND($AT990&lt;3,OFFSET(DATA!$C$14,$AS990,0)=BC$6),$AV990,dNULL)</f>
        <v>-99</v>
      </c>
      <c r="BD990">
        <f ca="1">IF(AND($AT990&lt;3,OFFSET(DATA!$C$14,$AS990,0)=BD$6),$AV990,dNULL)</f>
        <v>-99</v>
      </c>
      <c r="BE990">
        <f ca="1">IF(AND($AT990&lt;3,OFFSET(DATA!$C$14,$AS990,0)=BE$6),$AV990,dNULL)</f>
        <v>-99</v>
      </c>
      <c r="BF990">
        <f ca="1">IF(AND($AT990&lt;3,OFFSET(DATA!$C$14,$AS990,0)=BF$6),$AV990,dNULL)</f>
        <v>-99</v>
      </c>
      <c r="BG990">
        <f ca="1">IF(AND($AT990&lt;3,OFFSET(DATA!$C$14,$AS990,0)=BG$6),$AV990,dNULL)</f>
        <v>-99</v>
      </c>
      <c r="BH990">
        <f ca="1">IF(AND($AT990&lt;3,OFFSET(DATA!$C$14,$AS990,0)=BH$6),$AV990,dNULL)</f>
        <v>-99</v>
      </c>
    </row>
    <row r="991" spans="45:60" x14ac:dyDescent="0.25">
      <c r="AS991">
        <f t="shared" si="148"/>
        <v>85</v>
      </c>
      <c r="AT991">
        <f t="shared" si="149"/>
        <v>10</v>
      </c>
      <c r="AU991">
        <f t="shared" ca="1" si="150"/>
        <v>-99</v>
      </c>
      <c r="AV991">
        <f t="shared" ca="1" si="151"/>
        <v>-99</v>
      </c>
      <c r="AW991">
        <f ca="1">IF(AND($AT991&lt;3,OFFSET(DATA!$C$14,$AS991,0)=AW$6),$AV991,dNULL)</f>
        <v>-99</v>
      </c>
      <c r="AX991">
        <f ca="1">IF(AND($AT991&lt;3,OFFSET(DATA!$C$14,$AS991,0)=AX$6),$AV991,dNULL)</f>
        <v>-99</v>
      </c>
      <c r="AY991">
        <f ca="1">IF(AND($AT991&lt;3,OFFSET(DATA!$C$14,$AS991,0)=AY$6),$AV991,dNULL)</f>
        <v>-99</v>
      </c>
      <c r="AZ991">
        <f ca="1">IF(AND($AT991&lt;3,OFFSET(DATA!$C$14,$AS991,0)=AZ$6),$AV991,dNULL)</f>
        <v>-99</v>
      </c>
      <c r="BA991">
        <f ca="1">IF(AND($AT991&lt;3,OFFSET(DATA!$C$14,$AS991,0)=BA$6),$AV991,dNULL)</f>
        <v>-99</v>
      </c>
      <c r="BB991">
        <f ca="1">IF(AND($AT991&lt;3,OFFSET(DATA!$C$14,$AS991,0)=BB$6),$AV991,dNULL)</f>
        <v>-99</v>
      </c>
      <c r="BC991">
        <f ca="1">IF(AND($AT991&lt;3,OFFSET(DATA!$C$14,$AS991,0)=BC$6),$AV991,dNULL)</f>
        <v>-99</v>
      </c>
      <c r="BD991">
        <f ca="1">IF(AND($AT991&lt;3,OFFSET(DATA!$C$14,$AS991,0)=BD$6),$AV991,dNULL)</f>
        <v>-99</v>
      </c>
      <c r="BE991">
        <f ca="1">IF(AND($AT991&lt;3,OFFSET(DATA!$C$14,$AS991,0)=BE$6),$AV991,dNULL)</f>
        <v>-99</v>
      </c>
      <c r="BF991">
        <f ca="1">IF(AND($AT991&lt;3,OFFSET(DATA!$C$14,$AS991,0)=BF$6),$AV991,dNULL)</f>
        <v>-99</v>
      </c>
      <c r="BG991">
        <f ca="1">IF(AND($AT991&lt;3,OFFSET(DATA!$C$14,$AS991,0)=BG$6),$AV991,dNULL)</f>
        <v>-99</v>
      </c>
      <c r="BH991">
        <f ca="1">IF(AND($AT991&lt;3,OFFSET(DATA!$C$14,$AS991,0)=BH$6),$AV991,dNULL)</f>
        <v>-99</v>
      </c>
    </row>
    <row r="992" spans="45:60" x14ac:dyDescent="0.25">
      <c r="AS992">
        <f t="shared" si="148"/>
        <v>86</v>
      </c>
      <c r="AT992">
        <f t="shared" si="149"/>
        <v>10</v>
      </c>
      <c r="AU992">
        <f t="shared" ca="1" si="150"/>
        <v>-99</v>
      </c>
      <c r="AV992">
        <f t="shared" ca="1" si="151"/>
        <v>-99</v>
      </c>
      <c r="AW992">
        <f ca="1">IF(AND($AT992&lt;3,OFFSET(DATA!$C$14,$AS992,0)=AW$6),$AV992,dNULL)</f>
        <v>-99</v>
      </c>
      <c r="AX992">
        <f ca="1">IF(AND($AT992&lt;3,OFFSET(DATA!$C$14,$AS992,0)=AX$6),$AV992,dNULL)</f>
        <v>-99</v>
      </c>
      <c r="AY992">
        <f ca="1">IF(AND($AT992&lt;3,OFFSET(DATA!$C$14,$AS992,0)=AY$6),$AV992,dNULL)</f>
        <v>-99</v>
      </c>
      <c r="AZ992">
        <f ca="1">IF(AND($AT992&lt;3,OFFSET(DATA!$C$14,$AS992,0)=AZ$6),$AV992,dNULL)</f>
        <v>-99</v>
      </c>
      <c r="BA992">
        <f ca="1">IF(AND($AT992&lt;3,OFFSET(DATA!$C$14,$AS992,0)=BA$6),$AV992,dNULL)</f>
        <v>-99</v>
      </c>
      <c r="BB992">
        <f ca="1">IF(AND($AT992&lt;3,OFFSET(DATA!$C$14,$AS992,0)=BB$6),$AV992,dNULL)</f>
        <v>-99</v>
      </c>
      <c r="BC992">
        <f ca="1">IF(AND($AT992&lt;3,OFFSET(DATA!$C$14,$AS992,0)=BC$6),$AV992,dNULL)</f>
        <v>-99</v>
      </c>
      <c r="BD992">
        <f ca="1">IF(AND($AT992&lt;3,OFFSET(DATA!$C$14,$AS992,0)=BD$6),$AV992,dNULL)</f>
        <v>-99</v>
      </c>
      <c r="BE992">
        <f ca="1">IF(AND($AT992&lt;3,OFFSET(DATA!$C$14,$AS992,0)=BE$6),$AV992,dNULL)</f>
        <v>-99</v>
      </c>
      <c r="BF992">
        <f ca="1">IF(AND($AT992&lt;3,OFFSET(DATA!$C$14,$AS992,0)=BF$6),$AV992,dNULL)</f>
        <v>-99</v>
      </c>
      <c r="BG992">
        <f ca="1">IF(AND($AT992&lt;3,OFFSET(DATA!$C$14,$AS992,0)=BG$6),$AV992,dNULL)</f>
        <v>-99</v>
      </c>
      <c r="BH992">
        <f ca="1">IF(AND($AT992&lt;3,OFFSET(DATA!$C$14,$AS992,0)=BH$6),$AV992,dNULL)</f>
        <v>-99</v>
      </c>
    </row>
    <row r="993" spans="45:60" x14ac:dyDescent="0.25">
      <c r="AS993">
        <f t="shared" si="148"/>
        <v>87</v>
      </c>
      <c r="AT993">
        <f t="shared" si="149"/>
        <v>10</v>
      </c>
      <c r="AU993">
        <f t="shared" ca="1" si="150"/>
        <v>-99</v>
      </c>
      <c r="AV993">
        <f t="shared" ca="1" si="151"/>
        <v>-99</v>
      </c>
      <c r="AW993">
        <f ca="1">IF(AND($AT993&lt;3,OFFSET(DATA!$C$14,$AS993,0)=AW$6),$AV993,dNULL)</f>
        <v>-99</v>
      </c>
      <c r="AX993">
        <f ca="1">IF(AND($AT993&lt;3,OFFSET(DATA!$C$14,$AS993,0)=AX$6),$AV993,dNULL)</f>
        <v>-99</v>
      </c>
      <c r="AY993">
        <f ca="1">IF(AND($AT993&lt;3,OFFSET(DATA!$C$14,$AS993,0)=AY$6),$AV993,dNULL)</f>
        <v>-99</v>
      </c>
      <c r="AZ993">
        <f ca="1">IF(AND($AT993&lt;3,OFFSET(DATA!$C$14,$AS993,0)=AZ$6),$AV993,dNULL)</f>
        <v>-99</v>
      </c>
      <c r="BA993">
        <f ca="1">IF(AND($AT993&lt;3,OFFSET(DATA!$C$14,$AS993,0)=BA$6),$AV993,dNULL)</f>
        <v>-99</v>
      </c>
      <c r="BB993">
        <f ca="1">IF(AND($AT993&lt;3,OFFSET(DATA!$C$14,$AS993,0)=BB$6),$AV993,dNULL)</f>
        <v>-99</v>
      </c>
      <c r="BC993">
        <f ca="1">IF(AND($AT993&lt;3,OFFSET(DATA!$C$14,$AS993,0)=BC$6),$AV993,dNULL)</f>
        <v>-99</v>
      </c>
      <c r="BD993">
        <f ca="1">IF(AND($AT993&lt;3,OFFSET(DATA!$C$14,$AS993,0)=BD$6),$AV993,dNULL)</f>
        <v>-99</v>
      </c>
      <c r="BE993">
        <f ca="1">IF(AND($AT993&lt;3,OFFSET(DATA!$C$14,$AS993,0)=BE$6),$AV993,dNULL)</f>
        <v>-99</v>
      </c>
      <c r="BF993">
        <f ca="1">IF(AND($AT993&lt;3,OFFSET(DATA!$C$14,$AS993,0)=BF$6),$AV993,dNULL)</f>
        <v>-99</v>
      </c>
      <c r="BG993">
        <f ca="1">IF(AND($AT993&lt;3,OFFSET(DATA!$C$14,$AS993,0)=BG$6),$AV993,dNULL)</f>
        <v>-99</v>
      </c>
      <c r="BH993">
        <f ca="1">IF(AND($AT993&lt;3,OFFSET(DATA!$C$14,$AS993,0)=BH$6),$AV993,dNULL)</f>
        <v>-99</v>
      </c>
    </row>
    <row r="994" spans="45:60" x14ac:dyDescent="0.25">
      <c r="AS994">
        <f t="shared" si="148"/>
        <v>88</v>
      </c>
      <c r="AT994">
        <f t="shared" si="149"/>
        <v>10</v>
      </c>
      <c r="AU994">
        <f t="shared" ca="1" si="150"/>
        <v>-99</v>
      </c>
      <c r="AV994">
        <f t="shared" ca="1" si="151"/>
        <v>-99</v>
      </c>
      <c r="AW994">
        <f ca="1">IF(AND($AT994&lt;3,OFFSET(DATA!$C$14,$AS994,0)=AW$6),$AV994,dNULL)</f>
        <v>-99</v>
      </c>
      <c r="AX994">
        <f ca="1">IF(AND($AT994&lt;3,OFFSET(DATA!$C$14,$AS994,0)=AX$6),$AV994,dNULL)</f>
        <v>-99</v>
      </c>
      <c r="AY994">
        <f ca="1">IF(AND($AT994&lt;3,OFFSET(DATA!$C$14,$AS994,0)=AY$6),$AV994,dNULL)</f>
        <v>-99</v>
      </c>
      <c r="AZ994">
        <f ca="1">IF(AND($AT994&lt;3,OFFSET(DATA!$C$14,$AS994,0)=AZ$6),$AV994,dNULL)</f>
        <v>-99</v>
      </c>
      <c r="BA994">
        <f ca="1">IF(AND($AT994&lt;3,OFFSET(DATA!$C$14,$AS994,0)=BA$6),$AV994,dNULL)</f>
        <v>-99</v>
      </c>
      <c r="BB994">
        <f ca="1">IF(AND($AT994&lt;3,OFFSET(DATA!$C$14,$AS994,0)=BB$6),$AV994,dNULL)</f>
        <v>-99</v>
      </c>
      <c r="BC994">
        <f ca="1">IF(AND($AT994&lt;3,OFFSET(DATA!$C$14,$AS994,0)=BC$6),$AV994,dNULL)</f>
        <v>-99</v>
      </c>
      <c r="BD994">
        <f ca="1">IF(AND($AT994&lt;3,OFFSET(DATA!$C$14,$AS994,0)=BD$6),$AV994,dNULL)</f>
        <v>-99</v>
      </c>
      <c r="BE994">
        <f ca="1">IF(AND($AT994&lt;3,OFFSET(DATA!$C$14,$AS994,0)=BE$6),$AV994,dNULL)</f>
        <v>-99</v>
      </c>
      <c r="BF994">
        <f ca="1">IF(AND($AT994&lt;3,OFFSET(DATA!$C$14,$AS994,0)=BF$6),$AV994,dNULL)</f>
        <v>-99</v>
      </c>
      <c r="BG994">
        <f ca="1">IF(AND($AT994&lt;3,OFFSET(DATA!$C$14,$AS994,0)=BG$6),$AV994,dNULL)</f>
        <v>-99</v>
      </c>
      <c r="BH994">
        <f ca="1">IF(AND($AT994&lt;3,OFFSET(DATA!$C$14,$AS994,0)=BH$6),$AV994,dNULL)</f>
        <v>-99</v>
      </c>
    </row>
    <row r="995" spans="45:60" x14ac:dyDescent="0.25">
      <c r="AS995">
        <f t="shared" si="148"/>
        <v>89</v>
      </c>
      <c r="AT995">
        <f t="shared" si="149"/>
        <v>10</v>
      </c>
      <c r="AU995">
        <f t="shared" ca="1" si="150"/>
        <v>-99</v>
      </c>
      <c r="AV995">
        <f t="shared" ca="1" si="151"/>
        <v>-99</v>
      </c>
      <c r="AW995">
        <f ca="1">IF(AND($AT995&lt;3,OFFSET(DATA!$C$14,$AS995,0)=AW$6),$AV995,dNULL)</f>
        <v>-99</v>
      </c>
      <c r="AX995">
        <f ca="1">IF(AND($AT995&lt;3,OFFSET(DATA!$C$14,$AS995,0)=AX$6),$AV995,dNULL)</f>
        <v>-99</v>
      </c>
      <c r="AY995">
        <f ca="1">IF(AND($AT995&lt;3,OFFSET(DATA!$C$14,$AS995,0)=AY$6),$AV995,dNULL)</f>
        <v>-99</v>
      </c>
      <c r="AZ995">
        <f ca="1">IF(AND($AT995&lt;3,OFFSET(DATA!$C$14,$AS995,0)=AZ$6),$AV995,dNULL)</f>
        <v>-99</v>
      </c>
      <c r="BA995">
        <f ca="1">IF(AND($AT995&lt;3,OFFSET(DATA!$C$14,$AS995,0)=BA$6),$AV995,dNULL)</f>
        <v>-99</v>
      </c>
      <c r="BB995">
        <f ca="1">IF(AND($AT995&lt;3,OFFSET(DATA!$C$14,$AS995,0)=BB$6),$AV995,dNULL)</f>
        <v>-99</v>
      </c>
      <c r="BC995">
        <f ca="1">IF(AND($AT995&lt;3,OFFSET(DATA!$C$14,$AS995,0)=BC$6),$AV995,dNULL)</f>
        <v>-99</v>
      </c>
      <c r="BD995">
        <f ca="1">IF(AND($AT995&lt;3,OFFSET(DATA!$C$14,$AS995,0)=BD$6),$AV995,dNULL)</f>
        <v>-99</v>
      </c>
      <c r="BE995">
        <f ca="1">IF(AND($AT995&lt;3,OFFSET(DATA!$C$14,$AS995,0)=BE$6),$AV995,dNULL)</f>
        <v>-99</v>
      </c>
      <c r="BF995">
        <f ca="1">IF(AND($AT995&lt;3,OFFSET(DATA!$C$14,$AS995,0)=BF$6),$AV995,dNULL)</f>
        <v>-99</v>
      </c>
      <c r="BG995">
        <f ca="1">IF(AND($AT995&lt;3,OFFSET(DATA!$C$14,$AS995,0)=BG$6),$AV995,dNULL)</f>
        <v>-99</v>
      </c>
      <c r="BH995">
        <f ca="1">IF(AND($AT995&lt;3,OFFSET(DATA!$C$14,$AS995,0)=BH$6),$AV995,dNULL)</f>
        <v>-99</v>
      </c>
    </row>
    <row r="996" spans="45:60" x14ac:dyDescent="0.25">
      <c r="AS996">
        <f t="shared" si="148"/>
        <v>90</v>
      </c>
      <c r="AT996">
        <f t="shared" si="149"/>
        <v>10</v>
      </c>
      <c r="AU996">
        <f t="shared" ca="1" si="150"/>
        <v>-99</v>
      </c>
      <c r="AV996">
        <f t="shared" ca="1" si="151"/>
        <v>-99</v>
      </c>
      <c r="AW996">
        <f ca="1">IF(AND($AT996&lt;3,OFFSET(DATA!$C$14,$AS996,0)=AW$6),$AV996,dNULL)</f>
        <v>-99</v>
      </c>
      <c r="AX996">
        <f ca="1">IF(AND($AT996&lt;3,OFFSET(DATA!$C$14,$AS996,0)=AX$6),$AV996,dNULL)</f>
        <v>-99</v>
      </c>
      <c r="AY996">
        <f ca="1">IF(AND($AT996&lt;3,OFFSET(DATA!$C$14,$AS996,0)=AY$6),$AV996,dNULL)</f>
        <v>-99</v>
      </c>
      <c r="AZ996">
        <f ca="1">IF(AND($AT996&lt;3,OFFSET(DATA!$C$14,$AS996,0)=AZ$6),$AV996,dNULL)</f>
        <v>-99</v>
      </c>
      <c r="BA996">
        <f ca="1">IF(AND($AT996&lt;3,OFFSET(DATA!$C$14,$AS996,0)=BA$6),$AV996,dNULL)</f>
        <v>-99</v>
      </c>
      <c r="BB996">
        <f ca="1">IF(AND($AT996&lt;3,OFFSET(DATA!$C$14,$AS996,0)=BB$6),$AV996,dNULL)</f>
        <v>-99</v>
      </c>
      <c r="BC996">
        <f ca="1">IF(AND($AT996&lt;3,OFFSET(DATA!$C$14,$AS996,0)=BC$6),$AV996,dNULL)</f>
        <v>-99</v>
      </c>
      <c r="BD996">
        <f ca="1">IF(AND($AT996&lt;3,OFFSET(DATA!$C$14,$AS996,0)=BD$6),$AV996,dNULL)</f>
        <v>-99</v>
      </c>
      <c r="BE996">
        <f ca="1">IF(AND($AT996&lt;3,OFFSET(DATA!$C$14,$AS996,0)=BE$6),$AV996,dNULL)</f>
        <v>-99</v>
      </c>
      <c r="BF996">
        <f ca="1">IF(AND($AT996&lt;3,OFFSET(DATA!$C$14,$AS996,0)=BF$6),$AV996,dNULL)</f>
        <v>-99</v>
      </c>
      <c r="BG996">
        <f ca="1">IF(AND($AT996&lt;3,OFFSET(DATA!$C$14,$AS996,0)=BG$6),$AV996,dNULL)</f>
        <v>-99</v>
      </c>
      <c r="BH996">
        <f ca="1">IF(AND($AT996&lt;3,OFFSET(DATA!$C$14,$AS996,0)=BH$6),$AV996,dNULL)</f>
        <v>-99</v>
      </c>
    </row>
    <row r="997" spans="45:60" x14ac:dyDescent="0.25">
      <c r="AS997">
        <f t="shared" si="148"/>
        <v>1</v>
      </c>
      <c r="AT997">
        <f t="shared" si="149"/>
        <v>11</v>
      </c>
      <c r="AU997">
        <f t="shared" ca="1" si="150"/>
        <v>-99</v>
      </c>
      <c r="AV997">
        <f t="shared" ca="1" si="151"/>
        <v>-99</v>
      </c>
      <c r="AW997">
        <f ca="1">IF(AND($AT997&lt;3,OFFSET(DATA!$C$14,$AS997,0)=AW$6),$AV997,dNULL)</f>
        <v>-99</v>
      </c>
      <c r="AX997">
        <f ca="1">IF(AND($AT997&lt;3,OFFSET(DATA!$C$14,$AS997,0)=AX$6),$AV997,dNULL)</f>
        <v>-99</v>
      </c>
      <c r="AY997">
        <f ca="1">IF(AND($AT997&lt;3,OFFSET(DATA!$C$14,$AS997,0)=AY$6),$AV997,dNULL)</f>
        <v>-99</v>
      </c>
      <c r="AZ997">
        <f ca="1">IF(AND($AT997&lt;3,OFFSET(DATA!$C$14,$AS997,0)=AZ$6),$AV997,dNULL)</f>
        <v>-99</v>
      </c>
      <c r="BA997">
        <f ca="1">IF(AND($AT997&lt;3,OFFSET(DATA!$C$14,$AS997,0)=BA$6),$AV997,dNULL)</f>
        <v>-99</v>
      </c>
      <c r="BB997">
        <f ca="1">IF(AND($AT997&lt;3,OFFSET(DATA!$C$14,$AS997,0)=BB$6),$AV997,dNULL)</f>
        <v>-99</v>
      </c>
      <c r="BC997">
        <f ca="1">IF(AND($AT997&lt;3,OFFSET(DATA!$C$14,$AS997,0)=BC$6),$AV997,dNULL)</f>
        <v>-99</v>
      </c>
      <c r="BD997">
        <f ca="1">IF(AND($AT997&lt;3,OFFSET(DATA!$C$14,$AS997,0)=BD$6),$AV997,dNULL)</f>
        <v>-99</v>
      </c>
      <c r="BE997">
        <f ca="1">IF(AND($AT997&lt;3,OFFSET(DATA!$C$14,$AS997,0)=BE$6),$AV997,dNULL)</f>
        <v>-99</v>
      </c>
      <c r="BF997">
        <f ca="1">IF(AND($AT997&lt;3,OFFSET(DATA!$C$14,$AS997,0)=BF$6),$AV997,dNULL)</f>
        <v>-99</v>
      </c>
      <c r="BG997">
        <f ca="1">IF(AND($AT997&lt;3,OFFSET(DATA!$C$14,$AS997,0)=BG$6),$AV997,dNULL)</f>
        <v>-99</v>
      </c>
      <c r="BH997">
        <f ca="1">IF(AND($AT997&lt;3,OFFSET(DATA!$C$14,$AS997,0)=BH$6),$AV997,dNULL)</f>
        <v>-99</v>
      </c>
    </row>
    <row r="998" spans="45:60" x14ac:dyDescent="0.25">
      <c r="AS998">
        <f t="shared" si="148"/>
        <v>2</v>
      </c>
      <c r="AT998">
        <f t="shared" si="149"/>
        <v>11</v>
      </c>
      <c r="AU998">
        <f t="shared" ca="1" si="150"/>
        <v>-99</v>
      </c>
      <c r="AV998">
        <f t="shared" ca="1" si="151"/>
        <v>-99</v>
      </c>
      <c r="AW998">
        <f ca="1">IF(AND($AT998&lt;3,OFFSET(DATA!$C$14,$AS998,0)=AW$6),$AV998,dNULL)</f>
        <v>-99</v>
      </c>
      <c r="AX998">
        <f ca="1">IF(AND($AT998&lt;3,OFFSET(DATA!$C$14,$AS998,0)=AX$6),$AV998,dNULL)</f>
        <v>-99</v>
      </c>
      <c r="AY998">
        <f ca="1">IF(AND($AT998&lt;3,OFFSET(DATA!$C$14,$AS998,0)=AY$6),$AV998,dNULL)</f>
        <v>-99</v>
      </c>
      <c r="AZ998">
        <f ca="1">IF(AND($AT998&lt;3,OFFSET(DATA!$C$14,$AS998,0)=AZ$6),$AV998,dNULL)</f>
        <v>-99</v>
      </c>
      <c r="BA998">
        <f ca="1">IF(AND($AT998&lt;3,OFFSET(DATA!$C$14,$AS998,0)=BA$6),$AV998,dNULL)</f>
        <v>-99</v>
      </c>
      <c r="BB998">
        <f ca="1">IF(AND($AT998&lt;3,OFFSET(DATA!$C$14,$AS998,0)=BB$6),$AV998,dNULL)</f>
        <v>-99</v>
      </c>
      <c r="BC998">
        <f ca="1">IF(AND($AT998&lt;3,OFFSET(DATA!$C$14,$AS998,0)=BC$6),$AV998,dNULL)</f>
        <v>-99</v>
      </c>
      <c r="BD998">
        <f ca="1">IF(AND($AT998&lt;3,OFFSET(DATA!$C$14,$AS998,0)=BD$6),$AV998,dNULL)</f>
        <v>-99</v>
      </c>
      <c r="BE998">
        <f ca="1">IF(AND($AT998&lt;3,OFFSET(DATA!$C$14,$AS998,0)=BE$6),$AV998,dNULL)</f>
        <v>-99</v>
      </c>
      <c r="BF998">
        <f ca="1">IF(AND($AT998&lt;3,OFFSET(DATA!$C$14,$AS998,0)=BF$6),$AV998,dNULL)</f>
        <v>-99</v>
      </c>
      <c r="BG998">
        <f ca="1">IF(AND($AT998&lt;3,OFFSET(DATA!$C$14,$AS998,0)=BG$6),$AV998,dNULL)</f>
        <v>-99</v>
      </c>
      <c r="BH998">
        <f ca="1">IF(AND($AT998&lt;3,OFFSET(DATA!$C$14,$AS998,0)=BH$6),$AV998,dNULL)</f>
        <v>-99</v>
      </c>
    </row>
    <row r="999" spans="45:60" x14ac:dyDescent="0.25">
      <c r="AS999">
        <f t="shared" si="148"/>
        <v>3</v>
      </c>
      <c r="AT999">
        <f t="shared" si="149"/>
        <v>11</v>
      </c>
      <c r="AU999">
        <f t="shared" ca="1" si="150"/>
        <v>-99</v>
      </c>
      <c r="AV999">
        <f t="shared" ca="1" si="151"/>
        <v>-99</v>
      </c>
      <c r="AW999">
        <f ca="1">IF(AND($AT999&lt;3,OFFSET(DATA!$C$14,$AS999,0)=AW$6),$AV999,dNULL)</f>
        <v>-99</v>
      </c>
      <c r="AX999">
        <f ca="1">IF(AND($AT999&lt;3,OFFSET(DATA!$C$14,$AS999,0)=AX$6),$AV999,dNULL)</f>
        <v>-99</v>
      </c>
      <c r="AY999">
        <f ca="1">IF(AND($AT999&lt;3,OFFSET(DATA!$C$14,$AS999,0)=AY$6),$AV999,dNULL)</f>
        <v>-99</v>
      </c>
      <c r="AZ999">
        <f ca="1">IF(AND($AT999&lt;3,OFFSET(DATA!$C$14,$AS999,0)=AZ$6),$AV999,dNULL)</f>
        <v>-99</v>
      </c>
      <c r="BA999">
        <f ca="1">IF(AND($AT999&lt;3,OFFSET(DATA!$C$14,$AS999,0)=BA$6),$AV999,dNULL)</f>
        <v>-99</v>
      </c>
      <c r="BB999">
        <f ca="1">IF(AND($AT999&lt;3,OFFSET(DATA!$C$14,$AS999,0)=BB$6),$AV999,dNULL)</f>
        <v>-99</v>
      </c>
      <c r="BC999">
        <f ca="1">IF(AND($AT999&lt;3,OFFSET(DATA!$C$14,$AS999,0)=BC$6),$AV999,dNULL)</f>
        <v>-99</v>
      </c>
      <c r="BD999">
        <f ca="1">IF(AND($AT999&lt;3,OFFSET(DATA!$C$14,$AS999,0)=BD$6),$AV999,dNULL)</f>
        <v>-99</v>
      </c>
      <c r="BE999">
        <f ca="1">IF(AND($AT999&lt;3,OFFSET(DATA!$C$14,$AS999,0)=BE$6),$AV999,dNULL)</f>
        <v>-99</v>
      </c>
      <c r="BF999">
        <f ca="1">IF(AND($AT999&lt;3,OFFSET(DATA!$C$14,$AS999,0)=BF$6),$AV999,dNULL)</f>
        <v>-99</v>
      </c>
      <c r="BG999">
        <f ca="1">IF(AND($AT999&lt;3,OFFSET(DATA!$C$14,$AS999,0)=BG$6),$AV999,dNULL)</f>
        <v>-99</v>
      </c>
      <c r="BH999">
        <f ca="1">IF(AND($AT999&lt;3,OFFSET(DATA!$C$14,$AS999,0)=BH$6),$AV999,dNULL)</f>
        <v>-99</v>
      </c>
    </row>
    <row r="1000" spans="45:60" x14ac:dyDescent="0.25">
      <c r="AS1000">
        <f t="shared" si="148"/>
        <v>4</v>
      </c>
      <c r="AT1000">
        <f t="shared" si="149"/>
        <v>11</v>
      </c>
      <c r="AU1000">
        <f t="shared" ca="1" si="150"/>
        <v>-99</v>
      </c>
      <c r="AV1000">
        <f t="shared" ca="1" si="151"/>
        <v>-99</v>
      </c>
      <c r="AW1000">
        <f ca="1">IF(AND($AT1000&lt;3,OFFSET(DATA!$C$14,$AS1000,0)=AW$6),$AV1000,dNULL)</f>
        <v>-99</v>
      </c>
      <c r="AX1000">
        <f ca="1">IF(AND($AT1000&lt;3,OFFSET(DATA!$C$14,$AS1000,0)=AX$6),$AV1000,dNULL)</f>
        <v>-99</v>
      </c>
      <c r="AY1000">
        <f ca="1">IF(AND($AT1000&lt;3,OFFSET(DATA!$C$14,$AS1000,0)=AY$6),$AV1000,dNULL)</f>
        <v>-99</v>
      </c>
      <c r="AZ1000">
        <f ca="1">IF(AND($AT1000&lt;3,OFFSET(DATA!$C$14,$AS1000,0)=AZ$6),$AV1000,dNULL)</f>
        <v>-99</v>
      </c>
      <c r="BA1000">
        <f ca="1">IF(AND($AT1000&lt;3,OFFSET(DATA!$C$14,$AS1000,0)=BA$6),$AV1000,dNULL)</f>
        <v>-99</v>
      </c>
      <c r="BB1000">
        <f ca="1">IF(AND($AT1000&lt;3,OFFSET(DATA!$C$14,$AS1000,0)=BB$6),$AV1000,dNULL)</f>
        <v>-99</v>
      </c>
      <c r="BC1000">
        <f ca="1">IF(AND($AT1000&lt;3,OFFSET(DATA!$C$14,$AS1000,0)=BC$6),$AV1000,dNULL)</f>
        <v>-99</v>
      </c>
      <c r="BD1000">
        <f ca="1">IF(AND($AT1000&lt;3,OFFSET(DATA!$C$14,$AS1000,0)=BD$6),$AV1000,dNULL)</f>
        <v>-99</v>
      </c>
      <c r="BE1000">
        <f ca="1">IF(AND($AT1000&lt;3,OFFSET(DATA!$C$14,$AS1000,0)=BE$6),$AV1000,dNULL)</f>
        <v>-99</v>
      </c>
      <c r="BF1000">
        <f ca="1">IF(AND($AT1000&lt;3,OFFSET(DATA!$C$14,$AS1000,0)=BF$6),$AV1000,dNULL)</f>
        <v>-99</v>
      </c>
      <c r="BG1000">
        <f ca="1">IF(AND($AT1000&lt;3,OFFSET(DATA!$C$14,$AS1000,0)=BG$6),$AV1000,dNULL)</f>
        <v>-99</v>
      </c>
      <c r="BH1000">
        <f ca="1">IF(AND($AT1000&lt;3,OFFSET(DATA!$C$14,$AS1000,0)=BH$6),$AV1000,dNULL)</f>
        <v>-99</v>
      </c>
    </row>
    <row r="1001" spans="45:60" x14ac:dyDescent="0.25">
      <c r="AS1001">
        <f t="shared" si="148"/>
        <v>5</v>
      </c>
      <c r="AT1001">
        <f t="shared" si="149"/>
        <v>11</v>
      </c>
      <c r="AU1001">
        <f t="shared" ca="1" si="150"/>
        <v>-99</v>
      </c>
      <c r="AV1001">
        <f t="shared" ca="1" si="151"/>
        <v>-99</v>
      </c>
      <c r="AW1001">
        <f ca="1">IF(AND($AT1001&lt;3,OFFSET(DATA!$C$14,$AS1001,0)=AW$6),$AV1001,dNULL)</f>
        <v>-99</v>
      </c>
      <c r="AX1001">
        <f ca="1">IF(AND($AT1001&lt;3,OFFSET(DATA!$C$14,$AS1001,0)=AX$6),$AV1001,dNULL)</f>
        <v>-99</v>
      </c>
      <c r="AY1001">
        <f ca="1">IF(AND($AT1001&lt;3,OFFSET(DATA!$C$14,$AS1001,0)=AY$6),$AV1001,dNULL)</f>
        <v>-99</v>
      </c>
      <c r="AZ1001">
        <f ca="1">IF(AND($AT1001&lt;3,OFFSET(DATA!$C$14,$AS1001,0)=AZ$6),$AV1001,dNULL)</f>
        <v>-99</v>
      </c>
      <c r="BA1001">
        <f ca="1">IF(AND($AT1001&lt;3,OFFSET(DATA!$C$14,$AS1001,0)=BA$6),$AV1001,dNULL)</f>
        <v>-99</v>
      </c>
      <c r="BB1001">
        <f ca="1">IF(AND($AT1001&lt;3,OFFSET(DATA!$C$14,$AS1001,0)=BB$6),$AV1001,dNULL)</f>
        <v>-99</v>
      </c>
      <c r="BC1001">
        <f ca="1">IF(AND($AT1001&lt;3,OFFSET(DATA!$C$14,$AS1001,0)=BC$6),$AV1001,dNULL)</f>
        <v>-99</v>
      </c>
      <c r="BD1001">
        <f ca="1">IF(AND($AT1001&lt;3,OFFSET(DATA!$C$14,$AS1001,0)=BD$6),$AV1001,dNULL)</f>
        <v>-99</v>
      </c>
      <c r="BE1001">
        <f ca="1">IF(AND($AT1001&lt;3,OFFSET(DATA!$C$14,$AS1001,0)=BE$6),$AV1001,dNULL)</f>
        <v>-99</v>
      </c>
      <c r="BF1001">
        <f ca="1">IF(AND($AT1001&lt;3,OFFSET(DATA!$C$14,$AS1001,0)=BF$6),$AV1001,dNULL)</f>
        <v>-99</v>
      </c>
      <c r="BG1001">
        <f ca="1">IF(AND($AT1001&lt;3,OFFSET(DATA!$C$14,$AS1001,0)=BG$6),$AV1001,dNULL)</f>
        <v>-99</v>
      </c>
      <c r="BH1001">
        <f ca="1">IF(AND($AT1001&lt;3,OFFSET(DATA!$C$14,$AS1001,0)=BH$6),$AV1001,dNULL)</f>
        <v>-99</v>
      </c>
    </row>
    <row r="1002" spans="45:60" x14ac:dyDescent="0.25">
      <c r="AS1002">
        <f t="shared" si="148"/>
        <v>6</v>
      </c>
      <c r="AT1002">
        <f t="shared" si="149"/>
        <v>11</v>
      </c>
      <c r="AU1002">
        <f t="shared" ca="1" si="150"/>
        <v>-99</v>
      </c>
      <c r="AV1002">
        <f t="shared" ca="1" si="151"/>
        <v>-99</v>
      </c>
      <c r="AW1002">
        <f ca="1">IF(AND($AT1002&lt;3,OFFSET(DATA!$C$14,$AS1002,0)=AW$6),$AV1002,dNULL)</f>
        <v>-99</v>
      </c>
      <c r="AX1002">
        <f ca="1">IF(AND($AT1002&lt;3,OFFSET(DATA!$C$14,$AS1002,0)=AX$6),$AV1002,dNULL)</f>
        <v>-99</v>
      </c>
      <c r="AY1002">
        <f ca="1">IF(AND($AT1002&lt;3,OFFSET(DATA!$C$14,$AS1002,0)=AY$6),$AV1002,dNULL)</f>
        <v>-99</v>
      </c>
      <c r="AZ1002">
        <f ca="1">IF(AND($AT1002&lt;3,OFFSET(DATA!$C$14,$AS1002,0)=AZ$6),$AV1002,dNULL)</f>
        <v>-99</v>
      </c>
      <c r="BA1002">
        <f ca="1">IF(AND($AT1002&lt;3,OFFSET(DATA!$C$14,$AS1002,0)=BA$6),$AV1002,dNULL)</f>
        <v>-99</v>
      </c>
      <c r="BB1002">
        <f ca="1">IF(AND($AT1002&lt;3,OFFSET(DATA!$C$14,$AS1002,0)=BB$6),$AV1002,dNULL)</f>
        <v>-99</v>
      </c>
      <c r="BC1002">
        <f ca="1">IF(AND($AT1002&lt;3,OFFSET(DATA!$C$14,$AS1002,0)=BC$6),$AV1002,dNULL)</f>
        <v>-99</v>
      </c>
      <c r="BD1002">
        <f ca="1">IF(AND($AT1002&lt;3,OFFSET(DATA!$C$14,$AS1002,0)=BD$6),$AV1002,dNULL)</f>
        <v>-99</v>
      </c>
      <c r="BE1002">
        <f ca="1">IF(AND($AT1002&lt;3,OFFSET(DATA!$C$14,$AS1002,0)=BE$6),$AV1002,dNULL)</f>
        <v>-99</v>
      </c>
      <c r="BF1002">
        <f ca="1">IF(AND($AT1002&lt;3,OFFSET(DATA!$C$14,$AS1002,0)=BF$6),$AV1002,dNULL)</f>
        <v>-99</v>
      </c>
      <c r="BG1002">
        <f ca="1">IF(AND($AT1002&lt;3,OFFSET(DATA!$C$14,$AS1002,0)=BG$6),$AV1002,dNULL)</f>
        <v>-99</v>
      </c>
      <c r="BH1002">
        <f ca="1">IF(AND($AT1002&lt;3,OFFSET(DATA!$C$14,$AS1002,0)=BH$6),$AV1002,dNULL)</f>
        <v>-99</v>
      </c>
    </row>
    <row r="1003" spans="45:60" x14ac:dyDescent="0.25">
      <c r="AS1003">
        <f t="shared" si="148"/>
        <v>7</v>
      </c>
      <c r="AT1003">
        <f t="shared" si="149"/>
        <v>11</v>
      </c>
      <c r="AU1003">
        <f t="shared" ca="1" si="150"/>
        <v>-99</v>
      </c>
      <c r="AV1003">
        <f t="shared" ca="1" si="151"/>
        <v>-99</v>
      </c>
      <c r="AW1003">
        <f ca="1">IF(AND($AT1003&lt;3,OFFSET(DATA!$C$14,$AS1003,0)=AW$6),$AV1003,dNULL)</f>
        <v>-99</v>
      </c>
      <c r="AX1003">
        <f ca="1">IF(AND($AT1003&lt;3,OFFSET(DATA!$C$14,$AS1003,0)=AX$6),$AV1003,dNULL)</f>
        <v>-99</v>
      </c>
      <c r="AY1003">
        <f ca="1">IF(AND($AT1003&lt;3,OFFSET(DATA!$C$14,$AS1003,0)=AY$6),$AV1003,dNULL)</f>
        <v>-99</v>
      </c>
      <c r="AZ1003">
        <f ca="1">IF(AND($AT1003&lt;3,OFFSET(DATA!$C$14,$AS1003,0)=AZ$6),$AV1003,dNULL)</f>
        <v>-99</v>
      </c>
      <c r="BA1003">
        <f ca="1">IF(AND($AT1003&lt;3,OFFSET(DATA!$C$14,$AS1003,0)=BA$6),$AV1003,dNULL)</f>
        <v>-99</v>
      </c>
      <c r="BB1003">
        <f ca="1">IF(AND($AT1003&lt;3,OFFSET(DATA!$C$14,$AS1003,0)=BB$6),$AV1003,dNULL)</f>
        <v>-99</v>
      </c>
      <c r="BC1003">
        <f ca="1">IF(AND($AT1003&lt;3,OFFSET(DATA!$C$14,$AS1003,0)=BC$6),$AV1003,dNULL)</f>
        <v>-99</v>
      </c>
      <c r="BD1003">
        <f ca="1">IF(AND($AT1003&lt;3,OFFSET(DATA!$C$14,$AS1003,0)=BD$6),$AV1003,dNULL)</f>
        <v>-99</v>
      </c>
      <c r="BE1003">
        <f ca="1">IF(AND($AT1003&lt;3,OFFSET(DATA!$C$14,$AS1003,0)=BE$6),$AV1003,dNULL)</f>
        <v>-99</v>
      </c>
      <c r="BF1003">
        <f ca="1">IF(AND($AT1003&lt;3,OFFSET(DATA!$C$14,$AS1003,0)=BF$6),$AV1003,dNULL)</f>
        <v>-99</v>
      </c>
      <c r="BG1003">
        <f ca="1">IF(AND($AT1003&lt;3,OFFSET(DATA!$C$14,$AS1003,0)=BG$6),$AV1003,dNULL)</f>
        <v>-99</v>
      </c>
      <c r="BH1003">
        <f ca="1">IF(AND($AT1003&lt;3,OFFSET(DATA!$C$14,$AS1003,0)=BH$6),$AV1003,dNULL)</f>
        <v>-99</v>
      </c>
    </row>
    <row r="1004" spans="45:60" x14ac:dyDescent="0.25">
      <c r="AS1004">
        <f t="shared" si="148"/>
        <v>8</v>
      </c>
      <c r="AT1004">
        <f t="shared" si="149"/>
        <v>11</v>
      </c>
      <c r="AU1004">
        <f t="shared" ca="1" si="150"/>
        <v>-99</v>
      </c>
      <c r="AV1004">
        <f t="shared" ca="1" si="151"/>
        <v>-99</v>
      </c>
      <c r="AW1004">
        <f ca="1">IF(AND($AT1004&lt;3,OFFSET(DATA!$C$14,$AS1004,0)=AW$6),$AV1004,dNULL)</f>
        <v>-99</v>
      </c>
      <c r="AX1004">
        <f ca="1">IF(AND($AT1004&lt;3,OFFSET(DATA!$C$14,$AS1004,0)=AX$6),$AV1004,dNULL)</f>
        <v>-99</v>
      </c>
      <c r="AY1004">
        <f ca="1">IF(AND($AT1004&lt;3,OFFSET(DATA!$C$14,$AS1004,0)=AY$6),$AV1004,dNULL)</f>
        <v>-99</v>
      </c>
      <c r="AZ1004">
        <f ca="1">IF(AND($AT1004&lt;3,OFFSET(DATA!$C$14,$AS1004,0)=AZ$6),$AV1004,dNULL)</f>
        <v>-99</v>
      </c>
      <c r="BA1004">
        <f ca="1">IF(AND($AT1004&lt;3,OFFSET(DATA!$C$14,$AS1004,0)=BA$6),$AV1004,dNULL)</f>
        <v>-99</v>
      </c>
      <c r="BB1004">
        <f ca="1">IF(AND($AT1004&lt;3,OFFSET(DATA!$C$14,$AS1004,0)=BB$6),$AV1004,dNULL)</f>
        <v>-99</v>
      </c>
      <c r="BC1004">
        <f ca="1">IF(AND($AT1004&lt;3,OFFSET(DATA!$C$14,$AS1004,0)=BC$6),$AV1004,dNULL)</f>
        <v>-99</v>
      </c>
      <c r="BD1004">
        <f ca="1">IF(AND($AT1004&lt;3,OFFSET(DATA!$C$14,$AS1004,0)=BD$6),$AV1004,dNULL)</f>
        <v>-99</v>
      </c>
      <c r="BE1004">
        <f ca="1">IF(AND($AT1004&lt;3,OFFSET(DATA!$C$14,$AS1004,0)=BE$6),$AV1004,dNULL)</f>
        <v>-99</v>
      </c>
      <c r="BF1004">
        <f ca="1">IF(AND($AT1004&lt;3,OFFSET(DATA!$C$14,$AS1004,0)=BF$6),$AV1004,dNULL)</f>
        <v>-99</v>
      </c>
      <c r="BG1004">
        <f ca="1">IF(AND($AT1004&lt;3,OFFSET(DATA!$C$14,$AS1004,0)=BG$6),$AV1004,dNULL)</f>
        <v>-99</v>
      </c>
      <c r="BH1004">
        <f ca="1">IF(AND($AT1004&lt;3,OFFSET(DATA!$C$14,$AS1004,0)=BH$6),$AV1004,dNULL)</f>
        <v>-99</v>
      </c>
    </row>
    <row r="1005" spans="45:60" x14ac:dyDescent="0.25">
      <c r="AS1005">
        <f t="shared" si="148"/>
        <v>9</v>
      </c>
      <c r="AT1005">
        <f t="shared" si="149"/>
        <v>11</v>
      </c>
      <c r="AU1005">
        <f t="shared" ca="1" si="150"/>
        <v>-99</v>
      </c>
      <c r="AV1005">
        <f t="shared" ca="1" si="151"/>
        <v>-99</v>
      </c>
      <c r="AW1005">
        <f ca="1">IF(AND($AT1005&lt;3,OFFSET(DATA!$C$14,$AS1005,0)=AW$6),$AV1005,dNULL)</f>
        <v>-99</v>
      </c>
      <c r="AX1005">
        <f ca="1">IF(AND($AT1005&lt;3,OFFSET(DATA!$C$14,$AS1005,0)=AX$6),$AV1005,dNULL)</f>
        <v>-99</v>
      </c>
      <c r="AY1005">
        <f ca="1">IF(AND($AT1005&lt;3,OFFSET(DATA!$C$14,$AS1005,0)=AY$6),$AV1005,dNULL)</f>
        <v>-99</v>
      </c>
      <c r="AZ1005">
        <f ca="1">IF(AND($AT1005&lt;3,OFFSET(DATA!$C$14,$AS1005,0)=AZ$6),$AV1005,dNULL)</f>
        <v>-99</v>
      </c>
      <c r="BA1005">
        <f ca="1">IF(AND($AT1005&lt;3,OFFSET(DATA!$C$14,$AS1005,0)=BA$6),$AV1005,dNULL)</f>
        <v>-99</v>
      </c>
      <c r="BB1005">
        <f ca="1">IF(AND($AT1005&lt;3,OFFSET(DATA!$C$14,$AS1005,0)=BB$6),$AV1005,dNULL)</f>
        <v>-99</v>
      </c>
      <c r="BC1005">
        <f ca="1">IF(AND($AT1005&lt;3,OFFSET(DATA!$C$14,$AS1005,0)=BC$6),$AV1005,dNULL)</f>
        <v>-99</v>
      </c>
      <c r="BD1005">
        <f ca="1">IF(AND($AT1005&lt;3,OFFSET(DATA!$C$14,$AS1005,0)=BD$6),$AV1005,dNULL)</f>
        <v>-99</v>
      </c>
      <c r="BE1005">
        <f ca="1">IF(AND($AT1005&lt;3,OFFSET(DATA!$C$14,$AS1005,0)=BE$6),$AV1005,dNULL)</f>
        <v>-99</v>
      </c>
      <c r="BF1005">
        <f ca="1">IF(AND($AT1005&lt;3,OFFSET(DATA!$C$14,$AS1005,0)=BF$6),$AV1005,dNULL)</f>
        <v>-99</v>
      </c>
      <c r="BG1005">
        <f ca="1">IF(AND($AT1005&lt;3,OFFSET(DATA!$C$14,$AS1005,0)=BG$6),$AV1005,dNULL)</f>
        <v>-99</v>
      </c>
      <c r="BH1005">
        <f ca="1">IF(AND($AT1005&lt;3,OFFSET(DATA!$C$14,$AS1005,0)=BH$6),$AV1005,dNULL)</f>
        <v>-99</v>
      </c>
    </row>
    <row r="1006" spans="45:60" x14ac:dyDescent="0.25">
      <c r="AS1006">
        <f t="shared" si="148"/>
        <v>10</v>
      </c>
      <c r="AT1006">
        <f t="shared" si="149"/>
        <v>11</v>
      </c>
      <c r="AU1006">
        <f t="shared" ca="1" si="150"/>
        <v>-99</v>
      </c>
      <c r="AV1006">
        <f t="shared" ca="1" si="151"/>
        <v>-99</v>
      </c>
      <c r="AW1006">
        <f ca="1">IF(AND($AT1006&lt;3,OFFSET(DATA!$C$14,$AS1006,0)=AW$6),$AV1006,dNULL)</f>
        <v>-99</v>
      </c>
      <c r="AX1006">
        <f ca="1">IF(AND($AT1006&lt;3,OFFSET(DATA!$C$14,$AS1006,0)=AX$6),$AV1006,dNULL)</f>
        <v>-99</v>
      </c>
      <c r="AY1006">
        <f ca="1">IF(AND($AT1006&lt;3,OFFSET(DATA!$C$14,$AS1006,0)=AY$6),$AV1006,dNULL)</f>
        <v>-99</v>
      </c>
      <c r="AZ1006">
        <f ca="1">IF(AND($AT1006&lt;3,OFFSET(DATA!$C$14,$AS1006,0)=AZ$6),$AV1006,dNULL)</f>
        <v>-99</v>
      </c>
      <c r="BA1006">
        <f ca="1">IF(AND($AT1006&lt;3,OFFSET(DATA!$C$14,$AS1006,0)=BA$6),$AV1006,dNULL)</f>
        <v>-99</v>
      </c>
      <c r="BB1006">
        <f ca="1">IF(AND($AT1006&lt;3,OFFSET(DATA!$C$14,$AS1006,0)=BB$6),$AV1006,dNULL)</f>
        <v>-99</v>
      </c>
      <c r="BC1006">
        <f ca="1">IF(AND($AT1006&lt;3,OFFSET(DATA!$C$14,$AS1006,0)=BC$6),$AV1006,dNULL)</f>
        <v>-99</v>
      </c>
      <c r="BD1006">
        <f ca="1">IF(AND($AT1006&lt;3,OFFSET(DATA!$C$14,$AS1006,0)=BD$6),$AV1006,dNULL)</f>
        <v>-99</v>
      </c>
      <c r="BE1006">
        <f ca="1">IF(AND($AT1006&lt;3,OFFSET(DATA!$C$14,$AS1006,0)=BE$6),$AV1006,dNULL)</f>
        <v>-99</v>
      </c>
      <c r="BF1006">
        <f ca="1">IF(AND($AT1006&lt;3,OFFSET(DATA!$C$14,$AS1006,0)=BF$6),$AV1006,dNULL)</f>
        <v>-99</v>
      </c>
      <c r="BG1006">
        <f ca="1">IF(AND($AT1006&lt;3,OFFSET(DATA!$C$14,$AS1006,0)=BG$6),$AV1006,dNULL)</f>
        <v>-99</v>
      </c>
      <c r="BH1006">
        <f ca="1">IF(AND($AT1006&lt;3,OFFSET(DATA!$C$14,$AS1006,0)=BH$6),$AV1006,dNULL)</f>
        <v>-99</v>
      </c>
    </row>
    <row r="1007" spans="45:60" x14ac:dyDescent="0.25">
      <c r="AS1007">
        <f t="shared" si="148"/>
        <v>11</v>
      </c>
      <c r="AT1007">
        <f t="shared" si="149"/>
        <v>11</v>
      </c>
      <c r="AU1007">
        <f t="shared" ca="1" si="150"/>
        <v>-99</v>
      </c>
      <c r="AV1007">
        <f t="shared" ca="1" si="151"/>
        <v>-99</v>
      </c>
      <c r="AW1007">
        <f ca="1">IF(AND($AT1007&lt;3,OFFSET(DATA!$C$14,$AS1007,0)=AW$6),$AV1007,dNULL)</f>
        <v>-99</v>
      </c>
      <c r="AX1007">
        <f ca="1">IF(AND($AT1007&lt;3,OFFSET(DATA!$C$14,$AS1007,0)=AX$6),$AV1007,dNULL)</f>
        <v>-99</v>
      </c>
      <c r="AY1007">
        <f ca="1">IF(AND($AT1007&lt;3,OFFSET(DATA!$C$14,$AS1007,0)=AY$6),$AV1007,dNULL)</f>
        <v>-99</v>
      </c>
      <c r="AZ1007">
        <f ca="1">IF(AND($AT1007&lt;3,OFFSET(DATA!$C$14,$AS1007,0)=AZ$6),$AV1007,dNULL)</f>
        <v>-99</v>
      </c>
      <c r="BA1007">
        <f ca="1">IF(AND($AT1007&lt;3,OFFSET(DATA!$C$14,$AS1007,0)=BA$6),$AV1007,dNULL)</f>
        <v>-99</v>
      </c>
      <c r="BB1007">
        <f ca="1">IF(AND($AT1007&lt;3,OFFSET(DATA!$C$14,$AS1007,0)=BB$6),$AV1007,dNULL)</f>
        <v>-99</v>
      </c>
      <c r="BC1007">
        <f ca="1">IF(AND($AT1007&lt;3,OFFSET(DATA!$C$14,$AS1007,0)=BC$6),$AV1007,dNULL)</f>
        <v>-99</v>
      </c>
      <c r="BD1007">
        <f ca="1">IF(AND($AT1007&lt;3,OFFSET(DATA!$C$14,$AS1007,0)=BD$6),$AV1007,dNULL)</f>
        <v>-99</v>
      </c>
      <c r="BE1007">
        <f ca="1">IF(AND($AT1007&lt;3,OFFSET(DATA!$C$14,$AS1007,0)=BE$6),$AV1007,dNULL)</f>
        <v>-99</v>
      </c>
      <c r="BF1007">
        <f ca="1">IF(AND($AT1007&lt;3,OFFSET(DATA!$C$14,$AS1007,0)=BF$6),$AV1007,dNULL)</f>
        <v>-99</v>
      </c>
      <c r="BG1007">
        <f ca="1">IF(AND($AT1007&lt;3,OFFSET(DATA!$C$14,$AS1007,0)=BG$6),$AV1007,dNULL)</f>
        <v>-99</v>
      </c>
      <c r="BH1007">
        <f ca="1">IF(AND($AT1007&lt;3,OFFSET(DATA!$C$14,$AS1007,0)=BH$6),$AV1007,dNULL)</f>
        <v>-99</v>
      </c>
    </row>
    <row r="1008" spans="45:60" x14ac:dyDescent="0.25">
      <c r="AS1008">
        <f t="shared" si="148"/>
        <v>12</v>
      </c>
      <c r="AT1008">
        <f t="shared" si="149"/>
        <v>11</v>
      </c>
      <c r="AU1008">
        <f t="shared" ca="1" si="150"/>
        <v>-99</v>
      </c>
      <c r="AV1008">
        <f t="shared" ca="1" si="151"/>
        <v>-99</v>
      </c>
      <c r="AW1008">
        <f ca="1">IF(AND($AT1008&lt;3,OFFSET(DATA!$C$14,$AS1008,0)=AW$6),$AV1008,dNULL)</f>
        <v>-99</v>
      </c>
      <c r="AX1008">
        <f ca="1">IF(AND($AT1008&lt;3,OFFSET(DATA!$C$14,$AS1008,0)=AX$6),$AV1008,dNULL)</f>
        <v>-99</v>
      </c>
      <c r="AY1008">
        <f ca="1">IF(AND($AT1008&lt;3,OFFSET(DATA!$C$14,$AS1008,0)=AY$6),$AV1008,dNULL)</f>
        <v>-99</v>
      </c>
      <c r="AZ1008">
        <f ca="1">IF(AND($AT1008&lt;3,OFFSET(DATA!$C$14,$AS1008,0)=AZ$6),$AV1008,dNULL)</f>
        <v>-99</v>
      </c>
      <c r="BA1008">
        <f ca="1">IF(AND($AT1008&lt;3,OFFSET(DATA!$C$14,$AS1008,0)=BA$6),$AV1008,dNULL)</f>
        <v>-99</v>
      </c>
      <c r="BB1008">
        <f ca="1">IF(AND($AT1008&lt;3,OFFSET(DATA!$C$14,$AS1008,0)=BB$6),$AV1008,dNULL)</f>
        <v>-99</v>
      </c>
      <c r="BC1008">
        <f ca="1">IF(AND($AT1008&lt;3,OFFSET(DATA!$C$14,$AS1008,0)=BC$6),$AV1008,dNULL)</f>
        <v>-99</v>
      </c>
      <c r="BD1008">
        <f ca="1">IF(AND($AT1008&lt;3,OFFSET(DATA!$C$14,$AS1008,0)=BD$6),$AV1008,dNULL)</f>
        <v>-99</v>
      </c>
      <c r="BE1008">
        <f ca="1">IF(AND($AT1008&lt;3,OFFSET(DATA!$C$14,$AS1008,0)=BE$6),$AV1008,dNULL)</f>
        <v>-99</v>
      </c>
      <c r="BF1008">
        <f ca="1">IF(AND($AT1008&lt;3,OFFSET(DATA!$C$14,$AS1008,0)=BF$6),$AV1008,dNULL)</f>
        <v>-99</v>
      </c>
      <c r="BG1008">
        <f ca="1">IF(AND($AT1008&lt;3,OFFSET(DATA!$C$14,$AS1008,0)=BG$6),$AV1008,dNULL)</f>
        <v>-99</v>
      </c>
      <c r="BH1008">
        <f ca="1">IF(AND($AT1008&lt;3,OFFSET(DATA!$C$14,$AS1008,0)=BH$6),$AV1008,dNULL)</f>
        <v>-99</v>
      </c>
    </row>
    <row r="1009" spans="45:60" x14ac:dyDescent="0.25">
      <c r="AS1009">
        <f t="shared" si="148"/>
        <v>13</v>
      </c>
      <c r="AT1009">
        <f t="shared" si="149"/>
        <v>11</v>
      </c>
      <c r="AU1009">
        <f t="shared" ca="1" si="150"/>
        <v>-99</v>
      </c>
      <c r="AV1009">
        <f t="shared" ca="1" si="151"/>
        <v>-99</v>
      </c>
      <c r="AW1009">
        <f ca="1">IF(AND($AT1009&lt;3,OFFSET(DATA!$C$14,$AS1009,0)=AW$6),$AV1009,dNULL)</f>
        <v>-99</v>
      </c>
      <c r="AX1009">
        <f ca="1">IF(AND($AT1009&lt;3,OFFSET(DATA!$C$14,$AS1009,0)=AX$6),$AV1009,dNULL)</f>
        <v>-99</v>
      </c>
      <c r="AY1009">
        <f ca="1">IF(AND($AT1009&lt;3,OFFSET(DATA!$C$14,$AS1009,0)=AY$6),$AV1009,dNULL)</f>
        <v>-99</v>
      </c>
      <c r="AZ1009">
        <f ca="1">IF(AND($AT1009&lt;3,OFFSET(DATA!$C$14,$AS1009,0)=AZ$6),$AV1009,dNULL)</f>
        <v>-99</v>
      </c>
      <c r="BA1009">
        <f ca="1">IF(AND($AT1009&lt;3,OFFSET(DATA!$C$14,$AS1009,0)=BA$6),$AV1009,dNULL)</f>
        <v>-99</v>
      </c>
      <c r="BB1009">
        <f ca="1">IF(AND($AT1009&lt;3,OFFSET(DATA!$C$14,$AS1009,0)=BB$6),$AV1009,dNULL)</f>
        <v>-99</v>
      </c>
      <c r="BC1009">
        <f ca="1">IF(AND($AT1009&lt;3,OFFSET(DATA!$C$14,$AS1009,0)=BC$6),$AV1009,dNULL)</f>
        <v>-99</v>
      </c>
      <c r="BD1009">
        <f ca="1">IF(AND($AT1009&lt;3,OFFSET(DATA!$C$14,$AS1009,0)=BD$6),$AV1009,dNULL)</f>
        <v>-99</v>
      </c>
      <c r="BE1009">
        <f ca="1">IF(AND($AT1009&lt;3,OFFSET(DATA!$C$14,$AS1009,0)=BE$6),$AV1009,dNULL)</f>
        <v>-99</v>
      </c>
      <c r="BF1009">
        <f ca="1">IF(AND($AT1009&lt;3,OFFSET(DATA!$C$14,$AS1009,0)=BF$6),$AV1009,dNULL)</f>
        <v>-99</v>
      </c>
      <c r="BG1009">
        <f ca="1">IF(AND($AT1009&lt;3,OFFSET(DATA!$C$14,$AS1009,0)=BG$6),$AV1009,dNULL)</f>
        <v>-99</v>
      </c>
      <c r="BH1009">
        <f ca="1">IF(AND($AT1009&lt;3,OFFSET(DATA!$C$14,$AS1009,0)=BH$6),$AV1009,dNULL)</f>
        <v>-99</v>
      </c>
    </row>
    <row r="1010" spans="45:60" x14ac:dyDescent="0.25">
      <c r="AS1010">
        <f t="shared" si="148"/>
        <v>14</v>
      </c>
      <c r="AT1010">
        <f t="shared" si="149"/>
        <v>11</v>
      </c>
      <c r="AU1010">
        <f t="shared" ca="1" si="150"/>
        <v>-99</v>
      </c>
      <c r="AV1010">
        <f t="shared" ca="1" si="151"/>
        <v>-99</v>
      </c>
      <c r="AW1010">
        <f ca="1">IF(AND($AT1010&lt;3,OFFSET(DATA!$C$14,$AS1010,0)=AW$6),$AV1010,dNULL)</f>
        <v>-99</v>
      </c>
      <c r="AX1010">
        <f ca="1">IF(AND($AT1010&lt;3,OFFSET(DATA!$C$14,$AS1010,0)=AX$6),$AV1010,dNULL)</f>
        <v>-99</v>
      </c>
      <c r="AY1010">
        <f ca="1">IF(AND($AT1010&lt;3,OFFSET(DATA!$C$14,$AS1010,0)=AY$6),$AV1010,dNULL)</f>
        <v>-99</v>
      </c>
      <c r="AZ1010">
        <f ca="1">IF(AND($AT1010&lt;3,OFFSET(DATA!$C$14,$AS1010,0)=AZ$6),$AV1010,dNULL)</f>
        <v>-99</v>
      </c>
      <c r="BA1010">
        <f ca="1">IF(AND($AT1010&lt;3,OFFSET(DATA!$C$14,$AS1010,0)=BA$6),$AV1010,dNULL)</f>
        <v>-99</v>
      </c>
      <c r="BB1010">
        <f ca="1">IF(AND($AT1010&lt;3,OFFSET(DATA!$C$14,$AS1010,0)=BB$6),$AV1010,dNULL)</f>
        <v>-99</v>
      </c>
      <c r="BC1010">
        <f ca="1">IF(AND($AT1010&lt;3,OFFSET(DATA!$C$14,$AS1010,0)=BC$6),$AV1010,dNULL)</f>
        <v>-99</v>
      </c>
      <c r="BD1010">
        <f ca="1">IF(AND($AT1010&lt;3,OFFSET(DATA!$C$14,$AS1010,0)=BD$6),$AV1010,dNULL)</f>
        <v>-99</v>
      </c>
      <c r="BE1010">
        <f ca="1">IF(AND($AT1010&lt;3,OFFSET(DATA!$C$14,$AS1010,0)=BE$6),$AV1010,dNULL)</f>
        <v>-99</v>
      </c>
      <c r="BF1010">
        <f ca="1">IF(AND($AT1010&lt;3,OFFSET(DATA!$C$14,$AS1010,0)=BF$6),$AV1010,dNULL)</f>
        <v>-99</v>
      </c>
      <c r="BG1010">
        <f ca="1">IF(AND($AT1010&lt;3,OFFSET(DATA!$C$14,$AS1010,0)=BG$6),$AV1010,dNULL)</f>
        <v>-99</v>
      </c>
      <c r="BH1010">
        <f ca="1">IF(AND($AT1010&lt;3,OFFSET(DATA!$C$14,$AS1010,0)=BH$6),$AV1010,dNULL)</f>
        <v>-99</v>
      </c>
    </row>
    <row r="1011" spans="45:60" x14ac:dyDescent="0.25">
      <c r="AS1011">
        <f t="shared" si="148"/>
        <v>15</v>
      </c>
      <c r="AT1011">
        <f t="shared" si="149"/>
        <v>11</v>
      </c>
      <c r="AU1011">
        <f t="shared" ca="1" si="150"/>
        <v>-99</v>
      </c>
      <c r="AV1011">
        <f t="shared" ca="1" si="151"/>
        <v>-99</v>
      </c>
      <c r="AW1011">
        <f ca="1">IF(AND($AT1011&lt;3,OFFSET(DATA!$C$14,$AS1011,0)=AW$6),$AV1011,dNULL)</f>
        <v>-99</v>
      </c>
      <c r="AX1011">
        <f ca="1">IF(AND($AT1011&lt;3,OFFSET(DATA!$C$14,$AS1011,0)=AX$6),$AV1011,dNULL)</f>
        <v>-99</v>
      </c>
      <c r="AY1011">
        <f ca="1">IF(AND($AT1011&lt;3,OFFSET(DATA!$C$14,$AS1011,0)=AY$6),$AV1011,dNULL)</f>
        <v>-99</v>
      </c>
      <c r="AZ1011">
        <f ca="1">IF(AND($AT1011&lt;3,OFFSET(DATA!$C$14,$AS1011,0)=AZ$6),$AV1011,dNULL)</f>
        <v>-99</v>
      </c>
      <c r="BA1011">
        <f ca="1">IF(AND($AT1011&lt;3,OFFSET(DATA!$C$14,$AS1011,0)=BA$6),$AV1011,dNULL)</f>
        <v>-99</v>
      </c>
      <c r="BB1011">
        <f ca="1">IF(AND($AT1011&lt;3,OFFSET(DATA!$C$14,$AS1011,0)=BB$6),$AV1011,dNULL)</f>
        <v>-99</v>
      </c>
      <c r="BC1011">
        <f ca="1">IF(AND($AT1011&lt;3,OFFSET(DATA!$C$14,$AS1011,0)=BC$6),$AV1011,dNULL)</f>
        <v>-99</v>
      </c>
      <c r="BD1011">
        <f ca="1">IF(AND($AT1011&lt;3,OFFSET(DATA!$C$14,$AS1011,0)=BD$6),$AV1011,dNULL)</f>
        <v>-99</v>
      </c>
      <c r="BE1011">
        <f ca="1">IF(AND($AT1011&lt;3,OFFSET(DATA!$C$14,$AS1011,0)=BE$6),$AV1011,dNULL)</f>
        <v>-99</v>
      </c>
      <c r="BF1011">
        <f ca="1">IF(AND($AT1011&lt;3,OFFSET(DATA!$C$14,$AS1011,0)=BF$6),$AV1011,dNULL)</f>
        <v>-99</v>
      </c>
      <c r="BG1011">
        <f ca="1">IF(AND($AT1011&lt;3,OFFSET(DATA!$C$14,$AS1011,0)=BG$6),$AV1011,dNULL)</f>
        <v>-99</v>
      </c>
      <c r="BH1011">
        <f ca="1">IF(AND($AT1011&lt;3,OFFSET(DATA!$C$14,$AS1011,0)=BH$6),$AV1011,dNULL)</f>
        <v>-99</v>
      </c>
    </row>
    <row r="1012" spans="45:60" x14ac:dyDescent="0.25">
      <c r="AS1012">
        <f t="shared" si="148"/>
        <v>16</v>
      </c>
      <c r="AT1012">
        <f t="shared" si="149"/>
        <v>11</v>
      </c>
      <c r="AU1012">
        <f t="shared" ca="1" si="150"/>
        <v>-99</v>
      </c>
      <c r="AV1012">
        <f t="shared" ca="1" si="151"/>
        <v>-99</v>
      </c>
      <c r="AW1012">
        <f ca="1">IF(AND($AT1012&lt;3,OFFSET(DATA!$C$14,$AS1012,0)=AW$6),$AV1012,dNULL)</f>
        <v>-99</v>
      </c>
      <c r="AX1012">
        <f ca="1">IF(AND($AT1012&lt;3,OFFSET(DATA!$C$14,$AS1012,0)=AX$6),$AV1012,dNULL)</f>
        <v>-99</v>
      </c>
      <c r="AY1012">
        <f ca="1">IF(AND($AT1012&lt;3,OFFSET(DATA!$C$14,$AS1012,0)=AY$6),$AV1012,dNULL)</f>
        <v>-99</v>
      </c>
      <c r="AZ1012">
        <f ca="1">IF(AND($AT1012&lt;3,OFFSET(DATA!$C$14,$AS1012,0)=AZ$6),$AV1012,dNULL)</f>
        <v>-99</v>
      </c>
      <c r="BA1012">
        <f ca="1">IF(AND($AT1012&lt;3,OFFSET(DATA!$C$14,$AS1012,0)=BA$6),$AV1012,dNULL)</f>
        <v>-99</v>
      </c>
      <c r="BB1012">
        <f ca="1">IF(AND($AT1012&lt;3,OFFSET(DATA!$C$14,$AS1012,0)=BB$6),$AV1012,dNULL)</f>
        <v>-99</v>
      </c>
      <c r="BC1012">
        <f ca="1">IF(AND($AT1012&lt;3,OFFSET(DATA!$C$14,$AS1012,0)=BC$6),$AV1012,dNULL)</f>
        <v>-99</v>
      </c>
      <c r="BD1012">
        <f ca="1">IF(AND($AT1012&lt;3,OFFSET(DATA!$C$14,$AS1012,0)=BD$6),$AV1012,dNULL)</f>
        <v>-99</v>
      </c>
      <c r="BE1012">
        <f ca="1">IF(AND($AT1012&lt;3,OFFSET(DATA!$C$14,$AS1012,0)=BE$6),$AV1012,dNULL)</f>
        <v>-99</v>
      </c>
      <c r="BF1012">
        <f ca="1">IF(AND($AT1012&lt;3,OFFSET(DATA!$C$14,$AS1012,0)=BF$6),$AV1012,dNULL)</f>
        <v>-99</v>
      </c>
      <c r="BG1012">
        <f ca="1">IF(AND($AT1012&lt;3,OFFSET(DATA!$C$14,$AS1012,0)=BG$6),$AV1012,dNULL)</f>
        <v>-99</v>
      </c>
      <c r="BH1012">
        <f ca="1">IF(AND($AT1012&lt;3,OFFSET(DATA!$C$14,$AS1012,0)=BH$6),$AV1012,dNULL)</f>
        <v>-99</v>
      </c>
    </row>
    <row r="1013" spans="45:60" x14ac:dyDescent="0.25">
      <c r="AS1013">
        <f t="shared" si="148"/>
        <v>17</v>
      </c>
      <c r="AT1013">
        <f t="shared" si="149"/>
        <v>11</v>
      </c>
      <c r="AU1013">
        <f t="shared" ca="1" si="150"/>
        <v>-99</v>
      </c>
      <c r="AV1013">
        <f t="shared" ca="1" si="151"/>
        <v>-99</v>
      </c>
      <c r="AW1013">
        <f ca="1">IF(AND($AT1013&lt;3,OFFSET(DATA!$C$14,$AS1013,0)=AW$6),$AV1013,dNULL)</f>
        <v>-99</v>
      </c>
      <c r="AX1013">
        <f ca="1">IF(AND($AT1013&lt;3,OFFSET(DATA!$C$14,$AS1013,0)=AX$6),$AV1013,dNULL)</f>
        <v>-99</v>
      </c>
      <c r="AY1013">
        <f ca="1">IF(AND($AT1013&lt;3,OFFSET(DATA!$C$14,$AS1013,0)=AY$6),$AV1013,dNULL)</f>
        <v>-99</v>
      </c>
      <c r="AZ1013">
        <f ca="1">IF(AND($AT1013&lt;3,OFFSET(DATA!$C$14,$AS1013,0)=AZ$6),$AV1013,dNULL)</f>
        <v>-99</v>
      </c>
      <c r="BA1013">
        <f ca="1">IF(AND($AT1013&lt;3,OFFSET(DATA!$C$14,$AS1013,0)=BA$6),$AV1013,dNULL)</f>
        <v>-99</v>
      </c>
      <c r="BB1013">
        <f ca="1">IF(AND($AT1013&lt;3,OFFSET(DATA!$C$14,$AS1013,0)=BB$6),$AV1013,dNULL)</f>
        <v>-99</v>
      </c>
      <c r="BC1013">
        <f ca="1">IF(AND($AT1013&lt;3,OFFSET(DATA!$C$14,$AS1013,0)=BC$6),$AV1013,dNULL)</f>
        <v>-99</v>
      </c>
      <c r="BD1013">
        <f ca="1">IF(AND($AT1013&lt;3,OFFSET(DATA!$C$14,$AS1013,0)=BD$6),$AV1013,dNULL)</f>
        <v>-99</v>
      </c>
      <c r="BE1013">
        <f ca="1">IF(AND($AT1013&lt;3,OFFSET(DATA!$C$14,$AS1013,0)=BE$6),$AV1013,dNULL)</f>
        <v>-99</v>
      </c>
      <c r="BF1013">
        <f ca="1">IF(AND($AT1013&lt;3,OFFSET(DATA!$C$14,$AS1013,0)=BF$6),$AV1013,dNULL)</f>
        <v>-99</v>
      </c>
      <c r="BG1013">
        <f ca="1">IF(AND($AT1013&lt;3,OFFSET(DATA!$C$14,$AS1013,0)=BG$6),$AV1013,dNULL)</f>
        <v>-99</v>
      </c>
      <c r="BH1013">
        <f ca="1">IF(AND($AT1013&lt;3,OFFSET(DATA!$C$14,$AS1013,0)=BH$6),$AV1013,dNULL)</f>
        <v>-99</v>
      </c>
    </row>
    <row r="1014" spans="45:60" x14ac:dyDescent="0.25">
      <c r="AS1014">
        <f t="shared" si="148"/>
        <v>18</v>
      </c>
      <c r="AT1014">
        <f t="shared" si="149"/>
        <v>11</v>
      </c>
      <c r="AU1014">
        <f t="shared" ca="1" si="150"/>
        <v>-99</v>
      </c>
      <c r="AV1014">
        <f t="shared" ca="1" si="151"/>
        <v>-99</v>
      </c>
      <c r="AW1014">
        <f ca="1">IF(AND($AT1014&lt;3,OFFSET(DATA!$C$14,$AS1014,0)=AW$6),$AV1014,dNULL)</f>
        <v>-99</v>
      </c>
      <c r="AX1014">
        <f ca="1">IF(AND($AT1014&lt;3,OFFSET(DATA!$C$14,$AS1014,0)=AX$6),$AV1014,dNULL)</f>
        <v>-99</v>
      </c>
      <c r="AY1014">
        <f ca="1">IF(AND($AT1014&lt;3,OFFSET(DATA!$C$14,$AS1014,0)=AY$6),$AV1014,dNULL)</f>
        <v>-99</v>
      </c>
      <c r="AZ1014">
        <f ca="1">IF(AND($AT1014&lt;3,OFFSET(DATA!$C$14,$AS1014,0)=AZ$6),$AV1014,dNULL)</f>
        <v>-99</v>
      </c>
      <c r="BA1014">
        <f ca="1">IF(AND($AT1014&lt;3,OFFSET(DATA!$C$14,$AS1014,0)=BA$6),$AV1014,dNULL)</f>
        <v>-99</v>
      </c>
      <c r="BB1014">
        <f ca="1">IF(AND($AT1014&lt;3,OFFSET(DATA!$C$14,$AS1014,0)=BB$6),$AV1014,dNULL)</f>
        <v>-99</v>
      </c>
      <c r="BC1014">
        <f ca="1">IF(AND($AT1014&lt;3,OFFSET(DATA!$C$14,$AS1014,0)=BC$6),$AV1014,dNULL)</f>
        <v>-99</v>
      </c>
      <c r="BD1014">
        <f ca="1">IF(AND($AT1014&lt;3,OFFSET(DATA!$C$14,$AS1014,0)=BD$6),$AV1014,dNULL)</f>
        <v>-99</v>
      </c>
      <c r="BE1014">
        <f ca="1">IF(AND($AT1014&lt;3,OFFSET(DATA!$C$14,$AS1014,0)=BE$6),$AV1014,dNULL)</f>
        <v>-99</v>
      </c>
      <c r="BF1014">
        <f ca="1">IF(AND($AT1014&lt;3,OFFSET(DATA!$C$14,$AS1014,0)=BF$6),$AV1014,dNULL)</f>
        <v>-99</v>
      </c>
      <c r="BG1014">
        <f ca="1">IF(AND($AT1014&lt;3,OFFSET(DATA!$C$14,$AS1014,0)=BG$6),$AV1014,dNULL)</f>
        <v>-99</v>
      </c>
      <c r="BH1014">
        <f ca="1">IF(AND($AT1014&lt;3,OFFSET(DATA!$C$14,$AS1014,0)=BH$6),$AV1014,dNULL)</f>
        <v>-99</v>
      </c>
    </row>
    <row r="1015" spans="45:60" x14ac:dyDescent="0.25">
      <c r="AS1015">
        <f t="shared" si="148"/>
        <v>19</v>
      </c>
      <c r="AT1015">
        <f t="shared" si="149"/>
        <v>11</v>
      </c>
      <c r="AU1015">
        <f t="shared" ca="1" si="150"/>
        <v>-99</v>
      </c>
      <c r="AV1015">
        <f t="shared" ca="1" si="151"/>
        <v>-99</v>
      </c>
      <c r="AW1015">
        <f ca="1">IF(AND($AT1015&lt;3,OFFSET(DATA!$C$14,$AS1015,0)=AW$6),$AV1015,dNULL)</f>
        <v>-99</v>
      </c>
      <c r="AX1015">
        <f ca="1">IF(AND($AT1015&lt;3,OFFSET(DATA!$C$14,$AS1015,0)=AX$6),$AV1015,dNULL)</f>
        <v>-99</v>
      </c>
      <c r="AY1015">
        <f ca="1">IF(AND($AT1015&lt;3,OFFSET(DATA!$C$14,$AS1015,0)=AY$6),$AV1015,dNULL)</f>
        <v>-99</v>
      </c>
      <c r="AZ1015">
        <f ca="1">IF(AND($AT1015&lt;3,OFFSET(DATA!$C$14,$AS1015,0)=AZ$6),$AV1015,dNULL)</f>
        <v>-99</v>
      </c>
      <c r="BA1015">
        <f ca="1">IF(AND($AT1015&lt;3,OFFSET(DATA!$C$14,$AS1015,0)=BA$6),$AV1015,dNULL)</f>
        <v>-99</v>
      </c>
      <c r="BB1015">
        <f ca="1">IF(AND($AT1015&lt;3,OFFSET(DATA!$C$14,$AS1015,0)=BB$6),$AV1015,dNULL)</f>
        <v>-99</v>
      </c>
      <c r="BC1015">
        <f ca="1">IF(AND($AT1015&lt;3,OFFSET(DATA!$C$14,$AS1015,0)=BC$6),$AV1015,dNULL)</f>
        <v>-99</v>
      </c>
      <c r="BD1015">
        <f ca="1">IF(AND($AT1015&lt;3,OFFSET(DATA!$C$14,$AS1015,0)=BD$6),$AV1015,dNULL)</f>
        <v>-99</v>
      </c>
      <c r="BE1015">
        <f ca="1">IF(AND($AT1015&lt;3,OFFSET(DATA!$C$14,$AS1015,0)=BE$6),$AV1015,dNULL)</f>
        <v>-99</v>
      </c>
      <c r="BF1015">
        <f ca="1">IF(AND($AT1015&lt;3,OFFSET(DATA!$C$14,$AS1015,0)=BF$6),$AV1015,dNULL)</f>
        <v>-99</v>
      </c>
      <c r="BG1015">
        <f ca="1">IF(AND($AT1015&lt;3,OFFSET(DATA!$C$14,$AS1015,0)=BG$6),$AV1015,dNULL)</f>
        <v>-99</v>
      </c>
      <c r="BH1015">
        <f ca="1">IF(AND($AT1015&lt;3,OFFSET(DATA!$C$14,$AS1015,0)=BH$6),$AV1015,dNULL)</f>
        <v>-99</v>
      </c>
    </row>
    <row r="1016" spans="45:60" x14ac:dyDescent="0.25">
      <c r="AS1016">
        <f t="shared" si="148"/>
        <v>20</v>
      </c>
      <c r="AT1016">
        <f t="shared" si="149"/>
        <v>11</v>
      </c>
      <c r="AU1016">
        <f t="shared" ca="1" si="150"/>
        <v>-99</v>
      </c>
      <c r="AV1016">
        <f t="shared" ca="1" si="151"/>
        <v>-99</v>
      </c>
      <c r="AW1016">
        <f ca="1">IF(AND($AT1016&lt;3,OFFSET(DATA!$C$14,$AS1016,0)=AW$6),$AV1016,dNULL)</f>
        <v>-99</v>
      </c>
      <c r="AX1016">
        <f ca="1">IF(AND($AT1016&lt;3,OFFSET(DATA!$C$14,$AS1016,0)=AX$6),$AV1016,dNULL)</f>
        <v>-99</v>
      </c>
      <c r="AY1016">
        <f ca="1">IF(AND($AT1016&lt;3,OFFSET(DATA!$C$14,$AS1016,0)=AY$6),$AV1016,dNULL)</f>
        <v>-99</v>
      </c>
      <c r="AZ1016">
        <f ca="1">IF(AND($AT1016&lt;3,OFFSET(DATA!$C$14,$AS1016,0)=AZ$6),$AV1016,dNULL)</f>
        <v>-99</v>
      </c>
      <c r="BA1016">
        <f ca="1">IF(AND($AT1016&lt;3,OFFSET(DATA!$C$14,$AS1016,0)=BA$6),$AV1016,dNULL)</f>
        <v>-99</v>
      </c>
      <c r="BB1016">
        <f ca="1">IF(AND($AT1016&lt;3,OFFSET(DATA!$C$14,$AS1016,0)=BB$6),$AV1016,dNULL)</f>
        <v>-99</v>
      </c>
      <c r="BC1016">
        <f ca="1">IF(AND($AT1016&lt;3,OFFSET(DATA!$C$14,$AS1016,0)=BC$6),$AV1016,dNULL)</f>
        <v>-99</v>
      </c>
      <c r="BD1016">
        <f ca="1">IF(AND($AT1016&lt;3,OFFSET(DATA!$C$14,$AS1016,0)=BD$6),$AV1016,dNULL)</f>
        <v>-99</v>
      </c>
      <c r="BE1016">
        <f ca="1">IF(AND($AT1016&lt;3,OFFSET(DATA!$C$14,$AS1016,0)=BE$6),$AV1016,dNULL)</f>
        <v>-99</v>
      </c>
      <c r="BF1016">
        <f ca="1">IF(AND($AT1016&lt;3,OFFSET(DATA!$C$14,$AS1016,0)=BF$6),$AV1016,dNULL)</f>
        <v>-99</v>
      </c>
      <c r="BG1016">
        <f ca="1">IF(AND($AT1016&lt;3,OFFSET(DATA!$C$14,$AS1016,0)=BG$6),$AV1016,dNULL)</f>
        <v>-99</v>
      </c>
      <c r="BH1016">
        <f ca="1">IF(AND($AT1016&lt;3,OFFSET(DATA!$C$14,$AS1016,0)=BH$6),$AV1016,dNULL)</f>
        <v>-99</v>
      </c>
    </row>
    <row r="1017" spans="45:60" x14ac:dyDescent="0.25">
      <c r="AS1017">
        <f t="shared" si="148"/>
        <v>21</v>
      </c>
      <c r="AT1017">
        <f t="shared" si="149"/>
        <v>11</v>
      </c>
      <c r="AU1017">
        <f t="shared" ca="1" si="150"/>
        <v>-99</v>
      </c>
      <c r="AV1017">
        <f t="shared" ca="1" si="151"/>
        <v>-99</v>
      </c>
      <c r="AW1017">
        <f ca="1">IF(AND($AT1017&lt;3,OFFSET(DATA!$C$14,$AS1017,0)=AW$6),$AV1017,dNULL)</f>
        <v>-99</v>
      </c>
      <c r="AX1017">
        <f ca="1">IF(AND($AT1017&lt;3,OFFSET(DATA!$C$14,$AS1017,0)=AX$6),$AV1017,dNULL)</f>
        <v>-99</v>
      </c>
      <c r="AY1017">
        <f ca="1">IF(AND($AT1017&lt;3,OFFSET(DATA!$C$14,$AS1017,0)=AY$6),$AV1017,dNULL)</f>
        <v>-99</v>
      </c>
      <c r="AZ1017">
        <f ca="1">IF(AND($AT1017&lt;3,OFFSET(DATA!$C$14,$AS1017,0)=AZ$6),$AV1017,dNULL)</f>
        <v>-99</v>
      </c>
      <c r="BA1017">
        <f ca="1">IF(AND($AT1017&lt;3,OFFSET(DATA!$C$14,$AS1017,0)=BA$6),$AV1017,dNULL)</f>
        <v>-99</v>
      </c>
      <c r="BB1017">
        <f ca="1">IF(AND($AT1017&lt;3,OFFSET(DATA!$C$14,$AS1017,0)=BB$6),$AV1017,dNULL)</f>
        <v>-99</v>
      </c>
      <c r="BC1017">
        <f ca="1">IF(AND($AT1017&lt;3,OFFSET(DATA!$C$14,$AS1017,0)=BC$6),$AV1017,dNULL)</f>
        <v>-99</v>
      </c>
      <c r="BD1017">
        <f ca="1">IF(AND($AT1017&lt;3,OFFSET(DATA!$C$14,$AS1017,0)=BD$6),$AV1017,dNULL)</f>
        <v>-99</v>
      </c>
      <c r="BE1017">
        <f ca="1">IF(AND($AT1017&lt;3,OFFSET(DATA!$C$14,$AS1017,0)=BE$6),$AV1017,dNULL)</f>
        <v>-99</v>
      </c>
      <c r="BF1017">
        <f ca="1">IF(AND($AT1017&lt;3,OFFSET(DATA!$C$14,$AS1017,0)=BF$6),$AV1017,dNULL)</f>
        <v>-99</v>
      </c>
      <c r="BG1017">
        <f ca="1">IF(AND($AT1017&lt;3,OFFSET(DATA!$C$14,$AS1017,0)=BG$6),$AV1017,dNULL)</f>
        <v>-99</v>
      </c>
      <c r="BH1017">
        <f ca="1">IF(AND($AT1017&lt;3,OFFSET(DATA!$C$14,$AS1017,0)=BH$6),$AV1017,dNULL)</f>
        <v>-99</v>
      </c>
    </row>
    <row r="1018" spans="45:60" x14ac:dyDescent="0.25">
      <c r="AS1018">
        <f t="shared" si="148"/>
        <v>22</v>
      </c>
      <c r="AT1018">
        <f t="shared" si="149"/>
        <v>11</v>
      </c>
      <c r="AU1018">
        <f t="shared" ca="1" si="150"/>
        <v>-99</v>
      </c>
      <c r="AV1018">
        <f t="shared" ca="1" si="151"/>
        <v>-99</v>
      </c>
      <c r="AW1018">
        <f ca="1">IF(AND($AT1018&lt;3,OFFSET(DATA!$C$14,$AS1018,0)=AW$6),$AV1018,dNULL)</f>
        <v>-99</v>
      </c>
      <c r="AX1018">
        <f ca="1">IF(AND($AT1018&lt;3,OFFSET(DATA!$C$14,$AS1018,0)=AX$6),$AV1018,dNULL)</f>
        <v>-99</v>
      </c>
      <c r="AY1018">
        <f ca="1">IF(AND($AT1018&lt;3,OFFSET(DATA!$C$14,$AS1018,0)=AY$6),$AV1018,dNULL)</f>
        <v>-99</v>
      </c>
      <c r="AZ1018">
        <f ca="1">IF(AND($AT1018&lt;3,OFFSET(DATA!$C$14,$AS1018,0)=AZ$6),$AV1018,dNULL)</f>
        <v>-99</v>
      </c>
      <c r="BA1018">
        <f ca="1">IF(AND($AT1018&lt;3,OFFSET(DATA!$C$14,$AS1018,0)=BA$6),$AV1018,dNULL)</f>
        <v>-99</v>
      </c>
      <c r="BB1018">
        <f ca="1">IF(AND($AT1018&lt;3,OFFSET(DATA!$C$14,$AS1018,0)=BB$6),$AV1018,dNULL)</f>
        <v>-99</v>
      </c>
      <c r="BC1018">
        <f ca="1">IF(AND($AT1018&lt;3,OFFSET(DATA!$C$14,$AS1018,0)=BC$6),$AV1018,dNULL)</f>
        <v>-99</v>
      </c>
      <c r="BD1018">
        <f ca="1">IF(AND($AT1018&lt;3,OFFSET(DATA!$C$14,$AS1018,0)=BD$6),$AV1018,dNULL)</f>
        <v>-99</v>
      </c>
      <c r="BE1018">
        <f ca="1">IF(AND($AT1018&lt;3,OFFSET(DATA!$C$14,$AS1018,0)=BE$6),$AV1018,dNULL)</f>
        <v>-99</v>
      </c>
      <c r="BF1018">
        <f ca="1">IF(AND($AT1018&lt;3,OFFSET(DATA!$C$14,$AS1018,0)=BF$6),$AV1018,dNULL)</f>
        <v>-99</v>
      </c>
      <c r="BG1018">
        <f ca="1">IF(AND($AT1018&lt;3,OFFSET(DATA!$C$14,$AS1018,0)=BG$6),$AV1018,dNULL)</f>
        <v>-99</v>
      </c>
      <c r="BH1018">
        <f ca="1">IF(AND($AT1018&lt;3,OFFSET(DATA!$C$14,$AS1018,0)=BH$6),$AV1018,dNULL)</f>
        <v>-99</v>
      </c>
    </row>
    <row r="1019" spans="45:60" x14ac:dyDescent="0.25">
      <c r="AS1019">
        <f t="shared" si="148"/>
        <v>23</v>
      </c>
      <c r="AT1019">
        <f t="shared" si="149"/>
        <v>11</v>
      </c>
      <c r="AU1019">
        <f t="shared" ca="1" si="150"/>
        <v>-99</v>
      </c>
      <c r="AV1019">
        <f t="shared" ca="1" si="151"/>
        <v>-99</v>
      </c>
      <c r="AW1019">
        <f ca="1">IF(AND($AT1019&lt;3,OFFSET(DATA!$C$14,$AS1019,0)=AW$6),$AV1019,dNULL)</f>
        <v>-99</v>
      </c>
      <c r="AX1019">
        <f ca="1">IF(AND($AT1019&lt;3,OFFSET(DATA!$C$14,$AS1019,0)=AX$6),$AV1019,dNULL)</f>
        <v>-99</v>
      </c>
      <c r="AY1019">
        <f ca="1">IF(AND($AT1019&lt;3,OFFSET(DATA!$C$14,$AS1019,0)=AY$6),$AV1019,dNULL)</f>
        <v>-99</v>
      </c>
      <c r="AZ1019">
        <f ca="1">IF(AND($AT1019&lt;3,OFFSET(DATA!$C$14,$AS1019,0)=AZ$6),$AV1019,dNULL)</f>
        <v>-99</v>
      </c>
      <c r="BA1019">
        <f ca="1">IF(AND($AT1019&lt;3,OFFSET(DATA!$C$14,$AS1019,0)=BA$6),$AV1019,dNULL)</f>
        <v>-99</v>
      </c>
      <c r="BB1019">
        <f ca="1">IF(AND($AT1019&lt;3,OFFSET(DATA!$C$14,$AS1019,0)=BB$6),$AV1019,dNULL)</f>
        <v>-99</v>
      </c>
      <c r="BC1019">
        <f ca="1">IF(AND($AT1019&lt;3,OFFSET(DATA!$C$14,$AS1019,0)=BC$6),$AV1019,dNULL)</f>
        <v>-99</v>
      </c>
      <c r="BD1019">
        <f ca="1">IF(AND($AT1019&lt;3,OFFSET(DATA!$C$14,$AS1019,0)=BD$6),$AV1019,dNULL)</f>
        <v>-99</v>
      </c>
      <c r="BE1019">
        <f ca="1">IF(AND($AT1019&lt;3,OFFSET(DATA!$C$14,$AS1019,0)=BE$6),$AV1019,dNULL)</f>
        <v>-99</v>
      </c>
      <c r="BF1019">
        <f ca="1">IF(AND($AT1019&lt;3,OFFSET(DATA!$C$14,$AS1019,0)=BF$6),$AV1019,dNULL)</f>
        <v>-99</v>
      </c>
      <c r="BG1019">
        <f ca="1">IF(AND($AT1019&lt;3,OFFSET(DATA!$C$14,$AS1019,0)=BG$6),$AV1019,dNULL)</f>
        <v>-99</v>
      </c>
      <c r="BH1019">
        <f ca="1">IF(AND($AT1019&lt;3,OFFSET(DATA!$C$14,$AS1019,0)=BH$6),$AV1019,dNULL)</f>
        <v>-99</v>
      </c>
    </row>
    <row r="1020" spans="45:60" x14ac:dyDescent="0.25">
      <c r="AS1020">
        <f t="shared" si="148"/>
        <v>24</v>
      </c>
      <c r="AT1020">
        <f t="shared" si="149"/>
        <v>11</v>
      </c>
      <c r="AU1020">
        <f t="shared" ca="1" si="150"/>
        <v>-99</v>
      </c>
      <c r="AV1020">
        <f t="shared" ca="1" si="151"/>
        <v>-99</v>
      </c>
      <c r="AW1020">
        <f ca="1">IF(AND($AT1020&lt;3,OFFSET(DATA!$C$14,$AS1020,0)=AW$6),$AV1020,dNULL)</f>
        <v>-99</v>
      </c>
      <c r="AX1020">
        <f ca="1">IF(AND($AT1020&lt;3,OFFSET(DATA!$C$14,$AS1020,0)=AX$6),$AV1020,dNULL)</f>
        <v>-99</v>
      </c>
      <c r="AY1020">
        <f ca="1">IF(AND($AT1020&lt;3,OFFSET(DATA!$C$14,$AS1020,0)=AY$6),$AV1020,dNULL)</f>
        <v>-99</v>
      </c>
      <c r="AZ1020">
        <f ca="1">IF(AND($AT1020&lt;3,OFFSET(DATA!$C$14,$AS1020,0)=AZ$6),$AV1020,dNULL)</f>
        <v>-99</v>
      </c>
      <c r="BA1020">
        <f ca="1">IF(AND($AT1020&lt;3,OFFSET(DATA!$C$14,$AS1020,0)=BA$6),$AV1020,dNULL)</f>
        <v>-99</v>
      </c>
      <c r="BB1020">
        <f ca="1">IF(AND($AT1020&lt;3,OFFSET(DATA!$C$14,$AS1020,0)=BB$6),$AV1020,dNULL)</f>
        <v>-99</v>
      </c>
      <c r="BC1020">
        <f ca="1">IF(AND($AT1020&lt;3,OFFSET(DATA!$C$14,$AS1020,0)=BC$6),$AV1020,dNULL)</f>
        <v>-99</v>
      </c>
      <c r="BD1020">
        <f ca="1">IF(AND($AT1020&lt;3,OFFSET(DATA!$C$14,$AS1020,0)=BD$6),$AV1020,dNULL)</f>
        <v>-99</v>
      </c>
      <c r="BE1020">
        <f ca="1">IF(AND($AT1020&lt;3,OFFSET(DATA!$C$14,$AS1020,0)=BE$6),$AV1020,dNULL)</f>
        <v>-99</v>
      </c>
      <c r="BF1020">
        <f ca="1">IF(AND($AT1020&lt;3,OFFSET(DATA!$C$14,$AS1020,0)=BF$6),$AV1020,dNULL)</f>
        <v>-99</v>
      </c>
      <c r="BG1020">
        <f ca="1">IF(AND($AT1020&lt;3,OFFSET(DATA!$C$14,$AS1020,0)=BG$6),$AV1020,dNULL)</f>
        <v>-99</v>
      </c>
      <c r="BH1020">
        <f ca="1">IF(AND($AT1020&lt;3,OFFSET(DATA!$C$14,$AS1020,0)=BH$6),$AV1020,dNULL)</f>
        <v>-99</v>
      </c>
    </row>
    <row r="1021" spans="45:60" x14ac:dyDescent="0.25">
      <c r="AS1021">
        <f t="shared" si="148"/>
        <v>25</v>
      </c>
      <c r="AT1021">
        <f t="shared" si="149"/>
        <v>11</v>
      </c>
      <c r="AU1021">
        <f t="shared" ca="1" si="150"/>
        <v>-99</v>
      </c>
      <c r="AV1021">
        <f t="shared" ca="1" si="151"/>
        <v>-99</v>
      </c>
      <c r="AW1021">
        <f ca="1">IF(AND($AT1021&lt;3,OFFSET(DATA!$C$14,$AS1021,0)=AW$6),$AV1021,dNULL)</f>
        <v>-99</v>
      </c>
      <c r="AX1021">
        <f ca="1">IF(AND($AT1021&lt;3,OFFSET(DATA!$C$14,$AS1021,0)=AX$6),$AV1021,dNULL)</f>
        <v>-99</v>
      </c>
      <c r="AY1021">
        <f ca="1">IF(AND($AT1021&lt;3,OFFSET(DATA!$C$14,$AS1021,0)=AY$6),$AV1021,dNULL)</f>
        <v>-99</v>
      </c>
      <c r="AZ1021">
        <f ca="1">IF(AND($AT1021&lt;3,OFFSET(DATA!$C$14,$AS1021,0)=AZ$6),$AV1021,dNULL)</f>
        <v>-99</v>
      </c>
      <c r="BA1021">
        <f ca="1">IF(AND($AT1021&lt;3,OFFSET(DATA!$C$14,$AS1021,0)=BA$6),$AV1021,dNULL)</f>
        <v>-99</v>
      </c>
      <c r="BB1021">
        <f ca="1">IF(AND($AT1021&lt;3,OFFSET(DATA!$C$14,$AS1021,0)=BB$6),$AV1021,dNULL)</f>
        <v>-99</v>
      </c>
      <c r="BC1021">
        <f ca="1">IF(AND($AT1021&lt;3,OFFSET(DATA!$C$14,$AS1021,0)=BC$6),$AV1021,dNULL)</f>
        <v>-99</v>
      </c>
      <c r="BD1021">
        <f ca="1">IF(AND($AT1021&lt;3,OFFSET(DATA!$C$14,$AS1021,0)=BD$6),$AV1021,dNULL)</f>
        <v>-99</v>
      </c>
      <c r="BE1021">
        <f ca="1">IF(AND($AT1021&lt;3,OFFSET(DATA!$C$14,$AS1021,0)=BE$6),$AV1021,dNULL)</f>
        <v>-99</v>
      </c>
      <c r="BF1021">
        <f ca="1">IF(AND($AT1021&lt;3,OFFSET(DATA!$C$14,$AS1021,0)=BF$6),$AV1021,dNULL)</f>
        <v>-99</v>
      </c>
      <c r="BG1021">
        <f ca="1">IF(AND($AT1021&lt;3,OFFSET(DATA!$C$14,$AS1021,0)=BG$6),$AV1021,dNULL)</f>
        <v>-99</v>
      </c>
      <c r="BH1021">
        <f ca="1">IF(AND($AT1021&lt;3,OFFSET(DATA!$C$14,$AS1021,0)=BH$6),$AV1021,dNULL)</f>
        <v>-99</v>
      </c>
    </row>
    <row r="1022" spans="45:60" x14ac:dyDescent="0.25">
      <c r="AS1022">
        <f t="shared" si="148"/>
        <v>26</v>
      </c>
      <c r="AT1022">
        <f t="shared" si="149"/>
        <v>11</v>
      </c>
      <c r="AU1022">
        <f t="shared" ca="1" si="150"/>
        <v>-99</v>
      </c>
      <c r="AV1022">
        <f t="shared" ca="1" si="151"/>
        <v>-99</v>
      </c>
      <c r="AW1022">
        <f ca="1">IF(AND($AT1022&lt;3,OFFSET(DATA!$C$14,$AS1022,0)=AW$6),$AV1022,dNULL)</f>
        <v>-99</v>
      </c>
      <c r="AX1022">
        <f ca="1">IF(AND($AT1022&lt;3,OFFSET(DATA!$C$14,$AS1022,0)=AX$6),$AV1022,dNULL)</f>
        <v>-99</v>
      </c>
      <c r="AY1022">
        <f ca="1">IF(AND($AT1022&lt;3,OFFSET(DATA!$C$14,$AS1022,0)=AY$6),$AV1022,dNULL)</f>
        <v>-99</v>
      </c>
      <c r="AZ1022">
        <f ca="1">IF(AND($AT1022&lt;3,OFFSET(DATA!$C$14,$AS1022,0)=AZ$6),$AV1022,dNULL)</f>
        <v>-99</v>
      </c>
      <c r="BA1022">
        <f ca="1">IF(AND($AT1022&lt;3,OFFSET(DATA!$C$14,$AS1022,0)=BA$6),$AV1022,dNULL)</f>
        <v>-99</v>
      </c>
      <c r="BB1022">
        <f ca="1">IF(AND($AT1022&lt;3,OFFSET(DATA!$C$14,$AS1022,0)=BB$6),$AV1022,dNULL)</f>
        <v>-99</v>
      </c>
      <c r="BC1022">
        <f ca="1">IF(AND($AT1022&lt;3,OFFSET(DATA!$C$14,$AS1022,0)=BC$6),$AV1022,dNULL)</f>
        <v>-99</v>
      </c>
      <c r="BD1022">
        <f ca="1">IF(AND($AT1022&lt;3,OFFSET(DATA!$C$14,$AS1022,0)=BD$6),$AV1022,dNULL)</f>
        <v>-99</v>
      </c>
      <c r="BE1022">
        <f ca="1">IF(AND($AT1022&lt;3,OFFSET(DATA!$C$14,$AS1022,0)=BE$6),$AV1022,dNULL)</f>
        <v>-99</v>
      </c>
      <c r="BF1022">
        <f ca="1">IF(AND($AT1022&lt;3,OFFSET(DATA!$C$14,$AS1022,0)=BF$6),$AV1022,dNULL)</f>
        <v>-99</v>
      </c>
      <c r="BG1022">
        <f ca="1">IF(AND($AT1022&lt;3,OFFSET(DATA!$C$14,$AS1022,0)=BG$6),$AV1022,dNULL)</f>
        <v>-99</v>
      </c>
      <c r="BH1022">
        <f ca="1">IF(AND($AT1022&lt;3,OFFSET(DATA!$C$14,$AS1022,0)=BH$6),$AV1022,dNULL)</f>
        <v>-99</v>
      </c>
    </row>
    <row r="1023" spans="45:60" x14ac:dyDescent="0.25">
      <c r="AS1023">
        <f t="shared" si="148"/>
        <v>27</v>
      </c>
      <c r="AT1023">
        <f t="shared" si="149"/>
        <v>11</v>
      </c>
      <c r="AU1023">
        <f t="shared" ca="1" si="150"/>
        <v>-99</v>
      </c>
      <c r="AV1023">
        <f t="shared" ca="1" si="151"/>
        <v>-99</v>
      </c>
      <c r="AW1023">
        <f ca="1">IF(AND($AT1023&lt;3,OFFSET(DATA!$C$14,$AS1023,0)=AW$6),$AV1023,dNULL)</f>
        <v>-99</v>
      </c>
      <c r="AX1023">
        <f ca="1">IF(AND($AT1023&lt;3,OFFSET(DATA!$C$14,$AS1023,0)=AX$6),$AV1023,dNULL)</f>
        <v>-99</v>
      </c>
      <c r="AY1023">
        <f ca="1">IF(AND($AT1023&lt;3,OFFSET(DATA!$C$14,$AS1023,0)=AY$6),$AV1023,dNULL)</f>
        <v>-99</v>
      </c>
      <c r="AZ1023">
        <f ca="1">IF(AND($AT1023&lt;3,OFFSET(DATA!$C$14,$AS1023,0)=AZ$6),$AV1023,dNULL)</f>
        <v>-99</v>
      </c>
      <c r="BA1023">
        <f ca="1">IF(AND($AT1023&lt;3,OFFSET(DATA!$C$14,$AS1023,0)=BA$6),$AV1023,dNULL)</f>
        <v>-99</v>
      </c>
      <c r="BB1023">
        <f ca="1">IF(AND($AT1023&lt;3,OFFSET(DATA!$C$14,$AS1023,0)=BB$6),$AV1023,dNULL)</f>
        <v>-99</v>
      </c>
      <c r="BC1023">
        <f ca="1">IF(AND($AT1023&lt;3,OFFSET(DATA!$C$14,$AS1023,0)=BC$6),$AV1023,dNULL)</f>
        <v>-99</v>
      </c>
      <c r="BD1023">
        <f ca="1">IF(AND($AT1023&lt;3,OFFSET(DATA!$C$14,$AS1023,0)=BD$6),$AV1023,dNULL)</f>
        <v>-99</v>
      </c>
      <c r="BE1023">
        <f ca="1">IF(AND($AT1023&lt;3,OFFSET(DATA!$C$14,$AS1023,0)=BE$6),$AV1023,dNULL)</f>
        <v>-99</v>
      </c>
      <c r="BF1023">
        <f ca="1">IF(AND($AT1023&lt;3,OFFSET(DATA!$C$14,$AS1023,0)=BF$6),$AV1023,dNULL)</f>
        <v>-99</v>
      </c>
      <c r="BG1023">
        <f ca="1">IF(AND($AT1023&lt;3,OFFSET(DATA!$C$14,$AS1023,0)=BG$6),$AV1023,dNULL)</f>
        <v>-99</v>
      </c>
      <c r="BH1023">
        <f ca="1">IF(AND($AT1023&lt;3,OFFSET(DATA!$C$14,$AS1023,0)=BH$6),$AV1023,dNULL)</f>
        <v>-99</v>
      </c>
    </row>
    <row r="1024" spans="45:60" x14ac:dyDescent="0.25">
      <c r="AS1024">
        <f t="shared" si="148"/>
        <v>28</v>
      </c>
      <c r="AT1024">
        <f t="shared" si="149"/>
        <v>11</v>
      </c>
      <c r="AU1024">
        <f t="shared" ca="1" si="150"/>
        <v>-99</v>
      </c>
      <c r="AV1024">
        <f t="shared" ca="1" si="151"/>
        <v>-99</v>
      </c>
      <c r="AW1024">
        <f ca="1">IF(AND($AT1024&lt;3,OFFSET(DATA!$C$14,$AS1024,0)=AW$6),$AV1024,dNULL)</f>
        <v>-99</v>
      </c>
      <c r="AX1024">
        <f ca="1">IF(AND($AT1024&lt;3,OFFSET(DATA!$C$14,$AS1024,0)=AX$6),$AV1024,dNULL)</f>
        <v>-99</v>
      </c>
      <c r="AY1024">
        <f ca="1">IF(AND($AT1024&lt;3,OFFSET(DATA!$C$14,$AS1024,0)=AY$6),$AV1024,dNULL)</f>
        <v>-99</v>
      </c>
      <c r="AZ1024">
        <f ca="1">IF(AND($AT1024&lt;3,OFFSET(DATA!$C$14,$AS1024,0)=AZ$6),$AV1024,dNULL)</f>
        <v>-99</v>
      </c>
      <c r="BA1024">
        <f ca="1">IF(AND($AT1024&lt;3,OFFSET(DATA!$C$14,$AS1024,0)=BA$6),$AV1024,dNULL)</f>
        <v>-99</v>
      </c>
      <c r="BB1024">
        <f ca="1">IF(AND($AT1024&lt;3,OFFSET(DATA!$C$14,$AS1024,0)=BB$6),$AV1024,dNULL)</f>
        <v>-99</v>
      </c>
      <c r="BC1024">
        <f ca="1">IF(AND($AT1024&lt;3,OFFSET(DATA!$C$14,$AS1024,0)=BC$6),$AV1024,dNULL)</f>
        <v>-99</v>
      </c>
      <c r="BD1024">
        <f ca="1">IF(AND($AT1024&lt;3,OFFSET(DATA!$C$14,$AS1024,0)=BD$6),$AV1024,dNULL)</f>
        <v>-99</v>
      </c>
      <c r="BE1024">
        <f ca="1">IF(AND($AT1024&lt;3,OFFSET(DATA!$C$14,$AS1024,0)=BE$6),$AV1024,dNULL)</f>
        <v>-99</v>
      </c>
      <c r="BF1024">
        <f ca="1">IF(AND($AT1024&lt;3,OFFSET(DATA!$C$14,$AS1024,0)=BF$6),$AV1024,dNULL)</f>
        <v>-99</v>
      </c>
      <c r="BG1024">
        <f ca="1">IF(AND($AT1024&lt;3,OFFSET(DATA!$C$14,$AS1024,0)=BG$6),$AV1024,dNULL)</f>
        <v>-99</v>
      </c>
      <c r="BH1024">
        <f ca="1">IF(AND($AT1024&lt;3,OFFSET(DATA!$C$14,$AS1024,0)=BH$6),$AV1024,dNULL)</f>
        <v>-99</v>
      </c>
    </row>
    <row r="1025" spans="45:60" x14ac:dyDescent="0.25">
      <c r="AS1025">
        <f t="shared" si="148"/>
        <v>29</v>
      </c>
      <c r="AT1025">
        <f t="shared" si="149"/>
        <v>11</v>
      </c>
      <c r="AU1025">
        <f t="shared" ca="1" si="150"/>
        <v>-99</v>
      </c>
      <c r="AV1025">
        <f t="shared" ca="1" si="151"/>
        <v>-99</v>
      </c>
      <c r="AW1025">
        <f ca="1">IF(AND($AT1025&lt;3,OFFSET(DATA!$C$14,$AS1025,0)=AW$6),$AV1025,dNULL)</f>
        <v>-99</v>
      </c>
      <c r="AX1025">
        <f ca="1">IF(AND($AT1025&lt;3,OFFSET(DATA!$C$14,$AS1025,0)=AX$6),$AV1025,dNULL)</f>
        <v>-99</v>
      </c>
      <c r="AY1025">
        <f ca="1">IF(AND($AT1025&lt;3,OFFSET(DATA!$C$14,$AS1025,0)=AY$6),$AV1025,dNULL)</f>
        <v>-99</v>
      </c>
      <c r="AZ1025">
        <f ca="1">IF(AND($AT1025&lt;3,OFFSET(DATA!$C$14,$AS1025,0)=AZ$6),$AV1025,dNULL)</f>
        <v>-99</v>
      </c>
      <c r="BA1025">
        <f ca="1">IF(AND($AT1025&lt;3,OFFSET(DATA!$C$14,$AS1025,0)=BA$6),$AV1025,dNULL)</f>
        <v>-99</v>
      </c>
      <c r="BB1025">
        <f ca="1">IF(AND($AT1025&lt;3,OFFSET(DATA!$C$14,$AS1025,0)=BB$6),$AV1025,dNULL)</f>
        <v>-99</v>
      </c>
      <c r="BC1025">
        <f ca="1">IF(AND($AT1025&lt;3,OFFSET(DATA!$C$14,$AS1025,0)=BC$6),$AV1025,dNULL)</f>
        <v>-99</v>
      </c>
      <c r="BD1025">
        <f ca="1">IF(AND($AT1025&lt;3,OFFSET(DATA!$C$14,$AS1025,0)=BD$6),$AV1025,dNULL)</f>
        <v>-99</v>
      </c>
      <c r="BE1025">
        <f ca="1">IF(AND($AT1025&lt;3,OFFSET(DATA!$C$14,$AS1025,0)=BE$6),$AV1025,dNULL)</f>
        <v>-99</v>
      </c>
      <c r="BF1025">
        <f ca="1">IF(AND($AT1025&lt;3,OFFSET(DATA!$C$14,$AS1025,0)=BF$6),$AV1025,dNULL)</f>
        <v>-99</v>
      </c>
      <c r="BG1025">
        <f ca="1">IF(AND($AT1025&lt;3,OFFSET(DATA!$C$14,$AS1025,0)=BG$6),$AV1025,dNULL)</f>
        <v>-99</v>
      </c>
      <c r="BH1025">
        <f ca="1">IF(AND($AT1025&lt;3,OFFSET(DATA!$C$14,$AS1025,0)=BH$6),$AV1025,dNULL)</f>
        <v>-99</v>
      </c>
    </row>
    <row r="1026" spans="45:60" x14ac:dyDescent="0.25">
      <c r="AS1026">
        <f t="shared" si="148"/>
        <v>30</v>
      </c>
      <c r="AT1026">
        <f t="shared" si="149"/>
        <v>11</v>
      </c>
      <c r="AU1026">
        <f t="shared" ca="1" si="150"/>
        <v>-99</v>
      </c>
      <c r="AV1026">
        <f t="shared" ca="1" si="151"/>
        <v>-99</v>
      </c>
      <c r="AW1026">
        <f ca="1">IF(AND($AT1026&lt;3,OFFSET(DATA!$C$14,$AS1026,0)=AW$6),$AV1026,dNULL)</f>
        <v>-99</v>
      </c>
      <c r="AX1026">
        <f ca="1">IF(AND($AT1026&lt;3,OFFSET(DATA!$C$14,$AS1026,0)=AX$6),$AV1026,dNULL)</f>
        <v>-99</v>
      </c>
      <c r="AY1026">
        <f ca="1">IF(AND($AT1026&lt;3,OFFSET(DATA!$C$14,$AS1026,0)=AY$6),$AV1026,dNULL)</f>
        <v>-99</v>
      </c>
      <c r="AZ1026">
        <f ca="1">IF(AND($AT1026&lt;3,OFFSET(DATA!$C$14,$AS1026,0)=AZ$6),$AV1026,dNULL)</f>
        <v>-99</v>
      </c>
      <c r="BA1026">
        <f ca="1">IF(AND($AT1026&lt;3,OFFSET(DATA!$C$14,$AS1026,0)=BA$6),$AV1026,dNULL)</f>
        <v>-99</v>
      </c>
      <c r="BB1026">
        <f ca="1">IF(AND($AT1026&lt;3,OFFSET(DATA!$C$14,$AS1026,0)=BB$6),$AV1026,dNULL)</f>
        <v>-99</v>
      </c>
      <c r="BC1026">
        <f ca="1">IF(AND($AT1026&lt;3,OFFSET(DATA!$C$14,$AS1026,0)=BC$6),$AV1026,dNULL)</f>
        <v>-99</v>
      </c>
      <c r="BD1026">
        <f ca="1">IF(AND($AT1026&lt;3,OFFSET(DATA!$C$14,$AS1026,0)=BD$6),$AV1026,dNULL)</f>
        <v>-99</v>
      </c>
      <c r="BE1026">
        <f ca="1">IF(AND($AT1026&lt;3,OFFSET(DATA!$C$14,$AS1026,0)=BE$6),$AV1026,dNULL)</f>
        <v>-99</v>
      </c>
      <c r="BF1026">
        <f ca="1">IF(AND($AT1026&lt;3,OFFSET(DATA!$C$14,$AS1026,0)=BF$6),$AV1026,dNULL)</f>
        <v>-99</v>
      </c>
      <c r="BG1026">
        <f ca="1">IF(AND($AT1026&lt;3,OFFSET(DATA!$C$14,$AS1026,0)=BG$6),$AV1026,dNULL)</f>
        <v>-99</v>
      </c>
      <c r="BH1026">
        <f ca="1">IF(AND($AT1026&lt;3,OFFSET(DATA!$C$14,$AS1026,0)=BH$6),$AV1026,dNULL)</f>
        <v>-99</v>
      </c>
    </row>
    <row r="1027" spans="45:60" x14ac:dyDescent="0.25">
      <c r="AS1027">
        <f t="shared" si="148"/>
        <v>31</v>
      </c>
      <c r="AT1027">
        <f t="shared" si="149"/>
        <v>11</v>
      </c>
      <c r="AU1027">
        <f t="shared" ca="1" si="150"/>
        <v>-99</v>
      </c>
      <c r="AV1027">
        <f t="shared" ca="1" si="151"/>
        <v>-99</v>
      </c>
      <c r="AW1027">
        <f ca="1">IF(AND($AT1027&lt;3,OFFSET(DATA!$C$14,$AS1027,0)=AW$6),$AV1027,dNULL)</f>
        <v>-99</v>
      </c>
      <c r="AX1027">
        <f ca="1">IF(AND($AT1027&lt;3,OFFSET(DATA!$C$14,$AS1027,0)=AX$6),$AV1027,dNULL)</f>
        <v>-99</v>
      </c>
      <c r="AY1027">
        <f ca="1">IF(AND($AT1027&lt;3,OFFSET(DATA!$C$14,$AS1027,0)=AY$6),$AV1027,dNULL)</f>
        <v>-99</v>
      </c>
      <c r="AZ1027">
        <f ca="1">IF(AND($AT1027&lt;3,OFFSET(DATA!$C$14,$AS1027,0)=AZ$6),$AV1027,dNULL)</f>
        <v>-99</v>
      </c>
      <c r="BA1027">
        <f ca="1">IF(AND($AT1027&lt;3,OFFSET(DATA!$C$14,$AS1027,0)=BA$6),$AV1027,dNULL)</f>
        <v>-99</v>
      </c>
      <c r="BB1027">
        <f ca="1">IF(AND($AT1027&lt;3,OFFSET(DATA!$C$14,$AS1027,0)=BB$6),$AV1027,dNULL)</f>
        <v>-99</v>
      </c>
      <c r="BC1027">
        <f ca="1">IF(AND($AT1027&lt;3,OFFSET(DATA!$C$14,$AS1027,0)=BC$6),$AV1027,dNULL)</f>
        <v>-99</v>
      </c>
      <c r="BD1027">
        <f ca="1">IF(AND($AT1027&lt;3,OFFSET(DATA!$C$14,$AS1027,0)=BD$6),$AV1027,dNULL)</f>
        <v>-99</v>
      </c>
      <c r="BE1027">
        <f ca="1">IF(AND($AT1027&lt;3,OFFSET(DATA!$C$14,$AS1027,0)=BE$6),$AV1027,dNULL)</f>
        <v>-99</v>
      </c>
      <c r="BF1027">
        <f ca="1">IF(AND($AT1027&lt;3,OFFSET(DATA!$C$14,$AS1027,0)=BF$6),$AV1027,dNULL)</f>
        <v>-99</v>
      </c>
      <c r="BG1027">
        <f ca="1">IF(AND($AT1027&lt;3,OFFSET(DATA!$C$14,$AS1027,0)=BG$6),$AV1027,dNULL)</f>
        <v>-99</v>
      </c>
      <c r="BH1027">
        <f ca="1">IF(AND($AT1027&lt;3,OFFSET(DATA!$C$14,$AS1027,0)=BH$6),$AV1027,dNULL)</f>
        <v>-99</v>
      </c>
    </row>
    <row r="1028" spans="45:60" x14ac:dyDescent="0.25">
      <c r="AS1028">
        <f t="shared" si="148"/>
        <v>32</v>
      </c>
      <c r="AT1028">
        <f t="shared" si="149"/>
        <v>11</v>
      </c>
      <c r="AU1028">
        <f t="shared" ca="1" si="150"/>
        <v>-99</v>
      </c>
      <c r="AV1028">
        <f t="shared" ca="1" si="151"/>
        <v>-99</v>
      </c>
      <c r="AW1028">
        <f ca="1">IF(AND($AT1028&lt;3,OFFSET(DATA!$C$14,$AS1028,0)=AW$6),$AV1028,dNULL)</f>
        <v>-99</v>
      </c>
      <c r="AX1028">
        <f ca="1">IF(AND($AT1028&lt;3,OFFSET(DATA!$C$14,$AS1028,0)=AX$6),$AV1028,dNULL)</f>
        <v>-99</v>
      </c>
      <c r="AY1028">
        <f ca="1">IF(AND($AT1028&lt;3,OFFSET(DATA!$C$14,$AS1028,0)=AY$6),$AV1028,dNULL)</f>
        <v>-99</v>
      </c>
      <c r="AZ1028">
        <f ca="1">IF(AND($AT1028&lt;3,OFFSET(DATA!$C$14,$AS1028,0)=AZ$6),$AV1028,dNULL)</f>
        <v>-99</v>
      </c>
      <c r="BA1028">
        <f ca="1">IF(AND($AT1028&lt;3,OFFSET(DATA!$C$14,$AS1028,0)=BA$6),$AV1028,dNULL)</f>
        <v>-99</v>
      </c>
      <c r="BB1028">
        <f ca="1">IF(AND($AT1028&lt;3,OFFSET(DATA!$C$14,$AS1028,0)=BB$6),$AV1028,dNULL)</f>
        <v>-99</v>
      </c>
      <c r="BC1028">
        <f ca="1">IF(AND($AT1028&lt;3,OFFSET(DATA!$C$14,$AS1028,0)=BC$6),$AV1028,dNULL)</f>
        <v>-99</v>
      </c>
      <c r="BD1028">
        <f ca="1">IF(AND($AT1028&lt;3,OFFSET(DATA!$C$14,$AS1028,0)=BD$6),$AV1028,dNULL)</f>
        <v>-99</v>
      </c>
      <c r="BE1028">
        <f ca="1">IF(AND($AT1028&lt;3,OFFSET(DATA!$C$14,$AS1028,0)=BE$6),$AV1028,dNULL)</f>
        <v>-99</v>
      </c>
      <c r="BF1028">
        <f ca="1">IF(AND($AT1028&lt;3,OFFSET(DATA!$C$14,$AS1028,0)=BF$6),$AV1028,dNULL)</f>
        <v>-99</v>
      </c>
      <c r="BG1028">
        <f ca="1">IF(AND($AT1028&lt;3,OFFSET(DATA!$C$14,$AS1028,0)=BG$6),$AV1028,dNULL)</f>
        <v>-99</v>
      </c>
      <c r="BH1028">
        <f ca="1">IF(AND($AT1028&lt;3,OFFSET(DATA!$C$14,$AS1028,0)=BH$6),$AV1028,dNULL)</f>
        <v>-99</v>
      </c>
    </row>
    <row r="1029" spans="45:60" x14ac:dyDescent="0.25">
      <c r="AS1029">
        <f t="shared" si="148"/>
        <v>33</v>
      </c>
      <c r="AT1029">
        <f t="shared" si="149"/>
        <v>11</v>
      </c>
      <c r="AU1029">
        <f t="shared" ca="1" si="150"/>
        <v>-99</v>
      </c>
      <c r="AV1029">
        <f t="shared" ca="1" si="151"/>
        <v>-99</v>
      </c>
      <c r="AW1029">
        <f ca="1">IF(AND($AT1029&lt;3,OFFSET(DATA!$C$14,$AS1029,0)=AW$6),$AV1029,dNULL)</f>
        <v>-99</v>
      </c>
      <c r="AX1029">
        <f ca="1">IF(AND($AT1029&lt;3,OFFSET(DATA!$C$14,$AS1029,0)=AX$6),$AV1029,dNULL)</f>
        <v>-99</v>
      </c>
      <c r="AY1029">
        <f ca="1">IF(AND($AT1029&lt;3,OFFSET(DATA!$C$14,$AS1029,0)=AY$6),$AV1029,dNULL)</f>
        <v>-99</v>
      </c>
      <c r="AZ1029">
        <f ca="1">IF(AND($AT1029&lt;3,OFFSET(DATA!$C$14,$AS1029,0)=AZ$6),$AV1029,dNULL)</f>
        <v>-99</v>
      </c>
      <c r="BA1029">
        <f ca="1">IF(AND($AT1029&lt;3,OFFSET(DATA!$C$14,$AS1029,0)=BA$6),$AV1029,dNULL)</f>
        <v>-99</v>
      </c>
      <c r="BB1029">
        <f ca="1">IF(AND($AT1029&lt;3,OFFSET(DATA!$C$14,$AS1029,0)=BB$6),$AV1029,dNULL)</f>
        <v>-99</v>
      </c>
      <c r="BC1029">
        <f ca="1">IF(AND($AT1029&lt;3,OFFSET(DATA!$C$14,$AS1029,0)=BC$6),$AV1029,dNULL)</f>
        <v>-99</v>
      </c>
      <c r="BD1029">
        <f ca="1">IF(AND($AT1029&lt;3,OFFSET(DATA!$C$14,$AS1029,0)=BD$6),$AV1029,dNULL)</f>
        <v>-99</v>
      </c>
      <c r="BE1029">
        <f ca="1">IF(AND($AT1029&lt;3,OFFSET(DATA!$C$14,$AS1029,0)=BE$6),$AV1029,dNULL)</f>
        <v>-99</v>
      </c>
      <c r="BF1029">
        <f ca="1">IF(AND($AT1029&lt;3,OFFSET(DATA!$C$14,$AS1029,0)=BF$6),$AV1029,dNULL)</f>
        <v>-99</v>
      </c>
      <c r="BG1029">
        <f ca="1">IF(AND($AT1029&lt;3,OFFSET(DATA!$C$14,$AS1029,0)=BG$6),$AV1029,dNULL)</f>
        <v>-99</v>
      </c>
      <c r="BH1029">
        <f ca="1">IF(AND($AT1029&lt;3,OFFSET(DATA!$C$14,$AS1029,0)=BH$6),$AV1029,dNULL)</f>
        <v>-99</v>
      </c>
    </row>
    <row r="1030" spans="45:60" x14ac:dyDescent="0.25">
      <c r="AS1030">
        <f t="shared" si="148"/>
        <v>34</v>
      </c>
      <c r="AT1030">
        <f t="shared" si="149"/>
        <v>11</v>
      </c>
      <c r="AU1030">
        <f t="shared" ca="1" si="150"/>
        <v>-99</v>
      </c>
      <c r="AV1030">
        <f t="shared" ca="1" si="151"/>
        <v>-99</v>
      </c>
      <c r="AW1030">
        <f ca="1">IF(AND($AT1030&lt;3,OFFSET(DATA!$C$14,$AS1030,0)=AW$6),$AV1030,dNULL)</f>
        <v>-99</v>
      </c>
      <c r="AX1030">
        <f ca="1">IF(AND($AT1030&lt;3,OFFSET(DATA!$C$14,$AS1030,0)=AX$6),$AV1030,dNULL)</f>
        <v>-99</v>
      </c>
      <c r="AY1030">
        <f ca="1">IF(AND($AT1030&lt;3,OFFSET(DATA!$C$14,$AS1030,0)=AY$6),$AV1030,dNULL)</f>
        <v>-99</v>
      </c>
      <c r="AZ1030">
        <f ca="1">IF(AND($AT1030&lt;3,OFFSET(DATA!$C$14,$AS1030,0)=AZ$6),$AV1030,dNULL)</f>
        <v>-99</v>
      </c>
      <c r="BA1030">
        <f ca="1">IF(AND($AT1030&lt;3,OFFSET(DATA!$C$14,$AS1030,0)=BA$6),$AV1030,dNULL)</f>
        <v>-99</v>
      </c>
      <c r="BB1030">
        <f ca="1">IF(AND($AT1030&lt;3,OFFSET(DATA!$C$14,$AS1030,0)=BB$6),$AV1030,dNULL)</f>
        <v>-99</v>
      </c>
      <c r="BC1030">
        <f ca="1">IF(AND($AT1030&lt;3,OFFSET(DATA!$C$14,$AS1030,0)=BC$6),$AV1030,dNULL)</f>
        <v>-99</v>
      </c>
      <c r="BD1030">
        <f ca="1">IF(AND($AT1030&lt;3,OFFSET(DATA!$C$14,$AS1030,0)=BD$6),$AV1030,dNULL)</f>
        <v>-99</v>
      </c>
      <c r="BE1030">
        <f ca="1">IF(AND($AT1030&lt;3,OFFSET(DATA!$C$14,$AS1030,0)=BE$6),$AV1030,dNULL)</f>
        <v>-99</v>
      </c>
      <c r="BF1030">
        <f ca="1">IF(AND($AT1030&lt;3,OFFSET(DATA!$C$14,$AS1030,0)=BF$6),$AV1030,dNULL)</f>
        <v>-99</v>
      </c>
      <c r="BG1030">
        <f ca="1">IF(AND($AT1030&lt;3,OFFSET(DATA!$C$14,$AS1030,0)=BG$6),$AV1030,dNULL)</f>
        <v>-99</v>
      </c>
      <c r="BH1030">
        <f ca="1">IF(AND($AT1030&lt;3,OFFSET(DATA!$C$14,$AS1030,0)=BH$6),$AV1030,dNULL)</f>
        <v>-99</v>
      </c>
    </row>
    <row r="1031" spans="45:60" x14ac:dyDescent="0.25">
      <c r="AS1031">
        <f t="shared" ref="AS1031:AS1094" si="152">MOD(ROW(AT1031)-ROW($AT$7),lCNTsites)+1</f>
        <v>35</v>
      </c>
      <c r="AT1031">
        <f t="shared" ref="AT1031:AT1094" si="153">INT((ROW(AT1031)-ROW($AT$7))/lCNTsites)</f>
        <v>11</v>
      </c>
      <c r="AU1031">
        <f t="shared" ref="AU1031:AU1094" ca="1" si="154">IF($AT1031=0,(1-OFFSET($AL$6,$AS1031,$AT1031*2))-OFFSET($AL$6,$AS1031,$AT1031*2+1)*$K$8,IF($AT1031=1,dAnionOFF+1+OFFSET($AL$6,$AS1031,$AT1031*2)+OFFSET($AL$6,$AS1031,$AT1031*2+1)/2,IF($AT1031=2,$K$17-(1-OFFSET($AL$6,$AS1031,$AT1031*2))*0.5+(1-OFFSET($AL$6,$AS1031,$AT1031*2+1))*0.5,dNULL)))</f>
        <v>-99</v>
      </c>
      <c r="AV1031">
        <f t="shared" ref="AV1031:AV1094" ca="1" si="155">IF($AT1031=0,OFFSET($AL$6,$AS1031,$AT1031*2+1)*$L$8,IF($AT1031=1,OFFSET($AL$6,$AS1031,$AT1031*2+1)*3^0.5/2,IF($AT1031=2,$L$17+(2-OFFSET($AL$6,$AS1031,$AT1031*2)-OFFSET($AL$6,$AS1031,$AT1031*2+1))*$L$8,dNULL)))</f>
        <v>-99</v>
      </c>
      <c r="AW1031">
        <f ca="1">IF(AND($AT1031&lt;3,OFFSET(DATA!$C$14,$AS1031,0)=AW$6),$AV1031,dNULL)</f>
        <v>-99</v>
      </c>
      <c r="AX1031">
        <f ca="1">IF(AND($AT1031&lt;3,OFFSET(DATA!$C$14,$AS1031,0)=AX$6),$AV1031,dNULL)</f>
        <v>-99</v>
      </c>
      <c r="AY1031">
        <f ca="1">IF(AND($AT1031&lt;3,OFFSET(DATA!$C$14,$AS1031,0)=AY$6),$AV1031,dNULL)</f>
        <v>-99</v>
      </c>
      <c r="AZ1031">
        <f ca="1">IF(AND($AT1031&lt;3,OFFSET(DATA!$C$14,$AS1031,0)=AZ$6),$AV1031,dNULL)</f>
        <v>-99</v>
      </c>
      <c r="BA1031">
        <f ca="1">IF(AND($AT1031&lt;3,OFFSET(DATA!$C$14,$AS1031,0)=BA$6),$AV1031,dNULL)</f>
        <v>-99</v>
      </c>
      <c r="BB1031">
        <f ca="1">IF(AND($AT1031&lt;3,OFFSET(DATA!$C$14,$AS1031,0)=BB$6),$AV1031,dNULL)</f>
        <v>-99</v>
      </c>
      <c r="BC1031">
        <f ca="1">IF(AND($AT1031&lt;3,OFFSET(DATA!$C$14,$AS1031,0)=BC$6),$AV1031,dNULL)</f>
        <v>-99</v>
      </c>
      <c r="BD1031">
        <f ca="1">IF(AND($AT1031&lt;3,OFFSET(DATA!$C$14,$AS1031,0)=BD$6),$AV1031,dNULL)</f>
        <v>-99</v>
      </c>
      <c r="BE1031">
        <f ca="1">IF(AND($AT1031&lt;3,OFFSET(DATA!$C$14,$AS1031,0)=BE$6),$AV1031,dNULL)</f>
        <v>-99</v>
      </c>
      <c r="BF1031">
        <f ca="1">IF(AND($AT1031&lt;3,OFFSET(DATA!$C$14,$AS1031,0)=BF$6),$AV1031,dNULL)</f>
        <v>-99</v>
      </c>
      <c r="BG1031">
        <f ca="1">IF(AND($AT1031&lt;3,OFFSET(DATA!$C$14,$AS1031,0)=BG$6),$AV1031,dNULL)</f>
        <v>-99</v>
      </c>
      <c r="BH1031">
        <f ca="1">IF(AND($AT1031&lt;3,OFFSET(DATA!$C$14,$AS1031,0)=BH$6),$AV1031,dNULL)</f>
        <v>-99</v>
      </c>
    </row>
    <row r="1032" spans="45:60" x14ac:dyDescent="0.25">
      <c r="AS1032">
        <f t="shared" si="152"/>
        <v>36</v>
      </c>
      <c r="AT1032">
        <f t="shared" si="153"/>
        <v>11</v>
      </c>
      <c r="AU1032">
        <f t="shared" ca="1" si="154"/>
        <v>-99</v>
      </c>
      <c r="AV1032">
        <f t="shared" ca="1" si="155"/>
        <v>-99</v>
      </c>
      <c r="AW1032">
        <f ca="1">IF(AND($AT1032&lt;3,OFFSET(DATA!$C$14,$AS1032,0)=AW$6),$AV1032,dNULL)</f>
        <v>-99</v>
      </c>
      <c r="AX1032">
        <f ca="1">IF(AND($AT1032&lt;3,OFFSET(DATA!$C$14,$AS1032,0)=AX$6),$AV1032,dNULL)</f>
        <v>-99</v>
      </c>
      <c r="AY1032">
        <f ca="1">IF(AND($AT1032&lt;3,OFFSET(DATA!$C$14,$AS1032,0)=AY$6),$AV1032,dNULL)</f>
        <v>-99</v>
      </c>
      <c r="AZ1032">
        <f ca="1">IF(AND($AT1032&lt;3,OFFSET(DATA!$C$14,$AS1032,0)=AZ$6),$AV1032,dNULL)</f>
        <v>-99</v>
      </c>
      <c r="BA1032">
        <f ca="1">IF(AND($AT1032&lt;3,OFFSET(DATA!$C$14,$AS1032,0)=BA$6),$AV1032,dNULL)</f>
        <v>-99</v>
      </c>
      <c r="BB1032">
        <f ca="1">IF(AND($AT1032&lt;3,OFFSET(DATA!$C$14,$AS1032,0)=BB$6),$AV1032,dNULL)</f>
        <v>-99</v>
      </c>
      <c r="BC1032">
        <f ca="1">IF(AND($AT1032&lt;3,OFFSET(DATA!$C$14,$AS1032,0)=BC$6),$AV1032,dNULL)</f>
        <v>-99</v>
      </c>
      <c r="BD1032">
        <f ca="1">IF(AND($AT1032&lt;3,OFFSET(DATA!$C$14,$AS1032,0)=BD$6),$AV1032,dNULL)</f>
        <v>-99</v>
      </c>
      <c r="BE1032">
        <f ca="1">IF(AND($AT1032&lt;3,OFFSET(DATA!$C$14,$AS1032,0)=BE$6),$AV1032,dNULL)</f>
        <v>-99</v>
      </c>
      <c r="BF1032">
        <f ca="1">IF(AND($AT1032&lt;3,OFFSET(DATA!$C$14,$AS1032,0)=BF$6),$AV1032,dNULL)</f>
        <v>-99</v>
      </c>
      <c r="BG1032">
        <f ca="1">IF(AND($AT1032&lt;3,OFFSET(DATA!$C$14,$AS1032,0)=BG$6),$AV1032,dNULL)</f>
        <v>-99</v>
      </c>
      <c r="BH1032">
        <f ca="1">IF(AND($AT1032&lt;3,OFFSET(DATA!$C$14,$AS1032,0)=BH$6),$AV1032,dNULL)</f>
        <v>-99</v>
      </c>
    </row>
    <row r="1033" spans="45:60" x14ac:dyDescent="0.25">
      <c r="AS1033">
        <f t="shared" si="152"/>
        <v>37</v>
      </c>
      <c r="AT1033">
        <f t="shared" si="153"/>
        <v>11</v>
      </c>
      <c r="AU1033">
        <f t="shared" ca="1" si="154"/>
        <v>-99</v>
      </c>
      <c r="AV1033">
        <f t="shared" ca="1" si="155"/>
        <v>-99</v>
      </c>
      <c r="AW1033">
        <f ca="1">IF(AND($AT1033&lt;3,OFFSET(DATA!$C$14,$AS1033,0)=AW$6),$AV1033,dNULL)</f>
        <v>-99</v>
      </c>
      <c r="AX1033">
        <f ca="1">IF(AND($AT1033&lt;3,OFFSET(DATA!$C$14,$AS1033,0)=AX$6),$AV1033,dNULL)</f>
        <v>-99</v>
      </c>
      <c r="AY1033">
        <f ca="1">IF(AND($AT1033&lt;3,OFFSET(DATA!$C$14,$AS1033,0)=AY$6),$AV1033,dNULL)</f>
        <v>-99</v>
      </c>
      <c r="AZ1033">
        <f ca="1">IF(AND($AT1033&lt;3,OFFSET(DATA!$C$14,$AS1033,0)=AZ$6),$AV1033,dNULL)</f>
        <v>-99</v>
      </c>
      <c r="BA1033">
        <f ca="1">IF(AND($AT1033&lt;3,OFFSET(DATA!$C$14,$AS1033,0)=BA$6),$AV1033,dNULL)</f>
        <v>-99</v>
      </c>
      <c r="BB1033">
        <f ca="1">IF(AND($AT1033&lt;3,OFFSET(DATA!$C$14,$AS1033,0)=BB$6),$AV1033,dNULL)</f>
        <v>-99</v>
      </c>
      <c r="BC1033">
        <f ca="1">IF(AND($AT1033&lt;3,OFFSET(DATA!$C$14,$AS1033,0)=BC$6),$AV1033,dNULL)</f>
        <v>-99</v>
      </c>
      <c r="BD1033">
        <f ca="1">IF(AND($AT1033&lt;3,OFFSET(DATA!$C$14,$AS1033,0)=BD$6),$AV1033,dNULL)</f>
        <v>-99</v>
      </c>
      <c r="BE1033">
        <f ca="1">IF(AND($AT1033&lt;3,OFFSET(DATA!$C$14,$AS1033,0)=BE$6),$AV1033,dNULL)</f>
        <v>-99</v>
      </c>
      <c r="BF1033">
        <f ca="1">IF(AND($AT1033&lt;3,OFFSET(DATA!$C$14,$AS1033,0)=BF$6),$AV1033,dNULL)</f>
        <v>-99</v>
      </c>
      <c r="BG1033">
        <f ca="1">IF(AND($AT1033&lt;3,OFFSET(DATA!$C$14,$AS1033,0)=BG$6),$AV1033,dNULL)</f>
        <v>-99</v>
      </c>
      <c r="BH1033">
        <f ca="1">IF(AND($AT1033&lt;3,OFFSET(DATA!$C$14,$AS1033,0)=BH$6),$AV1033,dNULL)</f>
        <v>-99</v>
      </c>
    </row>
    <row r="1034" spans="45:60" x14ac:dyDescent="0.25">
      <c r="AS1034">
        <f t="shared" si="152"/>
        <v>38</v>
      </c>
      <c r="AT1034">
        <f t="shared" si="153"/>
        <v>11</v>
      </c>
      <c r="AU1034">
        <f t="shared" ca="1" si="154"/>
        <v>-99</v>
      </c>
      <c r="AV1034">
        <f t="shared" ca="1" si="155"/>
        <v>-99</v>
      </c>
      <c r="AW1034">
        <f ca="1">IF(AND($AT1034&lt;3,OFFSET(DATA!$C$14,$AS1034,0)=AW$6),$AV1034,dNULL)</f>
        <v>-99</v>
      </c>
      <c r="AX1034">
        <f ca="1">IF(AND($AT1034&lt;3,OFFSET(DATA!$C$14,$AS1034,0)=AX$6),$AV1034,dNULL)</f>
        <v>-99</v>
      </c>
      <c r="AY1034">
        <f ca="1">IF(AND($AT1034&lt;3,OFFSET(DATA!$C$14,$AS1034,0)=AY$6),$AV1034,dNULL)</f>
        <v>-99</v>
      </c>
      <c r="AZ1034">
        <f ca="1">IF(AND($AT1034&lt;3,OFFSET(DATA!$C$14,$AS1034,0)=AZ$6),$AV1034,dNULL)</f>
        <v>-99</v>
      </c>
      <c r="BA1034">
        <f ca="1">IF(AND($AT1034&lt;3,OFFSET(DATA!$C$14,$AS1034,0)=BA$6),$AV1034,dNULL)</f>
        <v>-99</v>
      </c>
      <c r="BB1034">
        <f ca="1">IF(AND($AT1034&lt;3,OFFSET(DATA!$C$14,$AS1034,0)=BB$6),$AV1034,dNULL)</f>
        <v>-99</v>
      </c>
      <c r="BC1034">
        <f ca="1">IF(AND($AT1034&lt;3,OFFSET(DATA!$C$14,$AS1034,0)=BC$6),$AV1034,dNULL)</f>
        <v>-99</v>
      </c>
      <c r="BD1034">
        <f ca="1">IF(AND($AT1034&lt;3,OFFSET(DATA!$C$14,$AS1034,0)=BD$6),$AV1034,dNULL)</f>
        <v>-99</v>
      </c>
      <c r="BE1034">
        <f ca="1">IF(AND($AT1034&lt;3,OFFSET(DATA!$C$14,$AS1034,0)=BE$6),$AV1034,dNULL)</f>
        <v>-99</v>
      </c>
      <c r="BF1034">
        <f ca="1">IF(AND($AT1034&lt;3,OFFSET(DATA!$C$14,$AS1034,0)=BF$6),$AV1034,dNULL)</f>
        <v>-99</v>
      </c>
      <c r="BG1034">
        <f ca="1">IF(AND($AT1034&lt;3,OFFSET(DATA!$C$14,$AS1034,0)=BG$6),$AV1034,dNULL)</f>
        <v>-99</v>
      </c>
      <c r="BH1034">
        <f ca="1">IF(AND($AT1034&lt;3,OFFSET(DATA!$C$14,$AS1034,0)=BH$6),$AV1034,dNULL)</f>
        <v>-99</v>
      </c>
    </row>
    <row r="1035" spans="45:60" x14ac:dyDescent="0.25">
      <c r="AS1035">
        <f t="shared" si="152"/>
        <v>39</v>
      </c>
      <c r="AT1035">
        <f t="shared" si="153"/>
        <v>11</v>
      </c>
      <c r="AU1035">
        <f t="shared" ca="1" si="154"/>
        <v>-99</v>
      </c>
      <c r="AV1035">
        <f t="shared" ca="1" si="155"/>
        <v>-99</v>
      </c>
      <c r="AW1035">
        <f ca="1">IF(AND($AT1035&lt;3,OFFSET(DATA!$C$14,$AS1035,0)=AW$6),$AV1035,dNULL)</f>
        <v>-99</v>
      </c>
      <c r="AX1035">
        <f ca="1">IF(AND($AT1035&lt;3,OFFSET(DATA!$C$14,$AS1035,0)=AX$6),$AV1035,dNULL)</f>
        <v>-99</v>
      </c>
      <c r="AY1035">
        <f ca="1">IF(AND($AT1035&lt;3,OFFSET(DATA!$C$14,$AS1035,0)=AY$6),$AV1035,dNULL)</f>
        <v>-99</v>
      </c>
      <c r="AZ1035">
        <f ca="1">IF(AND($AT1035&lt;3,OFFSET(DATA!$C$14,$AS1035,0)=AZ$6),$AV1035,dNULL)</f>
        <v>-99</v>
      </c>
      <c r="BA1035">
        <f ca="1">IF(AND($AT1035&lt;3,OFFSET(DATA!$C$14,$AS1035,0)=BA$6),$AV1035,dNULL)</f>
        <v>-99</v>
      </c>
      <c r="BB1035">
        <f ca="1">IF(AND($AT1035&lt;3,OFFSET(DATA!$C$14,$AS1035,0)=BB$6),$AV1035,dNULL)</f>
        <v>-99</v>
      </c>
      <c r="BC1035">
        <f ca="1">IF(AND($AT1035&lt;3,OFFSET(DATA!$C$14,$AS1035,0)=BC$6),$AV1035,dNULL)</f>
        <v>-99</v>
      </c>
      <c r="BD1035">
        <f ca="1">IF(AND($AT1035&lt;3,OFFSET(DATA!$C$14,$AS1035,0)=BD$6),$AV1035,dNULL)</f>
        <v>-99</v>
      </c>
      <c r="BE1035">
        <f ca="1">IF(AND($AT1035&lt;3,OFFSET(DATA!$C$14,$AS1035,0)=BE$6),$AV1035,dNULL)</f>
        <v>-99</v>
      </c>
      <c r="BF1035">
        <f ca="1">IF(AND($AT1035&lt;3,OFFSET(DATA!$C$14,$AS1035,0)=BF$6),$AV1035,dNULL)</f>
        <v>-99</v>
      </c>
      <c r="BG1035">
        <f ca="1">IF(AND($AT1035&lt;3,OFFSET(DATA!$C$14,$AS1035,0)=BG$6),$AV1035,dNULL)</f>
        <v>-99</v>
      </c>
      <c r="BH1035">
        <f ca="1">IF(AND($AT1035&lt;3,OFFSET(DATA!$C$14,$AS1035,0)=BH$6),$AV1035,dNULL)</f>
        <v>-99</v>
      </c>
    </row>
    <row r="1036" spans="45:60" x14ac:dyDescent="0.25">
      <c r="AS1036">
        <f t="shared" si="152"/>
        <v>40</v>
      </c>
      <c r="AT1036">
        <f t="shared" si="153"/>
        <v>11</v>
      </c>
      <c r="AU1036">
        <f t="shared" ca="1" si="154"/>
        <v>-99</v>
      </c>
      <c r="AV1036">
        <f t="shared" ca="1" si="155"/>
        <v>-99</v>
      </c>
      <c r="AW1036">
        <f ca="1">IF(AND($AT1036&lt;3,OFFSET(DATA!$C$14,$AS1036,0)=AW$6),$AV1036,dNULL)</f>
        <v>-99</v>
      </c>
      <c r="AX1036">
        <f ca="1">IF(AND($AT1036&lt;3,OFFSET(DATA!$C$14,$AS1036,0)=AX$6),$AV1036,dNULL)</f>
        <v>-99</v>
      </c>
      <c r="AY1036">
        <f ca="1">IF(AND($AT1036&lt;3,OFFSET(DATA!$C$14,$AS1036,0)=AY$6),$AV1036,dNULL)</f>
        <v>-99</v>
      </c>
      <c r="AZ1036">
        <f ca="1">IF(AND($AT1036&lt;3,OFFSET(DATA!$C$14,$AS1036,0)=AZ$6),$AV1036,dNULL)</f>
        <v>-99</v>
      </c>
      <c r="BA1036">
        <f ca="1">IF(AND($AT1036&lt;3,OFFSET(DATA!$C$14,$AS1036,0)=BA$6),$AV1036,dNULL)</f>
        <v>-99</v>
      </c>
      <c r="BB1036">
        <f ca="1">IF(AND($AT1036&lt;3,OFFSET(DATA!$C$14,$AS1036,0)=BB$6),$AV1036,dNULL)</f>
        <v>-99</v>
      </c>
      <c r="BC1036">
        <f ca="1">IF(AND($AT1036&lt;3,OFFSET(DATA!$C$14,$AS1036,0)=BC$6),$AV1036,dNULL)</f>
        <v>-99</v>
      </c>
      <c r="BD1036">
        <f ca="1">IF(AND($AT1036&lt;3,OFFSET(DATA!$C$14,$AS1036,0)=BD$6),$AV1036,dNULL)</f>
        <v>-99</v>
      </c>
      <c r="BE1036">
        <f ca="1">IF(AND($AT1036&lt;3,OFFSET(DATA!$C$14,$AS1036,0)=BE$6),$AV1036,dNULL)</f>
        <v>-99</v>
      </c>
      <c r="BF1036">
        <f ca="1">IF(AND($AT1036&lt;3,OFFSET(DATA!$C$14,$AS1036,0)=BF$6),$AV1036,dNULL)</f>
        <v>-99</v>
      </c>
      <c r="BG1036">
        <f ca="1">IF(AND($AT1036&lt;3,OFFSET(DATA!$C$14,$AS1036,0)=BG$6),$AV1036,dNULL)</f>
        <v>-99</v>
      </c>
      <c r="BH1036">
        <f ca="1">IF(AND($AT1036&lt;3,OFFSET(DATA!$C$14,$AS1036,0)=BH$6),$AV1036,dNULL)</f>
        <v>-99</v>
      </c>
    </row>
    <row r="1037" spans="45:60" x14ac:dyDescent="0.25">
      <c r="AS1037">
        <f t="shared" si="152"/>
        <v>41</v>
      </c>
      <c r="AT1037">
        <f t="shared" si="153"/>
        <v>11</v>
      </c>
      <c r="AU1037">
        <f t="shared" ca="1" si="154"/>
        <v>-99</v>
      </c>
      <c r="AV1037">
        <f t="shared" ca="1" si="155"/>
        <v>-99</v>
      </c>
      <c r="AW1037">
        <f ca="1">IF(AND($AT1037&lt;3,OFFSET(DATA!$C$14,$AS1037,0)=AW$6),$AV1037,dNULL)</f>
        <v>-99</v>
      </c>
      <c r="AX1037">
        <f ca="1">IF(AND($AT1037&lt;3,OFFSET(DATA!$C$14,$AS1037,0)=AX$6),$AV1037,dNULL)</f>
        <v>-99</v>
      </c>
      <c r="AY1037">
        <f ca="1">IF(AND($AT1037&lt;3,OFFSET(DATA!$C$14,$AS1037,0)=AY$6),$AV1037,dNULL)</f>
        <v>-99</v>
      </c>
      <c r="AZ1037">
        <f ca="1">IF(AND($AT1037&lt;3,OFFSET(DATA!$C$14,$AS1037,0)=AZ$6),$AV1037,dNULL)</f>
        <v>-99</v>
      </c>
      <c r="BA1037">
        <f ca="1">IF(AND($AT1037&lt;3,OFFSET(DATA!$C$14,$AS1037,0)=BA$6),$AV1037,dNULL)</f>
        <v>-99</v>
      </c>
      <c r="BB1037">
        <f ca="1">IF(AND($AT1037&lt;3,OFFSET(DATA!$C$14,$AS1037,0)=BB$6),$AV1037,dNULL)</f>
        <v>-99</v>
      </c>
      <c r="BC1037">
        <f ca="1">IF(AND($AT1037&lt;3,OFFSET(DATA!$C$14,$AS1037,0)=BC$6),$AV1037,dNULL)</f>
        <v>-99</v>
      </c>
      <c r="BD1037">
        <f ca="1">IF(AND($AT1037&lt;3,OFFSET(DATA!$C$14,$AS1037,0)=BD$6),$AV1037,dNULL)</f>
        <v>-99</v>
      </c>
      <c r="BE1037">
        <f ca="1">IF(AND($AT1037&lt;3,OFFSET(DATA!$C$14,$AS1037,0)=BE$6),$AV1037,dNULL)</f>
        <v>-99</v>
      </c>
      <c r="BF1037">
        <f ca="1">IF(AND($AT1037&lt;3,OFFSET(DATA!$C$14,$AS1037,0)=BF$6),$AV1037,dNULL)</f>
        <v>-99</v>
      </c>
      <c r="BG1037">
        <f ca="1">IF(AND($AT1037&lt;3,OFFSET(DATA!$C$14,$AS1037,0)=BG$6),$AV1037,dNULL)</f>
        <v>-99</v>
      </c>
      <c r="BH1037">
        <f ca="1">IF(AND($AT1037&lt;3,OFFSET(DATA!$C$14,$AS1037,0)=BH$6),$AV1037,dNULL)</f>
        <v>-99</v>
      </c>
    </row>
    <row r="1038" spans="45:60" x14ac:dyDescent="0.25">
      <c r="AS1038">
        <f t="shared" si="152"/>
        <v>42</v>
      </c>
      <c r="AT1038">
        <f t="shared" si="153"/>
        <v>11</v>
      </c>
      <c r="AU1038">
        <f t="shared" ca="1" si="154"/>
        <v>-99</v>
      </c>
      <c r="AV1038">
        <f t="shared" ca="1" si="155"/>
        <v>-99</v>
      </c>
      <c r="AW1038">
        <f ca="1">IF(AND($AT1038&lt;3,OFFSET(DATA!$C$14,$AS1038,0)=AW$6),$AV1038,dNULL)</f>
        <v>-99</v>
      </c>
      <c r="AX1038">
        <f ca="1">IF(AND($AT1038&lt;3,OFFSET(DATA!$C$14,$AS1038,0)=AX$6),$AV1038,dNULL)</f>
        <v>-99</v>
      </c>
      <c r="AY1038">
        <f ca="1">IF(AND($AT1038&lt;3,OFFSET(DATA!$C$14,$AS1038,0)=AY$6),$AV1038,dNULL)</f>
        <v>-99</v>
      </c>
      <c r="AZ1038">
        <f ca="1">IF(AND($AT1038&lt;3,OFFSET(DATA!$C$14,$AS1038,0)=AZ$6),$AV1038,dNULL)</f>
        <v>-99</v>
      </c>
      <c r="BA1038">
        <f ca="1">IF(AND($AT1038&lt;3,OFFSET(DATA!$C$14,$AS1038,0)=BA$6),$AV1038,dNULL)</f>
        <v>-99</v>
      </c>
      <c r="BB1038">
        <f ca="1">IF(AND($AT1038&lt;3,OFFSET(DATA!$C$14,$AS1038,0)=BB$6),$AV1038,dNULL)</f>
        <v>-99</v>
      </c>
      <c r="BC1038">
        <f ca="1">IF(AND($AT1038&lt;3,OFFSET(DATA!$C$14,$AS1038,0)=BC$6),$AV1038,dNULL)</f>
        <v>-99</v>
      </c>
      <c r="BD1038">
        <f ca="1">IF(AND($AT1038&lt;3,OFFSET(DATA!$C$14,$AS1038,0)=BD$6),$AV1038,dNULL)</f>
        <v>-99</v>
      </c>
      <c r="BE1038">
        <f ca="1">IF(AND($AT1038&lt;3,OFFSET(DATA!$C$14,$AS1038,0)=BE$6),$AV1038,dNULL)</f>
        <v>-99</v>
      </c>
      <c r="BF1038">
        <f ca="1">IF(AND($AT1038&lt;3,OFFSET(DATA!$C$14,$AS1038,0)=BF$6),$AV1038,dNULL)</f>
        <v>-99</v>
      </c>
      <c r="BG1038">
        <f ca="1">IF(AND($AT1038&lt;3,OFFSET(DATA!$C$14,$AS1038,0)=BG$6),$AV1038,dNULL)</f>
        <v>-99</v>
      </c>
      <c r="BH1038">
        <f ca="1">IF(AND($AT1038&lt;3,OFFSET(DATA!$C$14,$AS1038,0)=BH$6),$AV1038,dNULL)</f>
        <v>-99</v>
      </c>
    </row>
    <row r="1039" spans="45:60" x14ac:dyDescent="0.25">
      <c r="AS1039">
        <f t="shared" si="152"/>
        <v>43</v>
      </c>
      <c r="AT1039">
        <f t="shared" si="153"/>
        <v>11</v>
      </c>
      <c r="AU1039">
        <f t="shared" ca="1" si="154"/>
        <v>-99</v>
      </c>
      <c r="AV1039">
        <f t="shared" ca="1" si="155"/>
        <v>-99</v>
      </c>
      <c r="AW1039">
        <f ca="1">IF(AND($AT1039&lt;3,OFFSET(DATA!$C$14,$AS1039,0)=AW$6),$AV1039,dNULL)</f>
        <v>-99</v>
      </c>
      <c r="AX1039">
        <f ca="1">IF(AND($AT1039&lt;3,OFFSET(DATA!$C$14,$AS1039,0)=AX$6),$AV1039,dNULL)</f>
        <v>-99</v>
      </c>
      <c r="AY1039">
        <f ca="1">IF(AND($AT1039&lt;3,OFFSET(DATA!$C$14,$AS1039,0)=AY$6),$AV1039,dNULL)</f>
        <v>-99</v>
      </c>
      <c r="AZ1039">
        <f ca="1">IF(AND($AT1039&lt;3,OFFSET(DATA!$C$14,$AS1039,0)=AZ$6),$AV1039,dNULL)</f>
        <v>-99</v>
      </c>
      <c r="BA1039">
        <f ca="1">IF(AND($AT1039&lt;3,OFFSET(DATA!$C$14,$AS1039,0)=BA$6),$AV1039,dNULL)</f>
        <v>-99</v>
      </c>
      <c r="BB1039">
        <f ca="1">IF(AND($AT1039&lt;3,OFFSET(DATA!$C$14,$AS1039,0)=BB$6),$AV1039,dNULL)</f>
        <v>-99</v>
      </c>
      <c r="BC1039">
        <f ca="1">IF(AND($AT1039&lt;3,OFFSET(DATA!$C$14,$AS1039,0)=BC$6),$AV1039,dNULL)</f>
        <v>-99</v>
      </c>
      <c r="BD1039">
        <f ca="1">IF(AND($AT1039&lt;3,OFFSET(DATA!$C$14,$AS1039,0)=BD$6),$AV1039,dNULL)</f>
        <v>-99</v>
      </c>
      <c r="BE1039">
        <f ca="1">IF(AND($AT1039&lt;3,OFFSET(DATA!$C$14,$AS1039,0)=BE$6),$AV1039,dNULL)</f>
        <v>-99</v>
      </c>
      <c r="BF1039">
        <f ca="1">IF(AND($AT1039&lt;3,OFFSET(DATA!$C$14,$AS1039,0)=BF$6),$AV1039,dNULL)</f>
        <v>-99</v>
      </c>
      <c r="BG1039">
        <f ca="1">IF(AND($AT1039&lt;3,OFFSET(DATA!$C$14,$AS1039,0)=BG$6),$AV1039,dNULL)</f>
        <v>-99</v>
      </c>
      <c r="BH1039">
        <f ca="1">IF(AND($AT1039&lt;3,OFFSET(DATA!$C$14,$AS1039,0)=BH$6),$AV1039,dNULL)</f>
        <v>-99</v>
      </c>
    </row>
    <row r="1040" spans="45:60" x14ac:dyDescent="0.25">
      <c r="AS1040">
        <f t="shared" si="152"/>
        <v>44</v>
      </c>
      <c r="AT1040">
        <f t="shared" si="153"/>
        <v>11</v>
      </c>
      <c r="AU1040">
        <f t="shared" ca="1" si="154"/>
        <v>-99</v>
      </c>
      <c r="AV1040">
        <f t="shared" ca="1" si="155"/>
        <v>-99</v>
      </c>
      <c r="AW1040">
        <f ca="1">IF(AND($AT1040&lt;3,OFFSET(DATA!$C$14,$AS1040,0)=AW$6),$AV1040,dNULL)</f>
        <v>-99</v>
      </c>
      <c r="AX1040">
        <f ca="1">IF(AND($AT1040&lt;3,OFFSET(DATA!$C$14,$AS1040,0)=AX$6),$AV1040,dNULL)</f>
        <v>-99</v>
      </c>
      <c r="AY1040">
        <f ca="1">IF(AND($AT1040&lt;3,OFFSET(DATA!$C$14,$AS1040,0)=AY$6),$AV1040,dNULL)</f>
        <v>-99</v>
      </c>
      <c r="AZ1040">
        <f ca="1">IF(AND($AT1040&lt;3,OFFSET(DATA!$C$14,$AS1040,0)=AZ$6),$AV1040,dNULL)</f>
        <v>-99</v>
      </c>
      <c r="BA1040">
        <f ca="1">IF(AND($AT1040&lt;3,OFFSET(DATA!$C$14,$AS1040,0)=BA$6),$AV1040,dNULL)</f>
        <v>-99</v>
      </c>
      <c r="BB1040">
        <f ca="1">IF(AND($AT1040&lt;3,OFFSET(DATA!$C$14,$AS1040,0)=BB$6),$AV1040,dNULL)</f>
        <v>-99</v>
      </c>
      <c r="BC1040">
        <f ca="1">IF(AND($AT1040&lt;3,OFFSET(DATA!$C$14,$AS1040,0)=BC$6),$AV1040,dNULL)</f>
        <v>-99</v>
      </c>
      <c r="BD1040">
        <f ca="1">IF(AND($AT1040&lt;3,OFFSET(DATA!$C$14,$AS1040,0)=BD$6),$AV1040,dNULL)</f>
        <v>-99</v>
      </c>
      <c r="BE1040">
        <f ca="1">IF(AND($AT1040&lt;3,OFFSET(DATA!$C$14,$AS1040,0)=BE$6),$AV1040,dNULL)</f>
        <v>-99</v>
      </c>
      <c r="BF1040">
        <f ca="1">IF(AND($AT1040&lt;3,OFFSET(DATA!$C$14,$AS1040,0)=BF$6),$AV1040,dNULL)</f>
        <v>-99</v>
      </c>
      <c r="BG1040">
        <f ca="1">IF(AND($AT1040&lt;3,OFFSET(DATA!$C$14,$AS1040,0)=BG$6),$AV1040,dNULL)</f>
        <v>-99</v>
      </c>
      <c r="BH1040">
        <f ca="1">IF(AND($AT1040&lt;3,OFFSET(DATA!$C$14,$AS1040,0)=BH$6),$AV1040,dNULL)</f>
        <v>-99</v>
      </c>
    </row>
    <row r="1041" spans="45:60" x14ac:dyDescent="0.25">
      <c r="AS1041">
        <f t="shared" si="152"/>
        <v>45</v>
      </c>
      <c r="AT1041">
        <f t="shared" si="153"/>
        <v>11</v>
      </c>
      <c r="AU1041">
        <f t="shared" ca="1" si="154"/>
        <v>-99</v>
      </c>
      <c r="AV1041">
        <f t="shared" ca="1" si="155"/>
        <v>-99</v>
      </c>
      <c r="AW1041">
        <f ca="1">IF(AND($AT1041&lt;3,OFFSET(DATA!$C$14,$AS1041,0)=AW$6),$AV1041,dNULL)</f>
        <v>-99</v>
      </c>
      <c r="AX1041">
        <f ca="1">IF(AND($AT1041&lt;3,OFFSET(DATA!$C$14,$AS1041,0)=AX$6),$AV1041,dNULL)</f>
        <v>-99</v>
      </c>
      <c r="AY1041">
        <f ca="1">IF(AND($AT1041&lt;3,OFFSET(DATA!$C$14,$AS1041,0)=AY$6),$AV1041,dNULL)</f>
        <v>-99</v>
      </c>
      <c r="AZ1041">
        <f ca="1">IF(AND($AT1041&lt;3,OFFSET(DATA!$C$14,$AS1041,0)=AZ$6),$AV1041,dNULL)</f>
        <v>-99</v>
      </c>
      <c r="BA1041">
        <f ca="1">IF(AND($AT1041&lt;3,OFFSET(DATA!$C$14,$AS1041,0)=BA$6),$AV1041,dNULL)</f>
        <v>-99</v>
      </c>
      <c r="BB1041">
        <f ca="1">IF(AND($AT1041&lt;3,OFFSET(DATA!$C$14,$AS1041,0)=BB$6),$AV1041,dNULL)</f>
        <v>-99</v>
      </c>
      <c r="BC1041">
        <f ca="1">IF(AND($AT1041&lt;3,OFFSET(DATA!$C$14,$AS1041,0)=BC$6),$AV1041,dNULL)</f>
        <v>-99</v>
      </c>
      <c r="BD1041">
        <f ca="1">IF(AND($AT1041&lt;3,OFFSET(DATA!$C$14,$AS1041,0)=BD$6),$AV1041,dNULL)</f>
        <v>-99</v>
      </c>
      <c r="BE1041">
        <f ca="1">IF(AND($AT1041&lt;3,OFFSET(DATA!$C$14,$AS1041,0)=BE$6),$AV1041,dNULL)</f>
        <v>-99</v>
      </c>
      <c r="BF1041">
        <f ca="1">IF(AND($AT1041&lt;3,OFFSET(DATA!$C$14,$AS1041,0)=BF$6),$AV1041,dNULL)</f>
        <v>-99</v>
      </c>
      <c r="BG1041">
        <f ca="1">IF(AND($AT1041&lt;3,OFFSET(DATA!$C$14,$AS1041,0)=BG$6),$AV1041,dNULL)</f>
        <v>-99</v>
      </c>
      <c r="BH1041">
        <f ca="1">IF(AND($AT1041&lt;3,OFFSET(DATA!$C$14,$AS1041,0)=BH$6),$AV1041,dNULL)</f>
        <v>-99</v>
      </c>
    </row>
    <row r="1042" spans="45:60" x14ac:dyDescent="0.25">
      <c r="AS1042">
        <f t="shared" si="152"/>
        <v>46</v>
      </c>
      <c r="AT1042">
        <f t="shared" si="153"/>
        <v>11</v>
      </c>
      <c r="AU1042">
        <f t="shared" ca="1" si="154"/>
        <v>-99</v>
      </c>
      <c r="AV1042">
        <f t="shared" ca="1" si="155"/>
        <v>-99</v>
      </c>
      <c r="AW1042">
        <f ca="1">IF(AND($AT1042&lt;3,OFFSET(DATA!$C$14,$AS1042,0)=AW$6),$AV1042,dNULL)</f>
        <v>-99</v>
      </c>
      <c r="AX1042">
        <f ca="1">IF(AND($AT1042&lt;3,OFFSET(DATA!$C$14,$AS1042,0)=AX$6),$AV1042,dNULL)</f>
        <v>-99</v>
      </c>
      <c r="AY1042">
        <f ca="1">IF(AND($AT1042&lt;3,OFFSET(DATA!$C$14,$AS1042,0)=AY$6),$AV1042,dNULL)</f>
        <v>-99</v>
      </c>
      <c r="AZ1042">
        <f ca="1">IF(AND($AT1042&lt;3,OFFSET(DATA!$C$14,$AS1042,0)=AZ$6),$AV1042,dNULL)</f>
        <v>-99</v>
      </c>
      <c r="BA1042">
        <f ca="1">IF(AND($AT1042&lt;3,OFFSET(DATA!$C$14,$AS1042,0)=BA$6),$AV1042,dNULL)</f>
        <v>-99</v>
      </c>
      <c r="BB1042">
        <f ca="1">IF(AND($AT1042&lt;3,OFFSET(DATA!$C$14,$AS1042,0)=BB$6),$AV1042,dNULL)</f>
        <v>-99</v>
      </c>
      <c r="BC1042">
        <f ca="1">IF(AND($AT1042&lt;3,OFFSET(DATA!$C$14,$AS1042,0)=BC$6),$AV1042,dNULL)</f>
        <v>-99</v>
      </c>
      <c r="BD1042">
        <f ca="1">IF(AND($AT1042&lt;3,OFFSET(DATA!$C$14,$AS1042,0)=BD$6),$AV1042,dNULL)</f>
        <v>-99</v>
      </c>
      <c r="BE1042">
        <f ca="1">IF(AND($AT1042&lt;3,OFFSET(DATA!$C$14,$AS1042,0)=BE$6),$AV1042,dNULL)</f>
        <v>-99</v>
      </c>
      <c r="BF1042">
        <f ca="1">IF(AND($AT1042&lt;3,OFFSET(DATA!$C$14,$AS1042,0)=BF$6),$AV1042,dNULL)</f>
        <v>-99</v>
      </c>
      <c r="BG1042">
        <f ca="1">IF(AND($AT1042&lt;3,OFFSET(DATA!$C$14,$AS1042,0)=BG$6),$AV1042,dNULL)</f>
        <v>-99</v>
      </c>
      <c r="BH1042">
        <f ca="1">IF(AND($AT1042&lt;3,OFFSET(DATA!$C$14,$AS1042,0)=BH$6),$AV1042,dNULL)</f>
        <v>-99</v>
      </c>
    </row>
    <row r="1043" spans="45:60" x14ac:dyDescent="0.25">
      <c r="AS1043">
        <f t="shared" si="152"/>
        <v>47</v>
      </c>
      <c r="AT1043">
        <f t="shared" si="153"/>
        <v>11</v>
      </c>
      <c r="AU1043">
        <f t="shared" ca="1" si="154"/>
        <v>-99</v>
      </c>
      <c r="AV1043">
        <f t="shared" ca="1" si="155"/>
        <v>-99</v>
      </c>
      <c r="AW1043">
        <f ca="1">IF(AND($AT1043&lt;3,OFFSET(DATA!$C$14,$AS1043,0)=AW$6),$AV1043,dNULL)</f>
        <v>-99</v>
      </c>
      <c r="AX1043">
        <f ca="1">IF(AND($AT1043&lt;3,OFFSET(DATA!$C$14,$AS1043,0)=AX$6),$AV1043,dNULL)</f>
        <v>-99</v>
      </c>
      <c r="AY1043">
        <f ca="1">IF(AND($AT1043&lt;3,OFFSET(DATA!$C$14,$AS1043,0)=AY$6),$AV1043,dNULL)</f>
        <v>-99</v>
      </c>
      <c r="AZ1043">
        <f ca="1">IF(AND($AT1043&lt;3,OFFSET(DATA!$C$14,$AS1043,0)=AZ$6),$AV1043,dNULL)</f>
        <v>-99</v>
      </c>
      <c r="BA1043">
        <f ca="1">IF(AND($AT1043&lt;3,OFFSET(DATA!$C$14,$AS1043,0)=BA$6),$AV1043,dNULL)</f>
        <v>-99</v>
      </c>
      <c r="BB1043">
        <f ca="1">IF(AND($AT1043&lt;3,OFFSET(DATA!$C$14,$AS1043,0)=BB$6),$AV1043,dNULL)</f>
        <v>-99</v>
      </c>
      <c r="BC1043">
        <f ca="1">IF(AND($AT1043&lt;3,OFFSET(DATA!$C$14,$AS1043,0)=BC$6),$AV1043,dNULL)</f>
        <v>-99</v>
      </c>
      <c r="BD1043">
        <f ca="1">IF(AND($AT1043&lt;3,OFFSET(DATA!$C$14,$AS1043,0)=BD$6),$AV1043,dNULL)</f>
        <v>-99</v>
      </c>
      <c r="BE1043">
        <f ca="1">IF(AND($AT1043&lt;3,OFFSET(DATA!$C$14,$AS1043,0)=BE$6),$AV1043,dNULL)</f>
        <v>-99</v>
      </c>
      <c r="BF1043">
        <f ca="1">IF(AND($AT1043&lt;3,OFFSET(DATA!$C$14,$AS1043,0)=BF$6),$AV1043,dNULL)</f>
        <v>-99</v>
      </c>
      <c r="BG1043">
        <f ca="1">IF(AND($AT1043&lt;3,OFFSET(DATA!$C$14,$AS1043,0)=BG$6),$AV1043,dNULL)</f>
        <v>-99</v>
      </c>
      <c r="BH1043">
        <f ca="1">IF(AND($AT1043&lt;3,OFFSET(DATA!$C$14,$AS1043,0)=BH$6),$AV1043,dNULL)</f>
        <v>-99</v>
      </c>
    </row>
    <row r="1044" spans="45:60" x14ac:dyDescent="0.25">
      <c r="AS1044">
        <f t="shared" si="152"/>
        <v>48</v>
      </c>
      <c r="AT1044">
        <f t="shared" si="153"/>
        <v>11</v>
      </c>
      <c r="AU1044">
        <f t="shared" ca="1" si="154"/>
        <v>-99</v>
      </c>
      <c r="AV1044">
        <f t="shared" ca="1" si="155"/>
        <v>-99</v>
      </c>
      <c r="AW1044">
        <f ca="1">IF(AND($AT1044&lt;3,OFFSET(DATA!$C$14,$AS1044,0)=AW$6),$AV1044,dNULL)</f>
        <v>-99</v>
      </c>
      <c r="AX1044">
        <f ca="1">IF(AND($AT1044&lt;3,OFFSET(DATA!$C$14,$AS1044,0)=AX$6),$AV1044,dNULL)</f>
        <v>-99</v>
      </c>
      <c r="AY1044">
        <f ca="1">IF(AND($AT1044&lt;3,OFFSET(DATA!$C$14,$AS1044,0)=AY$6),$AV1044,dNULL)</f>
        <v>-99</v>
      </c>
      <c r="AZ1044">
        <f ca="1">IF(AND($AT1044&lt;3,OFFSET(DATA!$C$14,$AS1044,0)=AZ$6),$AV1044,dNULL)</f>
        <v>-99</v>
      </c>
      <c r="BA1044">
        <f ca="1">IF(AND($AT1044&lt;3,OFFSET(DATA!$C$14,$AS1044,0)=BA$6),$AV1044,dNULL)</f>
        <v>-99</v>
      </c>
      <c r="BB1044">
        <f ca="1">IF(AND($AT1044&lt;3,OFFSET(DATA!$C$14,$AS1044,0)=BB$6),$AV1044,dNULL)</f>
        <v>-99</v>
      </c>
      <c r="BC1044">
        <f ca="1">IF(AND($AT1044&lt;3,OFFSET(DATA!$C$14,$AS1044,0)=BC$6),$AV1044,dNULL)</f>
        <v>-99</v>
      </c>
      <c r="BD1044">
        <f ca="1">IF(AND($AT1044&lt;3,OFFSET(DATA!$C$14,$AS1044,0)=BD$6),$AV1044,dNULL)</f>
        <v>-99</v>
      </c>
      <c r="BE1044">
        <f ca="1">IF(AND($AT1044&lt;3,OFFSET(DATA!$C$14,$AS1044,0)=BE$6),$AV1044,dNULL)</f>
        <v>-99</v>
      </c>
      <c r="BF1044">
        <f ca="1">IF(AND($AT1044&lt;3,OFFSET(DATA!$C$14,$AS1044,0)=BF$6),$AV1044,dNULL)</f>
        <v>-99</v>
      </c>
      <c r="BG1044">
        <f ca="1">IF(AND($AT1044&lt;3,OFFSET(DATA!$C$14,$AS1044,0)=BG$6),$AV1044,dNULL)</f>
        <v>-99</v>
      </c>
      <c r="BH1044">
        <f ca="1">IF(AND($AT1044&lt;3,OFFSET(DATA!$C$14,$AS1044,0)=BH$6),$AV1044,dNULL)</f>
        <v>-99</v>
      </c>
    </row>
    <row r="1045" spans="45:60" x14ac:dyDescent="0.25">
      <c r="AS1045">
        <f t="shared" si="152"/>
        <v>49</v>
      </c>
      <c r="AT1045">
        <f t="shared" si="153"/>
        <v>11</v>
      </c>
      <c r="AU1045">
        <f t="shared" ca="1" si="154"/>
        <v>-99</v>
      </c>
      <c r="AV1045">
        <f t="shared" ca="1" si="155"/>
        <v>-99</v>
      </c>
      <c r="AW1045">
        <f ca="1">IF(AND($AT1045&lt;3,OFFSET(DATA!$C$14,$AS1045,0)=AW$6),$AV1045,dNULL)</f>
        <v>-99</v>
      </c>
      <c r="AX1045">
        <f ca="1">IF(AND($AT1045&lt;3,OFFSET(DATA!$C$14,$AS1045,0)=AX$6),$AV1045,dNULL)</f>
        <v>-99</v>
      </c>
      <c r="AY1045">
        <f ca="1">IF(AND($AT1045&lt;3,OFFSET(DATA!$C$14,$AS1045,0)=AY$6),$AV1045,dNULL)</f>
        <v>-99</v>
      </c>
      <c r="AZ1045">
        <f ca="1">IF(AND($AT1045&lt;3,OFFSET(DATA!$C$14,$AS1045,0)=AZ$6),$AV1045,dNULL)</f>
        <v>-99</v>
      </c>
      <c r="BA1045">
        <f ca="1">IF(AND($AT1045&lt;3,OFFSET(DATA!$C$14,$AS1045,0)=BA$6),$AV1045,dNULL)</f>
        <v>-99</v>
      </c>
      <c r="BB1045">
        <f ca="1">IF(AND($AT1045&lt;3,OFFSET(DATA!$C$14,$AS1045,0)=BB$6),$AV1045,dNULL)</f>
        <v>-99</v>
      </c>
      <c r="BC1045">
        <f ca="1">IF(AND($AT1045&lt;3,OFFSET(DATA!$C$14,$AS1045,0)=BC$6),$AV1045,dNULL)</f>
        <v>-99</v>
      </c>
      <c r="BD1045">
        <f ca="1">IF(AND($AT1045&lt;3,OFFSET(DATA!$C$14,$AS1045,0)=BD$6),$AV1045,dNULL)</f>
        <v>-99</v>
      </c>
      <c r="BE1045">
        <f ca="1">IF(AND($AT1045&lt;3,OFFSET(DATA!$C$14,$AS1045,0)=BE$6),$AV1045,dNULL)</f>
        <v>-99</v>
      </c>
      <c r="BF1045">
        <f ca="1">IF(AND($AT1045&lt;3,OFFSET(DATA!$C$14,$AS1045,0)=BF$6),$AV1045,dNULL)</f>
        <v>-99</v>
      </c>
      <c r="BG1045">
        <f ca="1">IF(AND($AT1045&lt;3,OFFSET(DATA!$C$14,$AS1045,0)=BG$6),$AV1045,dNULL)</f>
        <v>-99</v>
      </c>
      <c r="BH1045">
        <f ca="1">IF(AND($AT1045&lt;3,OFFSET(DATA!$C$14,$AS1045,0)=BH$6),$AV1045,dNULL)</f>
        <v>-99</v>
      </c>
    </row>
    <row r="1046" spans="45:60" x14ac:dyDescent="0.25">
      <c r="AS1046">
        <f t="shared" si="152"/>
        <v>50</v>
      </c>
      <c r="AT1046">
        <f t="shared" si="153"/>
        <v>11</v>
      </c>
      <c r="AU1046">
        <f t="shared" ca="1" si="154"/>
        <v>-99</v>
      </c>
      <c r="AV1046">
        <f t="shared" ca="1" si="155"/>
        <v>-99</v>
      </c>
      <c r="AW1046">
        <f ca="1">IF(AND($AT1046&lt;3,OFFSET(DATA!$C$14,$AS1046,0)=AW$6),$AV1046,dNULL)</f>
        <v>-99</v>
      </c>
      <c r="AX1046">
        <f ca="1">IF(AND($AT1046&lt;3,OFFSET(DATA!$C$14,$AS1046,0)=AX$6),$AV1046,dNULL)</f>
        <v>-99</v>
      </c>
      <c r="AY1046">
        <f ca="1">IF(AND($AT1046&lt;3,OFFSET(DATA!$C$14,$AS1046,0)=AY$6),$AV1046,dNULL)</f>
        <v>-99</v>
      </c>
      <c r="AZ1046">
        <f ca="1">IF(AND($AT1046&lt;3,OFFSET(DATA!$C$14,$AS1046,0)=AZ$6),$AV1046,dNULL)</f>
        <v>-99</v>
      </c>
      <c r="BA1046">
        <f ca="1">IF(AND($AT1046&lt;3,OFFSET(DATA!$C$14,$AS1046,0)=BA$6),$AV1046,dNULL)</f>
        <v>-99</v>
      </c>
      <c r="BB1046">
        <f ca="1">IF(AND($AT1046&lt;3,OFFSET(DATA!$C$14,$AS1046,0)=BB$6),$AV1046,dNULL)</f>
        <v>-99</v>
      </c>
      <c r="BC1046">
        <f ca="1">IF(AND($AT1046&lt;3,OFFSET(DATA!$C$14,$AS1046,0)=BC$6),$AV1046,dNULL)</f>
        <v>-99</v>
      </c>
      <c r="BD1046">
        <f ca="1">IF(AND($AT1046&lt;3,OFFSET(DATA!$C$14,$AS1046,0)=BD$6),$AV1046,dNULL)</f>
        <v>-99</v>
      </c>
      <c r="BE1046">
        <f ca="1">IF(AND($AT1046&lt;3,OFFSET(DATA!$C$14,$AS1046,0)=BE$6),$AV1046,dNULL)</f>
        <v>-99</v>
      </c>
      <c r="BF1046">
        <f ca="1">IF(AND($AT1046&lt;3,OFFSET(DATA!$C$14,$AS1046,0)=BF$6),$AV1046,dNULL)</f>
        <v>-99</v>
      </c>
      <c r="BG1046">
        <f ca="1">IF(AND($AT1046&lt;3,OFFSET(DATA!$C$14,$AS1046,0)=BG$6),$AV1046,dNULL)</f>
        <v>-99</v>
      </c>
      <c r="BH1046">
        <f ca="1">IF(AND($AT1046&lt;3,OFFSET(DATA!$C$14,$AS1046,0)=BH$6),$AV1046,dNULL)</f>
        <v>-99</v>
      </c>
    </row>
    <row r="1047" spans="45:60" x14ac:dyDescent="0.25">
      <c r="AS1047">
        <f t="shared" si="152"/>
        <v>51</v>
      </c>
      <c r="AT1047">
        <f t="shared" si="153"/>
        <v>11</v>
      </c>
      <c r="AU1047">
        <f t="shared" ca="1" si="154"/>
        <v>-99</v>
      </c>
      <c r="AV1047">
        <f t="shared" ca="1" si="155"/>
        <v>-99</v>
      </c>
      <c r="AW1047">
        <f ca="1">IF(AND($AT1047&lt;3,OFFSET(DATA!$C$14,$AS1047,0)=AW$6),$AV1047,dNULL)</f>
        <v>-99</v>
      </c>
      <c r="AX1047">
        <f ca="1">IF(AND($AT1047&lt;3,OFFSET(DATA!$C$14,$AS1047,0)=AX$6),$AV1047,dNULL)</f>
        <v>-99</v>
      </c>
      <c r="AY1047">
        <f ca="1">IF(AND($AT1047&lt;3,OFFSET(DATA!$C$14,$AS1047,0)=AY$6),$AV1047,dNULL)</f>
        <v>-99</v>
      </c>
      <c r="AZ1047">
        <f ca="1">IF(AND($AT1047&lt;3,OFFSET(DATA!$C$14,$AS1047,0)=AZ$6),$AV1047,dNULL)</f>
        <v>-99</v>
      </c>
      <c r="BA1047">
        <f ca="1">IF(AND($AT1047&lt;3,OFFSET(DATA!$C$14,$AS1047,0)=BA$6),$AV1047,dNULL)</f>
        <v>-99</v>
      </c>
      <c r="BB1047">
        <f ca="1">IF(AND($AT1047&lt;3,OFFSET(DATA!$C$14,$AS1047,0)=BB$6),$AV1047,dNULL)</f>
        <v>-99</v>
      </c>
      <c r="BC1047">
        <f ca="1">IF(AND($AT1047&lt;3,OFFSET(DATA!$C$14,$AS1047,0)=BC$6),$AV1047,dNULL)</f>
        <v>-99</v>
      </c>
      <c r="BD1047">
        <f ca="1">IF(AND($AT1047&lt;3,OFFSET(DATA!$C$14,$AS1047,0)=BD$6),$AV1047,dNULL)</f>
        <v>-99</v>
      </c>
      <c r="BE1047">
        <f ca="1">IF(AND($AT1047&lt;3,OFFSET(DATA!$C$14,$AS1047,0)=BE$6),$AV1047,dNULL)</f>
        <v>-99</v>
      </c>
      <c r="BF1047">
        <f ca="1">IF(AND($AT1047&lt;3,OFFSET(DATA!$C$14,$AS1047,0)=BF$6),$AV1047,dNULL)</f>
        <v>-99</v>
      </c>
      <c r="BG1047">
        <f ca="1">IF(AND($AT1047&lt;3,OFFSET(DATA!$C$14,$AS1047,0)=BG$6),$AV1047,dNULL)</f>
        <v>-99</v>
      </c>
      <c r="BH1047">
        <f ca="1">IF(AND($AT1047&lt;3,OFFSET(DATA!$C$14,$AS1047,0)=BH$6),$AV1047,dNULL)</f>
        <v>-99</v>
      </c>
    </row>
    <row r="1048" spans="45:60" x14ac:dyDescent="0.25">
      <c r="AS1048">
        <f t="shared" si="152"/>
        <v>52</v>
      </c>
      <c r="AT1048">
        <f t="shared" si="153"/>
        <v>11</v>
      </c>
      <c r="AU1048">
        <f t="shared" ca="1" si="154"/>
        <v>-99</v>
      </c>
      <c r="AV1048">
        <f t="shared" ca="1" si="155"/>
        <v>-99</v>
      </c>
      <c r="AW1048">
        <f ca="1">IF(AND($AT1048&lt;3,OFFSET(DATA!$C$14,$AS1048,0)=AW$6),$AV1048,dNULL)</f>
        <v>-99</v>
      </c>
      <c r="AX1048">
        <f ca="1">IF(AND($AT1048&lt;3,OFFSET(DATA!$C$14,$AS1048,0)=AX$6),$AV1048,dNULL)</f>
        <v>-99</v>
      </c>
      <c r="AY1048">
        <f ca="1">IF(AND($AT1048&lt;3,OFFSET(DATA!$C$14,$AS1048,0)=AY$6),$AV1048,dNULL)</f>
        <v>-99</v>
      </c>
      <c r="AZ1048">
        <f ca="1">IF(AND($AT1048&lt;3,OFFSET(DATA!$C$14,$AS1048,0)=AZ$6),$AV1048,dNULL)</f>
        <v>-99</v>
      </c>
      <c r="BA1048">
        <f ca="1">IF(AND($AT1048&lt;3,OFFSET(DATA!$C$14,$AS1048,0)=BA$6),$AV1048,dNULL)</f>
        <v>-99</v>
      </c>
      <c r="BB1048">
        <f ca="1">IF(AND($AT1048&lt;3,OFFSET(DATA!$C$14,$AS1048,0)=BB$6),$AV1048,dNULL)</f>
        <v>-99</v>
      </c>
      <c r="BC1048">
        <f ca="1">IF(AND($AT1048&lt;3,OFFSET(DATA!$C$14,$AS1048,0)=BC$6),$AV1048,dNULL)</f>
        <v>-99</v>
      </c>
      <c r="BD1048">
        <f ca="1">IF(AND($AT1048&lt;3,OFFSET(DATA!$C$14,$AS1048,0)=BD$6),$AV1048,dNULL)</f>
        <v>-99</v>
      </c>
      <c r="BE1048">
        <f ca="1">IF(AND($AT1048&lt;3,OFFSET(DATA!$C$14,$AS1048,0)=BE$6),$AV1048,dNULL)</f>
        <v>-99</v>
      </c>
      <c r="BF1048">
        <f ca="1">IF(AND($AT1048&lt;3,OFFSET(DATA!$C$14,$AS1048,0)=BF$6),$AV1048,dNULL)</f>
        <v>-99</v>
      </c>
      <c r="BG1048">
        <f ca="1">IF(AND($AT1048&lt;3,OFFSET(DATA!$C$14,$AS1048,0)=BG$6),$AV1048,dNULL)</f>
        <v>-99</v>
      </c>
      <c r="BH1048">
        <f ca="1">IF(AND($AT1048&lt;3,OFFSET(DATA!$C$14,$AS1048,0)=BH$6),$AV1048,dNULL)</f>
        <v>-99</v>
      </c>
    </row>
    <row r="1049" spans="45:60" x14ac:dyDescent="0.25">
      <c r="AS1049">
        <f t="shared" si="152"/>
        <v>53</v>
      </c>
      <c r="AT1049">
        <f t="shared" si="153"/>
        <v>11</v>
      </c>
      <c r="AU1049">
        <f t="shared" ca="1" si="154"/>
        <v>-99</v>
      </c>
      <c r="AV1049">
        <f t="shared" ca="1" si="155"/>
        <v>-99</v>
      </c>
      <c r="AW1049">
        <f ca="1">IF(AND($AT1049&lt;3,OFFSET(DATA!$C$14,$AS1049,0)=AW$6),$AV1049,dNULL)</f>
        <v>-99</v>
      </c>
      <c r="AX1049">
        <f ca="1">IF(AND($AT1049&lt;3,OFFSET(DATA!$C$14,$AS1049,0)=AX$6),$AV1049,dNULL)</f>
        <v>-99</v>
      </c>
      <c r="AY1049">
        <f ca="1">IF(AND($AT1049&lt;3,OFFSET(DATA!$C$14,$AS1049,0)=AY$6),$AV1049,dNULL)</f>
        <v>-99</v>
      </c>
      <c r="AZ1049">
        <f ca="1">IF(AND($AT1049&lt;3,OFFSET(DATA!$C$14,$AS1049,0)=AZ$6),$AV1049,dNULL)</f>
        <v>-99</v>
      </c>
      <c r="BA1049">
        <f ca="1">IF(AND($AT1049&lt;3,OFFSET(DATA!$C$14,$AS1049,0)=BA$6),$AV1049,dNULL)</f>
        <v>-99</v>
      </c>
      <c r="BB1049">
        <f ca="1">IF(AND($AT1049&lt;3,OFFSET(DATA!$C$14,$AS1049,0)=BB$6),$AV1049,dNULL)</f>
        <v>-99</v>
      </c>
      <c r="BC1049">
        <f ca="1">IF(AND($AT1049&lt;3,OFFSET(DATA!$C$14,$AS1049,0)=BC$6),$AV1049,dNULL)</f>
        <v>-99</v>
      </c>
      <c r="BD1049">
        <f ca="1">IF(AND($AT1049&lt;3,OFFSET(DATA!$C$14,$AS1049,0)=BD$6),$AV1049,dNULL)</f>
        <v>-99</v>
      </c>
      <c r="BE1049">
        <f ca="1">IF(AND($AT1049&lt;3,OFFSET(DATA!$C$14,$AS1049,0)=BE$6),$AV1049,dNULL)</f>
        <v>-99</v>
      </c>
      <c r="BF1049">
        <f ca="1">IF(AND($AT1049&lt;3,OFFSET(DATA!$C$14,$AS1049,0)=BF$6),$AV1049,dNULL)</f>
        <v>-99</v>
      </c>
      <c r="BG1049">
        <f ca="1">IF(AND($AT1049&lt;3,OFFSET(DATA!$C$14,$AS1049,0)=BG$6),$AV1049,dNULL)</f>
        <v>-99</v>
      </c>
      <c r="BH1049">
        <f ca="1">IF(AND($AT1049&lt;3,OFFSET(DATA!$C$14,$AS1049,0)=BH$6),$AV1049,dNULL)</f>
        <v>-99</v>
      </c>
    </row>
    <row r="1050" spans="45:60" x14ac:dyDescent="0.25">
      <c r="AS1050">
        <f t="shared" si="152"/>
        <v>54</v>
      </c>
      <c r="AT1050">
        <f t="shared" si="153"/>
        <v>11</v>
      </c>
      <c r="AU1050">
        <f t="shared" ca="1" si="154"/>
        <v>-99</v>
      </c>
      <c r="AV1050">
        <f t="shared" ca="1" si="155"/>
        <v>-99</v>
      </c>
      <c r="AW1050">
        <f ca="1">IF(AND($AT1050&lt;3,OFFSET(DATA!$C$14,$AS1050,0)=AW$6),$AV1050,dNULL)</f>
        <v>-99</v>
      </c>
      <c r="AX1050">
        <f ca="1">IF(AND($AT1050&lt;3,OFFSET(DATA!$C$14,$AS1050,0)=AX$6),$AV1050,dNULL)</f>
        <v>-99</v>
      </c>
      <c r="AY1050">
        <f ca="1">IF(AND($AT1050&lt;3,OFFSET(DATA!$C$14,$AS1050,0)=AY$6),$AV1050,dNULL)</f>
        <v>-99</v>
      </c>
      <c r="AZ1050">
        <f ca="1">IF(AND($AT1050&lt;3,OFFSET(DATA!$C$14,$AS1050,0)=AZ$6),$AV1050,dNULL)</f>
        <v>-99</v>
      </c>
      <c r="BA1050">
        <f ca="1">IF(AND($AT1050&lt;3,OFFSET(DATA!$C$14,$AS1050,0)=BA$6),$AV1050,dNULL)</f>
        <v>-99</v>
      </c>
      <c r="BB1050">
        <f ca="1">IF(AND($AT1050&lt;3,OFFSET(DATA!$C$14,$AS1050,0)=BB$6),$AV1050,dNULL)</f>
        <v>-99</v>
      </c>
      <c r="BC1050">
        <f ca="1">IF(AND($AT1050&lt;3,OFFSET(DATA!$C$14,$AS1050,0)=BC$6),$AV1050,dNULL)</f>
        <v>-99</v>
      </c>
      <c r="BD1050">
        <f ca="1">IF(AND($AT1050&lt;3,OFFSET(DATA!$C$14,$AS1050,0)=BD$6),$AV1050,dNULL)</f>
        <v>-99</v>
      </c>
      <c r="BE1050">
        <f ca="1">IF(AND($AT1050&lt;3,OFFSET(DATA!$C$14,$AS1050,0)=BE$6),$AV1050,dNULL)</f>
        <v>-99</v>
      </c>
      <c r="BF1050">
        <f ca="1">IF(AND($AT1050&lt;3,OFFSET(DATA!$C$14,$AS1050,0)=BF$6),$AV1050,dNULL)</f>
        <v>-99</v>
      </c>
      <c r="BG1050">
        <f ca="1">IF(AND($AT1050&lt;3,OFFSET(DATA!$C$14,$AS1050,0)=BG$6),$AV1050,dNULL)</f>
        <v>-99</v>
      </c>
      <c r="BH1050">
        <f ca="1">IF(AND($AT1050&lt;3,OFFSET(DATA!$C$14,$AS1050,0)=BH$6),$AV1050,dNULL)</f>
        <v>-99</v>
      </c>
    </row>
    <row r="1051" spans="45:60" x14ac:dyDescent="0.25">
      <c r="AS1051">
        <f t="shared" si="152"/>
        <v>55</v>
      </c>
      <c r="AT1051">
        <f t="shared" si="153"/>
        <v>11</v>
      </c>
      <c r="AU1051">
        <f t="shared" ca="1" si="154"/>
        <v>-99</v>
      </c>
      <c r="AV1051">
        <f t="shared" ca="1" si="155"/>
        <v>-99</v>
      </c>
      <c r="AW1051">
        <f ca="1">IF(AND($AT1051&lt;3,OFFSET(DATA!$C$14,$AS1051,0)=AW$6),$AV1051,dNULL)</f>
        <v>-99</v>
      </c>
      <c r="AX1051">
        <f ca="1">IF(AND($AT1051&lt;3,OFFSET(DATA!$C$14,$AS1051,0)=AX$6),$AV1051,dNULL)</f>
        <v>-99</v>
      </c>
      <c r="AY1051">
        <f ca="1">IF(AND($AT1051&lt;3,OFFSET(DATA!$C$14,$AS1051,0)=AY$6),$AV1051,dNULL)</f>
        <v>-99</v>
      </c>
      <c r="AZ1051">
        <f ca="1">IF(AND($AT1051&lt;3,OFFSET(DATA!$C$14,$AS1051,0)=AZ$6),$AV1051,dNULL)</f>
        <v>-99</v>
      </c>
      <c r="BA1051">
        <f ca="1">IF(AND($AT1051&lt;3,OFFSET(DATA!$C$14,$AS1051,0)=BA$6),$AV1051,dNULL)</f>
        <v>-99</v>
      </c>
      <c r="BB1051">
        <f ca="1">IF(AND($AT1051&lt;3,OFFSET(DATA!$C$14,$AS1051,0)=BB$6),$AV1051,dNULL)</f>
        <v>-99</v>
      </c>
      <c r="BC1051">
        <f ca="1">IF(AND($AT1051&lt;3,OFFSET(DATA!$C$14,$AS1051,0)=BC$6),$AV1051,dNULL)</f>
        <v>-99</v>
      </c>
      <c r="BD1051">
        <f ca="1">IF(AND($AT1051&lt;3,OFFSET(DATA!$C$14,$AS1051,0)=BD$6),$AV1051,dNULL)</f>
        <v>-99</v>
      </c>
      <c r="BE1051">
        <f ca="1">IF(AND($AT1051&lt;3,OFFSET(DATA!$C$14,$AS1051,0)=BE$6),$AV1051,dNULL)</f>
        <v>-99</v>
      </c>
      <c r="BF1051">
        <f ca="1">IF(AND($AT1051&lt;3,OFFSET(DATA!$C$14,$AS1051,0)=BF$6),$AV1051,dNULL)</f>
        <v>-99</v>
      </c>
      <c r="BG1051">
        <f ca="1">IF(AND($AT1051&lt;3,OFFSET(DATA!$C$14,$AS1051,0)=BG$6),$AV1051,dNULL)</f>
        <v>-99</v>
      </c>
      <c r="BH1051">
        <f ca="1">IF(AND($AT1051&lt;3,OFFSET(DATA!$C$14,$AS1051,0)=BH$6),$AV1051,dNULL)</f>
        <v>-99</v>
      </c>
    </row>
    <row r="1052" spans="45:60" x14ac:dyDescent="0.25">
      <c r="AS1052">
        <f t="shared" si="152"/>
        <v>56</v>
      </c>
      <c r="AT1052">
        <f t="shared" si="153"/>
        <v>11</v>
      </c>
      <c r="AU1052">
        <f t="shared" ca="1" si="154"/>
        <v>-99</v>
      </c>
      <c r="AV1052">
        <f t="shared" ca="1" si="155"/>
        <v>-99</v>
      </c>
      <c r="AW1052">
        <f ca="1">IF(AND($AT1052&lt;3,OFFSET(DATA!$C$14,$AS1052,0)=AW$6),$AV1052,dNULL)</f>
        <v>-99</v>
      </c>
      <c r="AX1052">
        <f ca="1">IF(AND($AT1052&lt;3,OFFSET(DATA!$C$14,$AS1052,0)=AX$6),$AV1052,dNULL)</f>
        <v>-99</v>
      </c>
      <c r="AY1052">
        <f ca="1">IF(AND($AT1052&lt;3,OFFSET(DATA!$C$14,$AS1052,0)=AY$6),$AV1052,dNULL)</f>
        <v>-99</v>
      </c>
      <c r="AZ1052">
        <f ca="1">IF(AND($AT1052&lt;3,OFFSET(DATA!$C$14,$AS1052,0)=AZ$6),$AV1052,dNULL)</f>
        <v>-99</v>
      </c>
      <c r="BA1052">
        <f ca="1">IF(AND($AT1052&lt;3,OFFSET(DATA!$C$14,$AS1052,0)=BA$6),$AV1052,dNULL)</f>
        <v>-99</v>
      </c>
      <c r="BB1052">
        <f ca="1">IF(AND($AT1052&lt;3,OFFSET(DATA!$C$14,$AS1052,0)=BB$6),$AV1052,dNULL)</f>
        <v>-99</v>
      </c>
      <c r="BC1052">
        <f ca="1">IF(AND($AT1052&lt;3,OFFSET(DATA!$C$14,$AS1052,0)=BC$6),$AV1052,dNULL)</f>
        <v>-99</v>
      </c>
      <c r="BD1052">
        <f ca="1">IF(AND($AT1052&lt;3,OFFSET(DATA!$C$14,$AS1052,0)=BD$6),$AV1052,dNULL)</f>
        <v>-99</v>
      </c>
      <c r="BE1052">
        <f ca="1">IF(AND($AT1052&lt;3,OFFSET(DATA!$C$14,$AS1052,0)=BE$6),$AV1052,dNULL)</f>
        <v>-99</v>
      </c>
      <c r="BF1052">
        <f ca="1">IF(AND($AT1052&lt;3,OFFSET(DATA!$C$14,$AS1052,0)=BF$6),$AV1052,dNULL)</f>
        <v>-99</v>
      </c>
      <c r="BG1052">
        <f ca="1">IF(AND($AT1052&lt;3,OFFSET(DATA!$C$14,$AS1052,0)=BG$6),$AV1052,dNULL)</f>
        <v>-99</v>
      </c>
      <c r="BH1052">
        <f ca="1">IF(AND($AT1052&lt;3,OFFSET(DATA!$C$14,$AS1052,0)=BH$6),$AV1052,dNULL)</f>
        <v>-99</v>
      </c>
    </row>
    <row r="1053" spans="45:60" x14ac:dyDescent="0.25">
      <c r="AS1053">
        <f t="shared" si="152"/>
        <v>57</v>
      </c>
      <c r="AT1053">
        <f t="shared" si="153"/>
        <v>11</v>
      </c>
      <c r="AU1053">
        <f t="shared" ca="1" si="154"/>
        <v>-99</v>
      </c>
      <c r="AV1053">
        <f t="shared" ca="1" si="155"/>
        <v>-99</v>
      </c>
      <c r="AW1053">
        <f ca="1">IF(AND($AT1053&lt;3,OFFSET(DATA!$C$14,$AS1053,0)=AW$6),$AV1053,dNULL)</f>
        <v>-99</v>
      </c>
      <c r="AX1053">
        <f ca="1">IF(AND($AT1053&lt;3,OFFSET(DATA!$C$14,$AS1053,0)=AX$6),$AV1053,dNULL)</f>
        <v>-99</v>
      </c>
      <c r="AY1053">
        <f ca="1">IF(AND($AT1053&lt;3,OFFSET(DATA!$C$14,$AS1053,0)=AY$6),$AV1053,dNULL)</f>
        <v>-99</v>
      </c>
      <c r="AZ1053">
        <f ca="1">IF(AND($AT1053&lt;3,OFFSET(DATA!$C$14,$AS1053,0)=AZ$6),$AV1053,dNULL)</f>
        <v>-99</v>
      </c>
      <c r="BA1053">
        <f ca="1">IF(AND($AT1053&lt;3,OFFSET(DATA!$C$14,$AS1053,0)=BA$6),$AV1053,dNULL)</f>
        <v>-99</v>
      </c>
      <c r="BB1053">
        <f ca="1">IF(AND($AT1053&lt;3,OFFSET(DATA!$C$14,$AS1053,0)=BB$6),$AV1053,dNULL)</f>
        <v>-99</v>
      </c>
      <c r="BC1053">
        <f ca="1">IF(AND($AT1053&lt;3,OFFSET(DATA!$C$14,$AS1053,0)=BC$6),$AV1053,dNULL)</f>
        <v>-99</v>
      </c>
      <c r="BD1053">
        <f ca="1">IF(AND($AT1053&lt;3,OFFSET(DATA!$C$14,$AS1053,0)=BD$6),$AV1053,dNULL)</f>
        <v>-99</v>
      </c>
      <c r="BE1053">
        <f ca="1">IF(AND($AT1053&lt;3,OFFSET(DATA!$C$14,$AS1053,0)=BE$6),$AV1053,dNULL)</f>
        <v>-99</v>
      </c>
      <c r="BF1053">
        <f ca="1">IF(AND($AT1053&lt;3,OFFSET(DATA!$C$14,$AS1053,0)=BF$6),$AV1053,dNULL)</f>
        <v>-99</v>
      </c>
      <c r="BG1053">
        <f ca="1">IF(AND($AT1053&lt;3,OFFSET(DATA!$C$14,$AS1053,0)=BG$6),$AV1053,dNULL)</f>
        <v>-99</v>
      </c>
      <c r="BH1053">
        <f ca="1">IF(AND($AT1053&lt;3,OFFSET(DATA!$C$14,$AS1053,0)=BH$6),$AV1053,dNULL)</f>
        <v>-99</v>
      </c>
    </row>
    <row r="1054" spans="45:60" x14ac:dyDescent="0.25">
      <c r="AS1054">
        <f t="shared" si="152"/>
        <v>58</v>
      </c>
      <c r="AT1054">
        <f t="shared" si="153"/>
        <v>11</v>
      </c>
      <c r="AU1054">
        <f t="shared" ca="1" si="154"/>
        <v>-99</v>
      </c>
      <c r="AV1054">
        <f t="shared" ca="1" si="155"/>
        <v>-99</v>
      </c>
      <c r="AW1054">
        <f ca="1">IF(AND($AT1054&lt;3,OFFSET(DATA!$C$14,$AS1054,0)=AW$6),$AV1054,dNULL)</f>
        <v>-99</v>
      </c>
      <c r="AX1054">
        <f ca="1">IF(AND($AT1054&lt;3,OFFSET(DATA!$C$14,$AS1054,0)=AX$6),$AV1054,dNULL)</f>
        <v>-99</v>
      </c>
      <c r="AY1054">
        <f ca="1">IF(AND($AT1054&lt;3,OFFSET(DATA!$C$14,$AS1054,0)=AY$6),$AV1054,dNULL)</f>
        <v>-99</v>
      </c>
      <c r="AZ1054">
        <f ca="1">IF(AND($AT1054&lt;3,OFFSET(DATA!$C$14,$AS1054,0)=AZ$6),$AV1054,dNULL)</f>
        <v>-99</v>
      </c>
      <c r="BA1054">
        <f ca="1">IF(AND($AT1054&lt;3,OFFSET(DATA!$C$14,$AS1054,0)=BA$6),$AV1054,dNULL)</f>
        <v>-99</v>
      </c>
      <c r="BB1054">
        <f ca="1">IF(AND($AT1054&lt;3,OFFSET(DATA!$C$14,$AS1054,0)=BB$6),$AV1054,dNULL)</f>
        <v>-99</v>
      </c>
      <c r="BC1054">
        <f ca="1">IF(AND($AT1054&lt;3,OFFSET(DATA!$C$14,$AS1054,0)=BC$6),$AV1054,dNULL)</f>
        <v>-99</v>
      </c>
      <c r="BD1054">
        <f ca="1">IF(AND($AT1054&lt;3,OFFSET(DATA!$C$14,$AS1054,0)=BD$6),$AV1054,dNULL)</f>
        <v>-99</v>
      </c>
      <c r="BE1054">
        <f ca="1">IF(AND($AT1054&lt;3,OFFSET(DATA!$C$14,$AS1054,0)=BE$6),$AV1054,dNULL)</f>
        <v>-99</v>
      </c>
      <c r="BF1054">
        <f ca="1">IF(AND($AT1054&lt;3,OFFSET(DATA!$C$14,$AS1054,0)=BF$6),$AV1054,dNULL)</f>
        <v>-99</v>
      </c>
      <c r="BG1054">
        <f ca="1">IF(AND($AT1054&lt;3,OFFSET(DATA!$C$14,$AS1054,0)=BG$6),$AV1054,dNULL)</f>
        <v>-99</v>
      </c>
      <c r="BH1054">
        <f ca="1">IF(AND($AT1054&lt;3,OFFSET(DATA!$C$14,$AS1054,0)=BH$6),$AV1054,dNULL)</f>
        <v>-99</v>
      </c>
    </row>
    <row r="1055" spans="45:60" x14ac:dyDescent="0.25">
      <c r="AS1055">
        <f t="shared" si="152"/>
        <v>59</v>
      </c>
      <c r="AT1055">
        <f t="shared" si="153"/>
        <v>11</v>
      </c>
      <c r="AU1055">
        <f t="shared" ca="1" si="154"/>
        <v>-99</v>
      </c>
      <c r="AV1055">
        <f t="shared" ca="1" si="155"/>
        <v>-99</v>
      </c>
      <c r="AW1055">
        <f ca="1">IF(AND($AT1055&lt;3,OFFSET(DATA!$C$14,$AS1055,0)=AW$6),$AV1055,dNULL)</f>
        <v>-99</v>
      </c>
      <c r="AX1055">
        <f ca="1">IF(AND($AT1055&lt;3,OFFSET(DATA!$C$14,$AS1055,0)=AX$6),$AV1055,dNULL)</f>
        <v>-99</v>
      </c>
      <c r="AY1055">
        <f ca="1">IF(AND($AT1055&lt;3,OFFSET(DATA!$C$14,$AS1055,0)=AY$6),$AV1055,dNULL)</f>
        <v>-99</v>
      </c>
      <c r="AZ1055">
        <f ca="1">IF(AND($AT1055&lt;3,OFFSET(DATA!$C$14,$AS1055,0)=AZ$6),$AV1055,dNULL)</f>
        <v>-99</v>
      </c>
      <c r="BA1055">
        <f ca="1">IF(AND($AT1055&lt;3,OFFSET(DATA!$C$14,$AS1055,0)=BA$6),$AV1055,dNULL)</f>
        <v>-99</v>
      </c>
      <c r="BB1055">
        <f ca="1">IF(AND($AT1055&lt;3,OFFSET(DATA!$C$14,$AS1055,0)=BB$6),$AV1055,dNULL)</f>
        <v>-99</v>
      </c>
      <c r="BC1055">
        <f ca="1">IF(AND($AT1055&lt;3,OFFSET(DATA!$C$14,$AS1055,0)=BC$6),$AV1055,dNULL)</f>
        <v>-99</v>
      </c>
      <c r="BD1055">
        <f ca="1">IF(AND($AT1055&lt;3,OFFSET(DATA!$C$14,$AS1055,0)=BD$6),$AV1055,dNULL)</f>
        <v>-99</v>
      </c>
      <c r="BE1055">
        <f ca="1">IF(AND($AT1055&lt;3,OFFSET(DATA!$C$14,$AS1055,0)=BE$6),$AV1055,dNULL)</f>
        <v>-99</v>
      </c>
      <c r="BF1055">
        <f ca="1">IF(AND($AT1055&lt;3,OFFSET(DATA!$C$14,$AS1055,0)=BF$6),$AV1055,dNULL)</f>
        <v>-99</v>
      </c>
      <c r="BG1055">
        <f ca="1">IF(AND($AT1055&lt;3,OFFSET(DATA!$C$14,$AS1055,0)=BG$6),$AV1055,dNULL)</f>
        <v>-99</v>
      </c>
      <c r="BH1055">
        <f ca="1">IF(AND($AT1055&lt;3,OFFSET(DATA!$C$14,$AS1055,0)=BH$6),$AV1055,dNULL)</f>
        <v>-99</v>
      </c>
    </row>
    <row r="1056" spans="45:60" x14ac:dyDescent="0.25">
      <c r="AS1056">
        <f t="shared" si="152"/>
        <v>60</v>
      </c>
      <c r="AT1056">
        <f t="shared" si="153"/>
        <v>11</v>
      </c>
      <c r="AU1056">
        <f t="shared" ca="1" si="154"/>
        <v>-99</v>
      </c>
      <c r="AV1056">
        <f t="shared" ca="1" si="155"/>
        <v>-99</v>
      </c>
      <c r="AW1056">
        <f ca="1">IF(AND($AT1056&lt;3,OFFSET(DATA!$C$14,$AS1056,0)=AW$6),$AV1056,dNULL)</f>
        <v>-99</v>
      </c>
      <c r="AX1056">
        <f ca="1">IF(AND($AT1056&lt;3,OFFSET(DATA!$C$14,$AS1056,0)=AX$6),$AV1056,dNULL)</f>
        <v>-99</v>
      </c>
      <c r="AY1056">
        <f ca="1">IF(AND($AT1056&lt;3,OFFSET(DATA!$C$14,$AS1056,0)=AY$6),$AV1056,dNULL)</f>
        <v>-99</v>
      </c>
      <c r="AZ1056">
        <f ca="1">IF(AND($AT1056&lt;3,OFFSET(DATA!$C$14,$AS1056,0)=AZ$6),$AV1056,dNULL)</f>
        <v>-99</v>
      </c>
      <c r="BA1056">
        <f ca="1">IF(AND($AT1056&lt;3,OFFSET(DATA!$C$14,$AS1056,0)=BA$6),$AV1056,dNULL)</f>
        <v>-99</v>
      </c>
      <c r="BB1056">
        <f ca="1">IF(AND($AT1056&lt;3,OFFSET(DATA!$C$14,$AS1056,0)=BB$6),$AV1056,dNULL)</f>
        <v>-99</v>
      </c>
      <c r="BC1056">
        <f ca="1">IF(AND($AT1056&lt;3,OFFSET(DATA!$C$14,$AS1056,0)=BC$6),$AV1056,dNULL)</f>
        <v>-99</v>
      </c>
      <c r="BD1056">
        <f ca="1">IF(AND($AT1056&lt;3,OFFSET(DATA!$C$14,$AS1056,0)=BD$6),$AV1056,dNULL)</f>
        <v>-99</v>
      </c>
      <c r="BE1056">
        <f ca="1">IF(AND($AT1056&lt;3,OFFSET(DATA!$C$14,$AS1056,0)=BE$6),$AV1056,dNULL)</f>
        <v>-99</v>
      </c>
      <c r="BF1056">
        <f ca="1">IF(AND($AT1056&lt;3,OFFSET(DATA!$C$14,$AS1056,0)=BF$6),$AV1056,dNULL)</f>
        <v>-99</v>
      </c>
      <c r="BG1056">
        <f ca="1">IF(AND($AT1056&lt;3,OFFSET(DATA!$C$14,$AS1056,0)=BG$6),$AV1056,dNULL)</f>
        <v>-99</v>
      </c>
      <c r="BH1056">
        <f ca="1">IF(AND($AT1056&lt;3,OFFSET(DATA!$C$14,$AS1056,0)=BH$6),$AV1056,dNULL)</f>
        <v>-99</v>
      </c>
    </row>
    <row r="1057" spans="45:60" x14ac:dyDescent="0.25">
      <c r="AS1057">
        <f t="shared" si="152"/>
        <v>61</v>
      </c>
      <c r="AT1057">
        <f t="shared" si="153"/>
        <v>11</v>
      </c>
      <c r="AU1057">
        <f t="shared" ca="1" si="154"/>
        <v>-99</v>
      </c>
      <c r="AV1057">
        <f t="shared" ca="1" si="155"/>
        <v>-99</v>
      </c>
      <c r="AW1057">
        <f ca="1">IF(AND($AT1057&lt;3,OFFSET(DATA!$C$14,$AS1057,0)=AW$6),$AV1057,dNULL)</f>
        <v>-99</v>
      </c>
      <c r="AX1057">
        <f ca="1">IF(AND($AT1057&lt;3,OFFSET(DATA!$C$14,$AS1057,0)=AX$6),$AV1057,dNULL)</f>
        <v>-99</v>
      </c>
      <c r="AY1057">
        <f ca="1">IF(AND($AT1057&lt;3,OFFSET(DATA!$C$14,$AS1057,0)=AY$6),$AV1057,dNULL)</f>
        <v>-99</v>
      </c>
      <c r="AZ1057">
        <f ca="1">IF(AND($AT1057&lt;3,OFFSET(DATA!$C$14,$AS1057,0)=AZ$6),$AV1057,dNULL)</f>
        <v>-99</v>
      </c>
      <c r="BA1057">
        <f ca="1">IF(AND($AT1057&lt;3,OFFSET(DATA!$C$14,$AS1057,0)=BA$6),$AV1057,dNULL)</f>
        <v>-99</v>
      </c>
      <c r="BB1057">
        <f ca="1">IF(AND($AT1057&lt;3,OFFSET(DATA!$C$14,$AS1057,0)=BB$6),$AV1057,dNULL)</f>
        <v>-99</v>
      </c>
      <c r="BC1057">
        <f ca="1">IF(AND($AT1057&lt;3,OFFSET(DATA!$C$14,$AS1057,0)=BC$6),$AV1057,dNULL)</f>
        <v>-99</v>
      </c>
      <c r="BD1057">
        <f ca="1">IF(AND($AT1057&lt;3,OFFSET(DATA!$C$14,$AS1057,0)=BD$6),$AV1057,dNULL)</f>
        <v>-99</v>
      </c>
      <c r="BE1057">
        <f ca="1">IF(AND($AT1057&lt;3,OFFSET(DATA!$C$14,$AS1057,0)=BE$6),$AV1057,dNULL)</f>
        <v>-99</v>
      </c>
      <c r="BF1057">
        <f ca="1">IF(AND($AT1057&lt;3,OFFSET(DATA!$C$14,$AS1057,0)=BF$6),$AV1057,dNULL)</f>
        <v>-99</v>
      </c>
      <c r="BG1057">
        <f ca="1">IF(AND($AT1057&lt;3,OFFSET(DATA!$C$14,$AS1057,0)=BG$6),$AV1057,dNULL)</f>
        <v>-99</v>
      </c>
      <c r="BH1057">
        <f ca="1">IF(AND($AT1057&lt;3,OFFSET(DATA!$C$14,$AS1057,0)=BH$6),$AV1057,dNULL)</f>
        <v>-99</v>
      </c>
    </row>
    <row r="1058" spans="45:60" x14ac:dyDescent="0.25">
      <c r="AS1058">
        <f t="shared" si="152"/>
        <v>62</v>
      </c>
      <c r="AT1058">
        <f t="shared" si="153"/>
        <v>11</v>
      </c>
      <c r="AU1058">
        <f t="shared" ca="1" si="154"/>
        <v>-99</v>
      </c>
      <c r="AV1058">
        <f t="shared" ca="1" si="155"/>
        <v>-99</v>
      </c>
      <c r="AW1058">
        <f ca="1">IF(AND($AT1058&lt;3,OFFSET(DATA!$C$14,$AS1058,0)=AW$6),$AV1058,dNULL)</f>
        <v>-99</v>
      </c>
      <c r="AX1058">
        <f ca="1">IF(AND($AT1058&lt;3,OFFSET(DATA!$C$14,$AS1058,0)=AX$6),$AV1058,dNULL)</f>
        <v>-99</v>
      </c>
      <c r="AY1058">
        <f ca="1">IF(AND($AT1058&lt;3,OFFSET(DATA!$C$14,$AS1058,0)=AY$6),$AV1058,dNULL)</f>
        <v>-99</v>
      </c>
      <c r="AZ1058">
        <f ca="1">IF(AND($AT1058&lt;3,OFFSET(DATA!$C$14,$AS1058,0)=AZ$6),$AV1058,dNULL)</f>
        <v>-99</v>
      </c>
      <c r="BA1058">
        <f ca="1">IF(AND($AT1058&lt;3,OFFSET(DATA!$C$14,$AS1058,0)=BA$6),$AV1058,dNULL)</f>
        <v>-99</v>
      </c>
      <c r="BB1058">
        <f ca="1">IF(AND($AT1058&lt;3,OFFSET(DATA!$C$14,$AS1058,0)=BB$6),$AV1058,dNULL)</f>
        <v>-99</v>
      </c>
      <c r="BC1058">
        <f ca="1">IF(AND($AT1058&lt;3,OFFSET(DATA!$C$14,$AS1058,0)=BC$6),$AV1058,dNULL)</f>
        <v>-99</v>
      </c>
      <c r="BD1058">
        <f ca="1">IF(AND($AT1058&lt;3,OFFSET(DATA!$C$14,$AS1058,0)=BD$6),$AV1058,dNULL)</f>
        <v>-99</v>
      </c>
      <c r="BE1058">
        <f ca="1">IF(AND($AT1058&lt;3,OFFSET(DATA!$C$14,$AS1058,0)=BE$6),$AV1058,dNULL)</f>
        <v>-99</v>
      </c>
      <c r="BF1058">
        <f ca="1">IF(AND($AT1058&lt;3,OFFSET(DATA!$C$14,$AS1058,0)=BF$6),$AV1058,dNULL)</f>
        <v>-99</v>
      </c>
      <c r="BG1058">
        <f ca="1">IF(AND($AT1058&lt;3,OFFSET(DATA!$C$14,$AS1058,0)=BG$6),$AV1058,dNULL)</f>
        <v>-99</v>
      </c>
      <c r="BH1058">
        <f ca="1">IF(AND($AT1058&lt;3,OFFSET(DATA!$C$14,$AS1058,0)=BH$6),$AV1058,dNULL)</f>
        <v>-99</v>
      </c>
    </row>
    <row r="1059" spans="45:60" x14ac:dyDescent="0.25">
      <c r="AS1059">
        <f t="shared" si="152"/>
        <v>63</v>
      </c>
      <c r="AT1059">
        <f t="shared" si="153"/>
        <v>11</v>
      </c>
      <c r="AU1059">
        <f t="shared" ca="1" si="154"/>
        <v>-99</v>
      </c>
      <c r="AV1059">
        <f t="shared" ca="1" si="155"/>
        <v>-99</v>
      </c>
      <c r="AW1059">
        <f ca="1">IF(AND($AT1059&lt;3,OFFSET(DATA!$C$14,$AS1059,0)=AW$6),$AV1059,dNULL)</f>
        <v>-99</v>
      </c>
      <c r="AX1059">
        <f ca="1">IF(AND($AT1059&lt;3,OFFSET(DATA!$C$14,$AS1059,0)=AX$6),$AV1059,dNULL)</f>
        <v>-99</v>
      </c>
      <c r="AY1059">
        <f ca="1">IF(AND($AT1059&lt;3,OFFSET(DATA!$C$14,$AS1059,0)=AY$6),$AV1059,dNULL)</f>
        <v>-99</v>
      </c>
      <c r="AZ1059">
        <f ca="1">IF(AND($AT1059&lt;3,OFFSET(DATA!$C$14,$AS1059,0)=AZ$6),$AV1059,dNULL)</f>
        <v>-99</v>
      </c>
      <c r="BA1059">
        <f ca="1">IF(AND($AT1059&lt;3,OFFSET(DATA!$C$14,$AS1059,0)=BA$6),$AV1059,dNULL)</f>
        <v>-99</v>
      </c>
      <c r="BB1059">
        <f ca="1">IF(AND($AT1059&lt;3,OFFSET(DATA!$C$14,$AS1059,0)=BB$6),$AV1059,dNULL)</f>
        <v>-99</v>
      </c>
      <c r="BC1059">
        <f ca="1">IF(AND($AT1059&lt;3,OFFSET(DATA!$C$14,$AS1059,0)=BC$6),$AV1059,dNULL)</f>
        <v>-99</v>
      </c>
      <c r="BD1059">
        <f ca="1">IF(AND($AT1059&lt;3,OFFSET(DATA!$C$14,$AS1059,0)=BD$6),$AV1059,dNULL)</f>
        <v>-99</v>
      </c>
      <c r="BE1059">
        <f ca="1">IF(AND($AT1059&lt;3,OFFSET(DATA!$C$14,$AS1059,0)=BE$6),$AV1059,dNULL)</f>
        <v>-99</v>
      </c>
      <c r="BF1059">
        <f ca="1">IF(AND($AT1059&lt;3,OFFSET(DATA!$C$14,$AS1059,0)=BF$6),$AV1059,dNULL)</f>
        <v>-99</v>
      </c>
      <c r="BG1059">
        <f ca="1">IF(AND($AT1059&lt;3,OFFSET(DATA!$C$14,$AS1059,0)=BG$6),$AV1059,dNULL)</f>
        <v>-99</v>
      </c>
      <c r="BH1059">
        <f ca="1">IF(AND($AT1059&lt;3,OFFSET(DATA!$C$14,$AS1059,0)=BH$6),$AV1059,dNULL)</f>
        <v>-99</v>
      </c>
    </row>
    <row r="1060" spans="45:60" x14ac:dyDescent="0.25">
      <c r="AS1060">
        <f t="shared" si="152"/>
        <v>64</v>
      </c>
      <c r="AT1060">
        <f t="shared" si="153"/>
        <v>11</v>
      </c>
      <c r="AU1060">
        <f t="shared" ca="1" si="154"/>
        <v>-99</v>
      </c>
      <c r="AV1060">
        <f t="shared" ca="1" si="155"/>
        <v>-99</v>
      </c>
      <c r="AW1060">
        <f ca="1">IF(AND($AT1060&lt;3,OFFSET(DATA!$C$14,$AS1060,0)=AW$6),$AV1060,dNULL)</f>
        <v>-99</v>
      </c>
      <c r="AX1060">
        <f ca="1">IF(AND($AT1060&lt;3,OFFSET(DATA!$C$14,$AS1060,0)=AX$6),$AV1060,dNULL)</f>
        <v>-99</v>
      </c>
      <c r="AY1060">
        <f ca="1">IF(AND($AT1060&lt;3,OFFSET(DATA!$C$14,$AS1060,0)=AY$6),$AV1060,dNULL)</f>
        <v>-99</v>
      </c>
      <c r="AZ1060">
        <f ca="1">IF(AND($AT1060&lt;3,OFFSET(DATA!$C$14,$AS1060,0)=AZ$6),$AV1060,dNULL)</f>
        <v>-99</v>
      </c>
      <c r="BA1060">
        <f ca="1">IF(AND($AT1060&lt;3,OFFSET(DATA!$C$14,$AS1060,0)=BA$6),$AV1060,dNULL)</f>
        <v>-99</v>
      </c>
      <c r="BB1060">
        <f ca="1">IF(AND($AT1060&lt;3,OFFSET(DATA!$C$14,$AS1060,0)=BB$6),$AV1060,dNULL)</f>
        <v>-99</v>
      </c>
      <c r="BC1060">
        <f ca="1">IF(AND($AT1060&lt;3,OFFSET(DATA!$C$14,$AS1060,0)=BC$6),$AV1060,dNULL)</f>
        <v>-99</v>
      </c>
      <c r="BD1060">
        <f ca="1">IF(AND($AT1060&lt;3,OFFSET(DATA!$C$14,$AS1060,0)=BD$6),$AV1060,dNULL)</f>
        <v>-99</v>
      </c>
      <c r="BE1060">
        <f ca="1">IF(AND($AT1060&lt;3,OFFSET(DATA!$C$14,$AS1060,0)=BE$6),$AV1060,dNULL)</f>
        <v>-99</v>
      </c>
      <c r="BF1060">
        <f ca="1">IF(AND($AT1060&lt;3,OFFSET(DATA!$C$14,$AS1060,0)=BF$6),$AV1060,dNULL)</f>
        <v>-99</v>
      </c>
      <c r="BG1060">
        <f ca="1">IF(AND($AT1060&lt;3,OFFSET(DATA!$C$14,$AS1060,0)=BG$6),$AV1060,dNULL)</f>
        <v>-99</v>
      </c>
      <c r="BH1060">
        <f ca="1">IF(AND($AT1060&lt;3,OFFSET(DATA!$C$14,$AS1060,0)=BH$6),$AV1060,dNULL)</f>
        <v>-99</v>
      </c>
    </row>
    <row r="1061" spans="45:60" x14ac:dyDescent="0.25">
      <c r="AS1061">
        <f t="shared" si="152"/>
        <v>65</v>
      </c>
      <c r="AT1061">
        <f t="shared" si="153"/>
        <v>11</v>
      </c>
      <c r="AU1061">
        <f t="shared" ca="1" si="154"/>
        <v>-99</v>
      </c>
      <c r="AV1061">
        <f t="shared" ca="1" si="155"/>
        <v>-99</v>
      </c>
      <c r="AW1061">
        <f ca="1">IF(AND($AT1061&lt;3,OFFSET(DATA!$C$14,$AS1061,0)=AW$6),$AV1061,dNULL)</f>
        <v>-99</v>
      </c>
      <c r="AX1061">
        <f ca="1">IF(AND($AT1061&lt;3,OFFSET(DATA!$C$14,$AS1061,0)=AX$6),$AV1061,dNULL)</f>
        <v>-99</v>
      </c>
      <c r="AY1061">
        <f ca="1">IF(AND($AT1061&lt;3,OFFSET(DATA!$C$14,$AS1061,0)=AY$6),$AV1061,dNULL)</f>
        <v>-99</v>
      </c>
      <c r="AZ1061">
        <f ca="1">IF(AND($AT1061&lt;3,OFFSET(DATA!$C$14,$AS1061,0)=AZ$6),$AV1061,dNULL)</f>
        <v>-99</v>
      </c>
      <c r="BA1061">
        <f ca="1">IF(AND($AT1061&lt;3,OFFSET(DATA!$C$14,$AS1061,0)=BA$6),$AV1061,dNULL)</f>
        <v>-99</v>
      </c>
      <c r="BB1061">
        <f ca="1">IF(AND($AT1061&lt;3,OFFSET(DATA!$C$14,$AS1061,0)=BB$6),$AV1061,dNULL)</f>
        <v>-99</v>
      </c>
      <c r="BC1061">
        <f ca="1">IF(AND($AT1061&lt;3,OFFSET(DATA!$C$14,$AS1061,0)=BC$6),$AV1061,dNULL)</f>
        <v>-99</v>
      </c>
      <c r="BD1061">
        <f ca="1">IF(AND($AT1061&lt;3,OFFSET(DATA!$C$14,$AS1061,0)=BD$6),$AV1061,dNULL)</f>
        <v>-99</v>
      </c>
      <c r="BE1061">
        <f ca="1">IF(AND($AT1061&lt;3,OFFSET(DATA!$C$14,$AS1061,0)=BE$6),$AV1061,dNULL)</f>
        <v>-99</v>
      </c>
      <c r="BF1061">
        <f ca="1">IF(AND($AT1061&lt;3,OFFSET(DATA!$C$14,$AS1061,0)=BF$6),$AV1061,dNULL)</f>
        <v>-99</v>
      </c>
      <c r="BG1061">
        <f ca="1">IF(AND($AT1061&lt;3,OFFSET(DATA!$C$14,$AS1061,0)=BG$6),$AV1061,dNULL)</f>
        <v>-99</v>
      </c>
      <c r="BH1061">
        <f ca="1">IF(AND($AT1061&lt;3,OFFSET(DATA!$C$14,$AS1061,0)=BH$6),$AV1061,dNULL)</f>
        <v>-99</v>
      </c>
    </row>
    <row r="1062" spans="45:60" x14ac:dyDescent="0.25">
      <c r="AS1062">
        <f t="shared" si="152"/>
        <v>66</v>
      </c>
      <c r="AT1062">
        <f t="shared" si="153"/>
        <v>11</v>
      </c>
      <c r="AU1062">
        <f t="shared" ca="1" si="154"/>
        <v>-99</v>
      </c>
      <c r="AV1062">
        <f t="shared" ca="1" si="155"/>
        <v>-99</v>
      </c>
      <c r="AW1062">
        <f ca="1">IF(AND($AT1062&lt;3,OFFSET(DATA!$C$14,$AS1062,0)=AW$6),$AV1062,dNULL)</f>
        <v>-99</v>
      </c>
      <c r="AX1062">
        <f ca="1">IF(AND($AT1062&lt;3,OFFSET(DATA!$C$14,$AS1062,0)=AX$6),$AV1062,dNULL)</f>
        <v>-99</v>
      </c>
      <c r="AY1062">
        <f ca="1">IF(AND($AT1062&lt;3,OFFSET(DATA!$C$14,$AS1062,0)=AY$6),$AV1062,dNULL)</f>
        <v>-99</v>
      </c>
      <c r="AZ1062">
        <f ca="1">IF(AND($AT1062&lt;3,OFFSET(DATA!$C$14,$AS1062,0)=AZ$6),$AV1062,dNULL)</f>
        <v>-99</v>
      </c>
      <c r="BA1062">
        <f ca="1">IF(AND($AT1062&lt;3,OFFSET(DATA!$C$14,$AS1062,0)=BA$6),$AV1062,dNULL)</f>
        <v>-99</v>
      </c>
      <c r="BB1062">
        <f ca="1">IF(AND($AT1062&lt;3,OFFSET(DATA!$C$14,$AS1062,0)=BB$6),$AV1062,dNULL)</f>
        <v>-99</v>
      </c>
      <c r="BC1062">
        <f ca="1">IF(AND($AT1062&lt;3,OFFSET(DATA!$C$14,$AS1062,0)=BC$6),$AV1062,dNULL)</f>
        <v>-99</v>
      </c>
      <c r="BD1062">
        <f ca="1">IF(AND($AT1062&lt;3,OFFSET(DATA!$C$14,$AS1062,0)=BD$6),$AV1062,dNULL)</f>
        <v>-99</v>
      </c>
      <c r="BE1062">
        <f ca="1">IF(AND($AT1062&lt;3,OFFSET(DATA!$C$14,$AS1062,0)=BE$6),$AV1062,dNULL)</f>
        <v>-99</v>
      </c>
      <c r="BF1062">
        <f ca="1">IF(AND($AT1062&lt;3,OFFSET(DATA!$C$14,$AS1062,0)=BF$6),$AV1062,dNULL)</f>
        <v>-99</v>
      </c>
      <c r="BG1062">
        <f ca="1">IF(AND($AT1062&lt;3,OFFSET(DATA!$C$14,$AS1062,0)=BG$6),$AV1062,dNULL)</f>
        <v>-99</v>
      </c>
      <c r="BH1062">
        <f ca="1">IF(AND($AT1062&lt;3,OFFSET(DATA!$C$14,$AS1062,0)=BH$6),$AV1062,dNULL)</f>
        <v>-99</v>
      </c>
    </row>
    <row r="1063" spans="45:60" x14ac:dyDescent="0.25">
      <c r="AS1063">
        <f t="shared" si="152"/>
        <v>67</v>
      </c>
      <c r="AT1063">
        <f t="shared" si="153"/>
        <v>11</v>
      </c>
      <c r="AU1063">
        <f t="shared" ca="1" si="154"/>
        <v>-99</v>
      </c>
      <c r="AV1063">
        <f t="shared" ca="1" si="155"/>
        <v>-99</v>
      </c>
      <c r="AW1063">
        <f ca="1">IF(AND($AT1063&lt;3,OFFSET(DATA!$C$14,$AS1063,0)=AW$6),$AV1063,dNULL)</f>
        <v>-99</v>
      </c>
      <c r="AX1063">
        <f ca="1">IF(AND($AT1063&lt;3,OFFSET(DATA!$C$14,$AS1063,0)=AX$6),$AV1063,dNULL)</f>
        <v>-99</v>
      </c>
      <c r="AY1063">
        <f ca="1">IF(AND($AT1063&lt;3,OFFSET(DATA!$C$14,$AS1063,0)=AY$6),$AV1063,dNULL)</f>
        <v>-99</v>
      </c>
      <c r="AZ1063">
        <f ca="1">IF(AND($AT1063&lt;3,OFFSET(DATA!$C$14,$AS1063,0)=AZ$6),$AV1063,dNULL)</f>
        <v>-99</v>
      </c>
      <c r="BA1063">
        <f ca="1">IF(AND($AT1063&lt;3,OFFSET(DATA!$C$14,$AS1063,0)=BA$6),$AV1063,dNULL)</f>
        <v>-99</v>
      </c>
      <c r="BB1063">
        <f ca="1">IF(AND($AT1063&lt;3,OFFSET(DATA!$C$14,$AS1063,0)=BB$6),$AV1063,dNULL)</f>
        <v>-99</v>
      </c>
      <c r="BC1063">
        <f ca="1">IF(AND($AT1063&lt;3,OFFSET(DATA!$C$14,$AS1063,0)=BC$6),$AV1063,dNULL)</f>
        <v>-99</v>
      </c>
      <c r="BD1063">
        <f ca="1">IF(AND($AT1063&lt;3,OFFSET(DATA!$C$14,$AS1063,0)=BD$6),$AV1063,dNULL)</f>
        <v>-99</v>
      </c>
      <c r="BE1063">
        <f ca="1">IF(AND($AT1063&lt;3,OFFSET(DATA!$C$14,$AS1063,0)=BE$6),$AV1063,dNULL)</f>
        <v>-99</v>
      </c>
      <c r="BF1063">
        <f ca="1">IF(AND($AT1063&lt;3,OFFSET(DATA!$C$14,$AS1063,0)=BF$6),$AV1063,dNULL)</f>
        <v>-99</v>
      </c>
      <c r="BG1063">
        <f ca="1">IF(AND($AT1063&lt;3,OFFSET(DATA!$C$14,$AS1063,0)=BG$6),$AV1063,dNULL)</f>
        <v>-99</v>
      </c>
      <c r="BH1063">
        <f ca="1">IF(AND($AT1063&lt;3,OFFSET(DATA!$C$14,$AS1063,0)=BH$6),$AV1063,dNULL)</f>
        <v>-99</v>
      </c>
    </row>
    <row r="1064" spans="45:60" x14ac:dyDescent="0.25">
      <c r="AS1064">
        <f t="shared" si="152"/>
        <v>68</v>
      </c>
      <c r="AT1064">
        <f t="shared" si="153"/>
        <v>11</v>
      </c>
      <c r="AU1064">
        <f t="shared" ca="1" si="154"/>
        <v>-99</v>
      </c>
      <c r="AV1064">
        <f t="shared" ca="1" si="155"/>
        <v>-99</v>
      </c>
      <c r="AW1064">
        <f ca="1">IF(AND($AT1064&lt;3,OFFSET(DATA!$C$14,$AS1064,0)=AW$6),$AV1064,dNULL)</f>
        <v>-99</v>
      </c>
      <c r="AX1064">
        <f ca="1">IF(AND($AT1064&lt;3,OFFSET(DATA!$C$14,$AS1064,0)=AX$6),$AV1064,dNULL)</f>
        <v>-99</v>
      </c>
      <c r="AY1064">
        <f ca="1">IF(AND($AT1064&lt;3,OFFSET(DATA!$C$14,$AS1064,0)=AY$6),$AV1064,dNULL)</f>
        <v>-99</v>
      </c>
      <c r="AZ1064">
        <f ca="1">IF(AND($AT1064&lt;3,OFFSET(DATA!$C$14,$AS1064,0)=AZ$6),$AV1064,dNULL)</f>
        <v>-99</v>
      </c>
      <c r="BA1064">
        <f ca="1">IF(AND($AT1064&lt;3,OFFSET(DATA!$C$14,$AS1064,0)=BA$6),$AV1064,dNULL)</f>
        <v>-99</v>
      </c>
      <c r="BB1064">
        <f ca="1">IF(AND($AT1064&lt;3,OFFSET(DATA!$C$14,$AS1064,0)=BB$6),$AV1064,dNULL)</f>
        <v>-99</v>
      </c>
      <c r="BC1064">
        <f ca="1">IF(AND($AT1064&lt;3,OFFSET(DATA!$C$14,$AS1064,0)=BC$6),$AV1064,dNULL)</f>
        <v>-99</v>
      </c>
      <c r="BD1064">
        <f ca="1">IF(AND($AT1064&lt;3,OFFSET(DATA!$C$14,$AS1064,0)=BD$6),$AV1064,dNULL)</f>
        <v>-99</v>
      </c>
      <c r="BE1064">
        <f ca="1">IF(AND($AT1064&lt;3,OFFSET(DATA!$C$14,$AS1064,0)=BE$6),$AV1064,dNULL)</f>
        <v>-99</v>
      </c>
      <c r="BF1064">
        <f ca="1">IF(AND($AT1064&lt;3,OFFSET(DATA!$C$14,$AS1064,0)=BF$6),$AV1064,dNULL)</f>
        <v>-99</v>
      </c>
      <c r="BG1064">
        <f ca="1">IF(AND($AT1064&lt;3,OFFSET(DATA!$C$14,$AS1064,0)=BG$6),$AV1064,dNULL)</f>
        <v>-99</v>
      </c>
      <c r="BH1064">
        <f ca="1">IF(AND($AT1064&lt;3,OFFSET(DATA!$C$14,$AS1064,0)=BH$6),$AV1064,dNULL)</f>
        <v>-99</v>
      </c>
    </row>
    <row r="1065" spans="45:60" x14ac:dyDescent="0.25">
      <c r="AS1065">
        <f t="shared" si="152"/>
        <v>69</v>
      </c>
      <c r="AT1065">
        <f t="shared" si="153"/>
        <v>11</v>
      </c>
      <c r="AU1065">
        <f t="shared" ca="1" si="154"/>
        <v>-99</v>
      </c>
      <c r="AV1065">
        <f t="shared" ca="1" si="155"/>
        <v>-99</v>
      </c>
      <c r="AW1065">
        <f ca="1">IF(AND($AT1065&lt;3,OFFSET(DATA!$C$14,$AS1065,0)=AW$6),$AV1065,dNULL)</f>
        <v>-99</v>
      </c>
      <c r="AX1065">
        <f ca="1">IF(AND($AT1065&lt;3,OFFSET(DATA!$C$14,$AS1065,0)=AX$6),$AV1065,dNULL)</f>
        <v>-99</v>
      </c>
      <c r="AY1065">
        <f ca="1">IF(AND($AT1065&lt;3,OFFSET(DATA!$C$14,$AS1065,0)=AY$6),$AV1065,dNULL)</f>
        <v>-99</v>
      </c>
      <c r="AZ1065">
        <f ca="1">IF(AND($AT1065&lt;3,OFFSET(DATA!$C$14,$AS1065,0)=AZ$6),$AV1065,dNULL)</f>
        <v>-99</v>
      </c>
      <c r="BA1065">
        <f ca="1">IF(AND($AT1065&lt;3,OFFSET(DATA!$C$14,$AS1065,0)=BA$6),$AV1065,dNULL)</f>
        <v>-99</v>
      </c>
      <c r="BB1065">
        <f ca="1">IF(AND($AT1065&lt;3,OFFSET(DATA!$C$14,$AS1065,0)=BB$6),$AV1065,dNULL)</f>
        <v>-99</v>
      </c>
      <c r="BC1065">
        <f ca="1">IF(AND($AT1065&lt;3,OFFSET(DATA!$C$14,$AS1065,0)=BC$6),$AV1065,dNULL)</f>
        <v>-99</v>
      </c>
      <c r="BD1065">
        <f ca="1">IF(AND($AT1065&lt;3,OFFSET(DATA!$C$14,$AS1065,0)=BD$6),$AV1065,dNULL)</f>
        <v>-99</v>
      </c>
      <c r="BE1065">
        <f ca="1">IF(AND($AT1065&lt;3,OFFSET(DATA!$C$14,$AS1065,0)=BE$6),$AV1065,dNULL)</f>
        <v>-99</v>
      </c>
      <c r="BF1065">
        <f ca="1">IF(AND($AT1065&lt;3,OFFSET(DATA!$C$14,$AS1065,0)=BF$6),$AV1065,dNULL)</f>
        <v>-99</v>
      </c>
      <c r="BG1065">
        <f ca="1">IF(AND($AT1065&lt;3,OFFSET(DATA!$C$14,$AS1065,0)=BG$6),$AV1065,dNULL)</f>
        <v>-99</v>
      </c>
      <c r="BH1065">
        <f ca="1">IF(AND($AT1065&lt;3,OFFSET(DATA!$C$14,$AS1065,0)=BH$6),$AV1065,dNULL)</f>
        <v>-99</v>
      </c>
    </row>
    <row r="1066" spans="45:60" x14ac:dyDescent="0.25">
      <c r="AS1066">
        <f t="shared" si="152"/>
        <v>70</v>
      </c>
      <c r="AT1066">
        <f t="shared" si="153"/>
        <v>11</v>
      </c>
      <c r="AU1066">
        <f t="shared" ca="1" si="154"/>
        <v>-99</v>
      </c>
      <c r="AV1066">
        <f t="shared" ca="1" si="155"/>
        <v>-99</v>
      </c>
      <c r="AW1066">
        <f ca="1">IF(AND($AT1066&lt;3,OFFSET(DATA!$C$14,$AS1066,0)=AW$6),$AV1066,dNULL)</f>
        <v>-99</v>
      </c>
      <c r="AX1066">
        <f ca="1">IF(AND($AT1066&lt;3,OFFSET(DATA!$C$14,$AS1066,0)=AX$6),$AV1066,dNULL)</f>
        <v>-99</v>
      </c>
      <c r="AY1066">
        <f ca="1">IF(AND($AT1066&lt;3,OFFSET(DATA!$C$14,$AS1066,0)=AY$6),$AV1066,dNULL)</f>
        <v>-99</v>
      </c>
      <c r="AZ1066">
        <f ca="1">IF(AND($AT1066&lt;3,OFFSET(DATA!$C$14,$AS1066,0)=AZ$6),$AV1066,dNULL)</f>
        <v>-99</v>
      </c>
      <c r="BA1066">
        <f ca="1">IF(AND($AT1066&lt;3,OFFSET(DATA!$C$14,$AS1066,0)=BA$6),$AV1066,dNULL)</f>
        <v>-99</v>
      </c>
      <c r="BB1066">
        <f ca="1">IF(AND($AT1066&lt;3,OFFSET(DATA!$C$14,$AS1066,0)=BB$6),$AV1066,dNULL)</f>
        <v>-99</v>
      </c>
      <c r="BC1066">
        <f ca="1">IF(AND($AT1066&lt;3,OFFSET(DATA!$C$14,$AS1066,0)=BC$6),$AV1066,dNULL)</f>
        <v>-99</v>
      </c>
      <c r="BD1066">
        <f ca="1">IF(AND($AT1066&lt;3,OFFSET(DATA!$C$14,$AS1066,0)=BD$6),$AV1066,dNULL)</f>
        <v>-99</v>
      </c>
      <c r="BE1066">
        <f ca="1">IF(AND($AT1066&lt;3,OFFSET(DATA!$C$14,$AS1066,0)=BE$6),$AV1066,dNULL)</f>
        <v>-99</v>
      </c>
      <c r="BF1066">
        <f ca="1">IF(AND($AT1066&lt;3,OFFSET(DATA!$C$14,$AS1066,0)=BF$6),$AV1066,dNULL)</f>
        <v>-99</v>
      </c>
      <c r="BG1066">
        <f ca="1">IF(AND($AT1066&lt;3,OFFSET(DATA!$C$14,$AS1066,0)=BG$6),$AV1066,dNULL)</f>
        <v>-99</v>
      </c>
      <c r="BH1066">
        <f ca="1">IF(AND($AT1066&lt;3,OFFSET(DATA!$C$14,$AS1066,0)=BH$6),$AV1066,dNULL)</f>
        <v>-99</v>
      </c>
    </row>
    <row r="1067" spans="45:60" x14ac:dyDescent="0.25">
      <c r="AS1067">
        <f t="shared" si="152"/>
        <v>71</v>
      </c>
      <c r="AT1067">
        <f t="shared" si="153"/>
        <v>11</v>
      </c>
      <c r="AU1067">
        <f t="shared" ca="1" si="154"/>
        <v>-99</v>
      </c>
      <c r="AV1067">
        <f t="shared" ca="1" si="155"/>
        <v>-99</v>
      </c>
      <c r="AW1067">
        <f ca="1">IF(AND($AT1067&lt;3,OFFSET(DATA!$C$14,$AS1067,0)=AW$6),$AV1067,dNULL)</f>
        <v>-99</v>
      </c>
      <c r="AX1067">
        <f ca="1">IF(AND($AT1067&lt;3,OFFSET(DATA!$C$14,$AS1067,0)=AX$6),$AV1067,dNULL)</f>
        <v>-99</v>
      </c>
      <c r="AY1067">
        <f ca="1">IF(AND($AT1067&lt;3,OFFSET(DATA!$C$14,$AS1067,0)=AY$6),$AV1067,dNULL)</f>
        <v>-99</v>
      </c>
      <c r="AZ1067">
        <f ca="1">IF(AND($AT1067&lt;3,OFFSET(DATA!$C$14,$AS1067,0)=AZ$6),$AV1067,dNULL)</f>
        <v>-99</v>
      </c>
      <c r="BA1067">
        <f ca="1">IF(AND($AT1067&lt;3,OFFSET(DATA!$C$14,$AS1067,0)=BA$6),$AV1067,dNULL)</f>
        <v>-99</v>
      </c>
      <c r="BB1067">
        <f ca="1">IF(AND($AT1067&lt;3,OFFSET(DATA!$C$14,$AS1067,0)=BB$6),$AV1067,dNULL)</f>
        <v>-99</v>
      </c>
      <c r="BC1067">
        <f ca="1">IF(AND($AT1067&lt;3,OFFSET(DATA!$C$14,$AS1067,0)=BC$6),$AV1067,dNULL)</f>
        <v>-99</v>
      </c>
      <c r="BD1067">
        <f ca="1">IF(AND($AT1067&lt;3,OFFSET(DATA!$C$14,$AS1067,0)=BD$6),$AV1067,dNULL)</f>
        <v>-99</v>
      </c>
      <c r="BE1067">
        <f ca="1">IF(AND($AT1067&lt;3,OFFSET(DATA!$C$14,$AS1067,0)=BE$6),$AV1067,dNULL)</f>
        <v>-99</v>
      </c>
      <c r="BF1067">
        <f ca="1">IF(AND($AT1067&lt;3,OFFSET(DATA!$C$14,$AS1067,0)=BF$6),$AV1067,dNULL)</f>
        <v>-99</v>
      </c>
      <c r="BG1067">
        <f ca="1">IF(AND($AT1067&lt;3,OFFSET(DATA!$C$14,$AS1067,0)=BG$6),$AV1067,dNULL)</f>
        <v>-99</v>
      </c>
      <c r="BH1067">
        <f ca="1">IF(AND($AT1067&lt;3,OFFSET(DATA!$C$14,$AS1067,0)=BH$6),$AV1067,dNULL)</f>
        <v>-99</v>
      </c>
    </row>
    <row r="1068" spans="45:60" x14ac:dyDescent="0.25">
      <c r="AS1068">
        <f t="shared" si="152"/>
        <v>72</v>
      </c>
      <c r="AT1068">
        <f t="shared" si="153"/>
        <v>11</v>
      </c>
      <c r="AU1068">
        <f t="shared" ca="1" si="154"/>
        <v>-99</v>
      </c>
      <c r="AV1068">
        <f t="shared" ca="1" si="155"/>
        <v>-99</v>
      </c>
      <c r="AW1068">
        <f ca="1">IF(AND($AT1068&lt;3,OFFSET(DATA!$C$14,$AS1068,0)=AW$6),$AV1068,dNULL)</f>
        <v>-99</v>
      </c>
      <c r="AX1068">
        <f ca="1">IF(AND($AT1068&lt;3,OFFSET(DATA!$C$14,$AS1068,0)=AX$6),$AV1068,dNULL)</f>
        <v>-99</v>
      </c>
      <c r="AY1068">
        <f ca="1">IF(AND($AT1068&lt;3,OFFSET(DATA!$C$14,$AS1068,0)=AY$6),$AV1068,dNULL)</f>
        <v>-99</v>
      </c>
      <c r="AZ1068">
        <f ca="1">IF(AND($AT1068&lt;3,OFFSET(DATA!$C$14,$AS1068,0)=AZ$6),$AV1068,dNULL)</f>
        <v>-99</v>
      </c>
      <c r="BA1068">
        <f ca="1">IF(AND($AT1068&lt;3,OFFSET(DATA!$C$14,$AS1068,0)=BA$6),$AV1068,dNULL)</f>
        <v>-99</v>
      </c>
      <c r="BB1068">
        <f ca="1">IF(AND($AT1068&lt;3,OFFSET(DATA!$C$14,$AS1068,0)=BB$6),$AV1068,dNULL)</f>
        <v>-99</v>
      </c>
      <c r="BC1068">
        <f ca="1">IF(AND($AT1068&lt;3,OFFSET(DATA!$C$14,$AS1068,0)=BC$6),$AV1068,dNULL)</f>
        <v>-99</v>
      </c>
      <c r="BD1068">
        <f ca="1">IF(AND($AT1068&lt;3,OFFSET(DATA!$C$14,$AS1068,0)=BD$6),$AV1068,dNULL)</f>
        <v>-99</v>
      </c>
      <c r="BE1068">
        <f ca="1">IF(AND($AT1068&lt;3,OFFSET(DATA!$C$14,$AS1068,0)=BE$6),$AV1068,dNULL)</f>
        <v>-99</v>
      </c>
      <c r="BF1068">
        <f ca="1">IF(AND($AT1068&lt;3,OFFSET(DATA!$C$14,$AS1068,0)=BF$6),$AV1068,dNULL)</f>
        <v>-99</v>
      </c>
      <c r="BG1068">
        <f ca="1">IF(AND($AT1068&lt;3,OFFSET(DATA!$C$14,$AS1068,0)=BG$6),$AV1068,dNULL)</f>
        <v>-99</v>
      </c>
      <c r="BH1068">
        <f ca="1">IF(AND($AT1068&lt;3,OFFSET(DATA!$C$14,$AS1068,0)=BH$6),$AV1068,dNULL)</f>
        <v>-99</v>
      </c>
    </row>
    <row r="1069" spans="45:60" x14ac:dyDescent="0.25">
      <c r="AS1069">
        <f t="shared" si="152"/>
        <v>73</v>
      </c>
      <c r="AT1069">
        <f t="shared" si="153"/>
        <v>11</v>
      </c>
      <c r="AU1069">
        <f t="shared" ca="1" si="154"/>
        <v>-99</v>
      </c>
      <c r="AV1069">
        <f t="shared" ca="1" si="155"/>
        <v>-99</v>
      </c>
      <c r="AW1069">
        <f ca="1">IF(AND($AT1069&lt;3,OFFSET(DATA!$C$14,$AS1069,0)=AW$6),$AV1069,dNULL)</f>
        <v>-99</v>
      </c>
      <c r="AX1069">
        <f ca="1">IF(AND($AT1069&lt;3,OFFSET(DATA!$C$14,$AS1069,0)=AX$6),$AV1069,dNULL)</f>
        <v>-99</v>
      </c>
      <c r="AY1069">
        <f ca="1">IF(AND($AT1069&lt;3,OFFSET(DATA!$C$14,$AS1069,0)=AY$6),$AV1069,dNULL)</f>
        <v>-99</v>
      </c>
      <c r="AZ1069">
        <f ca="1">IF(AND($AT1069&lt;3,OFFSET(DATA!$C$14,$AS1069,0)=AZ$6),$AV1069,dNULL)</f>
        <v>-99</v>
      </c>
      <c r="BA1069">
        <f ca="1">IF(AND($AT1069&lt;3,OFFSET(DATA!$C$14,$AS1069,0)=BA$6),$AV1069,dNULL)</f>
        <v>-99</v>
      </c>
      <c r="BB1069">
        <f ca="1">IF(AND($AT1069&lt;3,OFFSET(DATA!$C$14,$AS1069,0)=BB$6),$AV1069,dNULL)</f>
        <v>-99</v>
      </c>
      <c r="BC1069">
        <f ca="1">IF(AND($AT1069&lt;3,OFFSET(DATA!$C$14,$AS1069,0)=BC$6),$AV1069,dNULL)</f>
        <v>-99</v>
      </c>
      <c r="BD1069">
        <f ca="1">IF(AND($AT1069&lt;3,OFFSET(DATA!$C$14,$AS1069,0)=BD$6),$AV1069,dNULL)</f>
        <v>-99</v>
      </c>
      <c r="BE1069">
        <f ca="1">IF(AND($AT1069&lt;3,OFFSET(DATA!$C$14,$AS1069,0)=BE$6),$AV1069,dNULL)</f>
        <v>-99</v>
      </c>
      <c r="BF1069">
        <f ca="1">IF(AND($AT1069&lt;3,OFFSET(DATA!$C$14,$AS1069,0)=BF$6),$AV1069,dNULL)</f>
        <v>-99</v>
      </c>
      <c r="BG1069">
        <f ca="1">IF(AND($AT1069&lt;3,OFFSET(DATA!$C$14,$AS1069,0)=BG$6),$AV1069,dNULL)</f>
        <v>-99</v>
      </c>
      <c r="BH1069">
        <f ca="1">IF(AND($AT1069&lt;3,OFFSET(DATA!$C$14,$AS1069,0)=BH$6),$AV1069,dNULL)</f>
        <v>-99</v>
      </c>
    </row>
    <row r="1070" spans="45:60" x14ac:dyDescent="0.25">
      <c r="AS1070">
        <f t="shared" si="152"/>
        <v>74</v>
      </c>
      <c r="AT1070">
        <f t="shared" si="153"/>
        <v>11</v>
      </c>
      <c r="AU1070">
        <f t="shared" ca="1" si="154"/>
        <v>-99</v>
      </c>
      <c r="AV1070">
        <f t="shared" ca="1" si="155"/>
        <v>-99</v>
      </c>
      <c r="AW1070">
        <f ca="1">IF(AND($AT1070&lt;3,OFFSET(DATA!$C$14,$AS1070,0)=AW$6),$AV1070,dNULL)</f>
        <v>-99</v>
      </c>
      <c r="AX1070">
        <f ca="1">IF(AND($AT1070&lt;3,OFFSET(DATA!$C$14,$AS1070,0)=AX$6),$AV1070,dNULL)</f>
        <v>-99</v>
      </c>
      <c r="AY1070">
        <f ca="1">IF(AND($AT1070&lt;3,OFFSET(DATA!$C$14,$AS1070,0)=AY$6),$AV1070,dNULL)</f>
        <v>-99</v>
      </c>
      <c r="AZ1070">
        <f ca="1">IF(AND($AT1070&lt;3,OFFSET(DATA!$C$14,$AS1070,0)=AZ$6),$AV1070,dNULL)</f>
        <v>-99</v>
      </c>
      <c r="BA1070">
        <f ca="1">IF(AND($AT1070&lt;3,OFFSET(DATA!$C$14,$AS1070,0)=BA$6),$AV1070,dNULL)</f>
        <v>-99</v>
      </c>
      <c r="BB1070">
        <f ca="1">IF(AND($AT1070&lt;3,OFFSET(DATA!$C$14,$AS1070,0)=BB$6),$AV1070,dNULL)</f>
        <v>-99</v>
      </c>
      <c r="BC1070">
        <f ca="1">IF(AND($AT1070&lt;3,OFFSET(DATA!$C$14,$AS1070,0)=BC$6),$AV1070,dNULL)</f>
        <v>-99</v>
      </c>
      <c r="BD1070">
        <f ca="1">IF(AND($AT1070&lt;3,OFFSET(DATA!$C$14,$AS1070,0)=BD$6),$AV1070,dNULL)</f>
        <v>-99</v>
      </c>
      <c r="BE1070">
        <f ca="1">IF(AND($AT1070&lt;3,OFFSET(DATA!$C$14,$AS1070,0)=BE$6),$AV1070,dNULL)</f>
        <v>-99</v>
      </c>
      <c r="BF1070">
        <f ca="1">IF(AND($AT1070&lt;3,OFFSET(DATA!$C$14,$AS1070,0)=BF$6),$AV1070,dNULL)</f>
        <v>-99</v>
      </c>
      <c r="BG1070">
        <f ca="1">IF(AND($AT1070&lt;3,OFFSET(DATA!$C$14,$AS1070,0)=BG$6),$AV1070,dNULL)</f>
        <v>-99</v>
      </c>
      <c r="BH1070">
        <f ca="1">IF(AND($AT1070&lt;3,OFFSET(DATA!$C$14,$AS1070,0)=BH$6),$AV1070,dNULL)</f>
        <v>-99</v>
      </c>
    </row>
    <row r="1071" spans="45:60" x14ac:dyDescent="0.25">
      <c r="AS1071">
        <f t="shared" si="152"/>
        <v>75</v>
      </c>
      <c r="AT1071">
        <f t="shared" si="153"/>
        <v>11</v>
      </c>
      <c r="AU1071">
        <f t="shared" ca="1" si="154"/>
        <v>-99</v>
      </c>
      <c r="AV1071">
        <f t="shared" ca="1" si="155"/>
        <v>-99</v>
      </c>
      <c r="AW1071">
        <f ca="1">IF(AND($AT1071&lt;3,OFFSET(DATA!$C$14,$AS1071,0)=AW$6),$AV1071,dNULL)</f>
        <v>-99</v>
      </c>
      <c r="AX1071">
        <f ca="1">IF(AND($AT1071&lt;3,OFFSET(DATA!$C$14,$AS1071,0)=AX$6),$AV1071,dNULL)</f>
        <v>-99</v>
      </c>
      <c r="AY1071">
        <f ca="1">IF(AND($AT1071&lt;3,OFFSET(DATA!$C$14,$AS1071,0)=AY$6),$AV1071,dNULL)</f>
        <v>-99</v>
      </c>
      <c r="AZ1071">
        <f ca="1">IF(AND($AT1071&lt;3,OFFSET(DATA!$C$14,$AS1071,0)=AZ$6),$AV1071,dNULL)</f>
        <v>-99</v>
      </c>
      <c r="BA1071">
        <f ca="1">IF(AND($AT1071&lt;3,OFFSET(DATA!$C$14,$AS1071,0)=BA$6),$AV1071,dNULL)</f>
        <v>-99</v>
      </c>
      <c r="BB1071">
        <f ca="1">IF(AND($AT1071&lt;3,OFFSET(DATA!$C$14,$AS1071,0)=BB$6),$AV1071,dNULL)</f>
        <v>-99</v>
      </c>
      <c r="BC1071">
        <f ca="1">IF(AND($AT1071&lt;3,OFFSET(DATA!$C$14,$AS1071,0)=BC$6),$AV1071,dNULL)</f>
        <v>-99</v>
      </c>
      <c r="BD1071">
        <f ca="1">IF(AND($AT1071&lt;3,OFFSET(DATA!$C$14,$AS1071,0)=BD$6),$AV1071,dNULL)</f>
        <v>-99</v>
      </c>
      <c r="BE1071">
        <f ca="1">IF(AND($AT1071&lt;3,OFFSET(DATA!$C$14,$AS1071,0)=BE$6),$AV1071,dNULL)</f>
        <v>-99</v>
      </c>
      <c r="BF1071">
        <f ca="1">IF(AND($AT1071&lt;3,OFFSET(DATA!$C$14,$AS1071,0)=BF$6),$AV1071,dNULL)</f>
        <v>-99</v>
      </c>
      <c r="BG1071">
        <f ca="1">IF(AND($AT1071&lt;3,OFFSET(DATA!$C$14,$AS1071,0)=BG$6),$AV1071,dNULL)</f>
        <v>-99</v>
      </c>
      <c r="BH1071">
        <f ca="1">IF(AND($AT1071&lt;3,OFFSET(DATA!$C$14,$AS1071,0)=BH$6),$AV1071,dNULL)</f>
        <v>-99</v>
      </c>
    </row>
    <row r="1072" spans="45:60" x14ac:dyDescent="0.25">
      <c r="AS1072">
        <f t="shared" si="152"/>
        <v>76</v>
      </c>
      <c r="AT1072">
        <f t="shared" si="153"/>
        <v>11</v>
      </c>
      <c r="AU1072">
        <f t="shared" ca="1" si="154"/>
        <v>-99</v>
      </c>
      <c r="AV1072">
        <f t="shared" ca="1" si="155"/>
        <v>-99</v>
      </c>
      <c r="AW1072">
        <f ca="1">IF(AND($AT1072&lt;3,OFFSET(DATA!$C$14,$AS1072,0)=AW$6),$AV1072,dNULL)</f>
        <v>-99</v>
      </c>
      <c r="AX1072">
        <f ca="1">IF(AND($AT1072&lt;3,OFFSET(DATA!$C$14,$AS1072,0)=AX$6),$AV1072,dNULL)</f>
        <v>-99</v>
      </c>
      <c r="AY1072">
        <f ca="1">IF(AND($AT1072&lt;3,OFFSET(DATA!$C$14,$AS1072,0)=AY$6),$AV1072,dNULL)</f>
        <v>-99</v>
      </c>
      <c r="AZ1072">
        <f ca="1">IF(AND($AT1072&lt;3,OFFSET(DATA!$C$14,$AS1072,0)=AZ$6),$AV1072,dNULL)</f>
        <v>-99</v>
      </c>
      <c r="BA1072">
        <f ca="1">IF(AND($AT1072&lt;3,OFFSET(DATA!$C$14,$AS1072,0)=BA$6),$AV1072,dNULL)</f>
        <v>-99</v>
      </c>
      <c r="BB1072">
        <f ca="1">IF(AND($AT1072&lt;3,OFFSET(DATA!$C$14,$AS1072,0)=BB$6),$AV1072,dNULL)</f>
        <v>-99</v>
      </c>
      <c r="BC1072">
        <f ca="1">IF(AND($AT1072&lt;3,OFFSET(DATA!$C$14,$AS1072,0)=BC$6),$AV1072,dNULL)</f>
        <v>-99</v>
      </c>
      <c r="BD1072">
        <f ca="1">IF(AND($AT1072&lt;3,OFFSET(DATA!$C$14,$AS1072,0)=BD$6),$AV1072,dNULL)</f>
        <v>-99</v>
      </c>
      <c r="BE1072">
        <f ca="1">IF(AND($AT1072&lt;3,OFFSET(DATA!$C$14,$AS1072,0)=BE$6),$AV1072,dNULL)</f>
        <v>-99</v>
      </c>
      <c r="BF1072">
        <f ca="1">IF(AND($AT1072&lt;3,OFFSET(DATA!$C$14,$AS1072,0)=BF$6),$AV1072,dNULL)</f>
        <v>-99</v>
      </c>
      <c r="BG1072">
        <f ca="1">IF(AND($AT1072&lt;3,OFFSET(DATA!$C$14,$AS1072,0)=BG$6),$AV1072,dNULL)</f>
        <v>-99</v>
      </c>
      <c r="BH1072">
        <f ca="1">IF(AND($AT1072&lt;3,OFFSET(DATA!$C$14,$AS1072,0)=BH$6),$AV1072,dNULL)</f>
        <v>-99</v>
      </c>
    </row>
    <row r="1073" spans="45:60" x14ac:dyDescent="0.25">
      <c r="AS1073">
        <f t="shared" si="152"/>
        <v>77</v>
      </c>
      <c r="AT1073">
        <f t="shared" si="153"/>
        <v>11</v>
      </c>
      <c r="AU1073">
        <f t="shared" ca="1" si="154"/>
        <v>-99</v>
      </c>
      <c r="AV1073">
        <f t="shared" ca="1" si="155"/>
        <v>-99</v>
      </c>
      <c r="AW1073">
        <f ca="1">IF(AND($AT1073&lt;3,OFFSET(DATA!$C$14,$AS1073,0)=AW$6),$AV1073,dNULL)</f>
        <v>-99</v>
      </c>
      <c r="AX1073">
        <f ca="1">IF(AND($AT1073&lt;3,OFFSET(DATA!$C$14,$AS1073,0)=AX$6),$AV1073,dNULL)</f>
        <v>-99</v>
      </c>
      <c r="AY1073">
        <f ca="1">IF(AND($AT1073&lt;3,OFFSET(DATA!$C$14,$AS1073,0)=AY$6),$AV1073,dNULL)</f>
        <v>-99</v>
      </c>
      <c r="AZ1073">
        <f ca="1">IF(AND($AT1073&lt;3,OFFSET(DATA!$C$14,$AS1073,0)=AZ$6),$AV1073,dNULL)</f>
        <v>-99</v>
      </c>
      <c r="BA1073">
        <f ca="1">IF(AND($AT1073&lt;3,OFFSET(DATA!$C$14,$AS1073,0)=BA$6),$AV1073,dNULL)</f>
        <v>-99</v>
      </c>
      <c r="BB1073">
        <f ca="1">IF(AND($AT1073&lt;3,OFFSET(DATA!$C$14,$AS1073,0)=BB$6),$AV1073,dNULL)</f>
        <v>-99</v>
      </c>
      <c r="BC1073">
        <f ca="1">IF(AND($AT1073&lt;3,OFFSET(DATA!$C$14,$AS1073,0)=BC$6),$AV1073,dNULL)</f>
        <v>-99</v>
      </c>
      <c r="BD1073">
        <f ca="1">IF(AND($AT1073&lt;3,OFFSET(DATA!$C$14,$AS1073,0)=BD$6),$AV1073,dNULL)</f>
        <v>-99</v>
      </c>
      <c r="BE1073">
        <f ca="1">IF(AND($AT1073&lt;3,OFFSET(DATA!$C$14,$AS1073,0)=BE$6),$AV1073,dNULL)</f>
        <v>-99</v>
      </c>
      <c r="BF1073">
        <f ca="1">IF(AND($AT1073&lt;3,OFFSET(DATA!$C$14,$AS1073,0)=BF$6),$AV1073,dNULL)</f>
        <v>-99</v>
      </c>
      <c r="BG1073">
        <f ca="1">IF(AND($AT1073&lt;3,OFFSET(DATA!$C$14,$AS1073,0)=BG$6),$AV1073,dNULL)</f>
        <v>-99</v>
      </c>
      <c r="BH1073">
        <f ca="1">IF(AND($AT1073&lt;3,OFFSET(DATA!$C$14,$AS1073,0)=BH$6),$AV1073,dNULL)</f>
        <v>-99</v>
      </c>
    </row>
    <row r="1074" spans="45:60" x14ac:dyDescent="0.25">
      <c r="AS1074">
        <f t="shared" si="152"/>
        <v>78</v>
      </c>
      <c r="AT1074">
        <f t="shared" si="153"/>
        <v>11</v>
      </c>
      <c r="AU1074">
        <f t="shared" ca="1" si="154"/>
        <v>-99</v>
      </c>
      <c r="AV1074">
        <f t="shared" ca="1" si="155"/>
        <v>-99</v>
      </c>
      <c r="AW1074">
        <f ca="1">IF(AND($AT1074&lt;3,OFFSET(DATA!$C$14,$AS1074,0)=AW$6),$AV1074,dNULL)</f>
        <v>-99</v>
      </c>
      <c r="AX1074">
        <f ca="1">IF(AND($AT1074&lt;3,OFFSET(DATA!$C$14,$AS1074,0)=AX$6),$AV1074,dNULL)</f>
        <v>-99</v>
      </c>
      <c r="AY1074">
        <f ca="1">IF(AND($AT1074&lt;3,OFFSET(DATA!$C$14,$AS1074,0)=AY$6),$AV1074,dNULL)</f>
        <v>-99</v>
      </c>
      <c r="AZ1074">
        <f ca="1">IF(AND($AT1074&lt;3,OFFSET(DATA!$C$14,$AS1074,0)=AZ$6),$AV1074,dNULL)</f>
        <v>-99</v>
      </c>
      <c r="BA1074">
        <f ca="1">IF(AND($AT1074&lt;3,OFFSET(DATA!$C$14,$AS1074,0)=BA$6),$AV1074,dNULL)</f>
        <v>-99</v>
      </c>
      <c r="BB1074">
        <f ca="1">IF(AND($AT1074&lt;3,OFFSET(DATA!$C$14,$AS1074,0)=BB$6),$AV1074,dNULL)</f>
        <v>-99</v>
      </c>
      <c r="BC1074">
        <f ca="1">IF(AND($AT1074&lt;3,OFFSET(DATA!$C$14,$AS1074,0)=BC$6),$AV1074,dNULL)</f>
        <v>-99</v>
      </c>
      <c r="BD1074">
        <f ca="1">IF(AND($AT1074&lt;3,OFFSET(DATA!$C$14,$AS1074,0)=BD$6),$AV1074,dNULL)</f>
        <v>-99</v>
      </c>
      <c r="BE1074">
        <f ca="1">IF(AND($AT1074&lt;3,OFFSET(DATA!$C$14,$AS1074,0)=BE$6),$AV1074,dNULL)</f>
        <v>-99</v>
      </c>
      <c r="BF1074">
        <f ca="1">IF(AND($AT1074&lt;3,OFFSET(DATA!$C$14,$AS1074,0)=BF$6),$AV1074,dNULL)</f>
        <v>-99</v>
      </c>
      <c r="BG1074">
        <f ca="1">IF(AND($AT1074&lt;3,OFFSET(DATA!$C$14,$AS1074,0)=BG$6),$AV1074,dNULL)</f>
        <v>-99</v>
      </c>
      <c r="BH1074">
        <f ca="1">IF(AND($AT1074&lt;3,OFFSET(DATA!$C$14,$AS1074,0)=BH$6),$AV1074,dNULL)</f>
        <v>-99</v>
      </c>
    </row>
    <row r="1075" spans="45:60" x14ac:dyDescent="0.25">
      <c r="AS1075">
        <f t="shared" si="152"/>
        <v>79</v>
      </c>
      <c r="AT1075">
        <f t="shared" si="153"/>
        <v>11</v>
      </c>
      <c r="AU1075">
        <f t="shared" ca="1" si="154"/>
        <v>-99</v>
      </c>
      <c r="AV1075">
        <f t="shared" ca="1" si="155"/>
        <v>-99</v>
      </c>
      <c r="AW1075">
        <f ca="1">IF(AND($AT1075&lt;3,OFFSET(DATA!$C$14,$AS1075,0)=AW$6),$AV1075,dNULL)</f>
        <v>-99</v>
      </c>
      <c r="AX1075">
        <f ca="1">IF(AND($AT1075&lt;3,OFFSET(DATA!$C$14,$AS1075,0)=AX$6),$AV1075,dNULL)</f>
        <v>-99</v>
      </c>
      <c r="AY1075">
        <f ca="1">IF(AND($AT1075&lt;3,OFFSET(DATA!$C$14,$AS1075,0)=AY$6),$AV1075,dNULL)</f>
        <v>-99</v>
      </c>
      <c r="AZ1075">
        <f ca="1">IF(AND($AT1075&lt;3,OFFSET(DATA!$C$14,$AS1075,0)=AZ$6),$AV1075,dNULL)</f>
        <v>-99</v>
      </c>
      <c r="BA1075">
        <f ca="1">IF(AND($AT1075&lt;3,OFFSET(DATA!$C$14,$AS1075,0)=BA$6),$AV1075,dNULL)</f>
        <v>-99</v>
      </c>
      <c r="BB1075">
        <f ca="1">IF(AND($AT1075&lt;3,OFFSET(DATA!$C$14,$AS1075,0)=BB$6),$AV1075,dNULL)</f>
        <v>-99</v>
      </c>
      <c r="BC1075">
        <f ca="1">IF(AND($AT1075&lt;3,OFFSET(DATA!$C$14,$AS1075,0)=BC$6),$AV1075,dNULL)</f>
        <v>-99</v>
      </c>
      <c r="BD1075">
        <f ca="1">IF(AND($AT1075&lt;3,OFFSET(DATA!$C$14,$AS1075,0)=BD$6),$AV1075,dNULL)</f>
        <v>-99</v>
      </c>
      <c r="BE1075">
        <f ca="1">IF(AND($AT1075&lt;3,OFFSET(DATA!$C$14,$AS1075,0)=BE$6),$AV1075,dNULL)</f>
        <v>-99</v>
      </c>
      <c r="BF1075">
        <f ca="1">IF(AND($AT1075&lt;3,OFFSET(DATA!$C$14,$AS1075,0)=BF$6),$AV1075,dNULL)</f>
        <v>-99</v>
      </c>
      <c r="BG1075">
        <f ca="1">IF(AND($AT1075&lt;3,OFFSET(DATA!$C$14,$AS1075,0)=BG$6),$AV1075,dNULL)</f>
        <v>-99</v>
      </c>
      <c r="BH1075">
        <f ca="1">IF(AND($AT1075&lt;3,OFFSET(DATA!$C$14,$AS1075,0)=BH$6),$AV1075,dNULL)</f>
        <v>-99</v>
      </c>
    </row>
    <row r="1076" spans="45:60" x14ac:dyDescent="0.25">
      <c r="AS1076">
        <f t="shared" si="152"/>
        <v>80</v>
      </c>
      <c r="AT1076">
        <f t="shared" si="153"/>
        <v>11</v>
      </c>
      <c r="AU1076">
        <f t="shared" ca="1" si="154"/>
        <v>-99</v>
      </c>
      <c r="AV1076">
        <f t="shared" ca="1" si="155"/>
        <v>-99</v>
      </c>
      <c r="AW1076">
        <f ca="1">IF(AND($AT1076&lt;3,OFFSET(DATA!$C$14,$AS1076,0)=AW$6),$AV1076,dNULL)</f>
        <v>-99</v>
      </c>
      <c r="AX1076">
        <f ca="1">IF(AND($AT1076&lt;3,OFFSET(DATA!$C$14,$AS1076,0)=AX$6),$AV1076,dNULL)</f>
        <v>-99</v>
      </c>
      <c r="AY1076">
        <f ca="1">IF(AND($AT1076&lt;3,OFFSET(DATA!$C$14,$AS1076,0)=AY$6),$AV1076,dNULL)</f>
        <v>-99</v>
      </c>
      <c r="AZ1076">
        <f ca="1">IF(AND($AT1076&lt;3,OFFSET(DATA!$C$14,$AS1076,0)=AZ$6),$AV1076,dNULL)</f>
        <v>-99</v>
      </c>
      <c r="BA1076">
        <f ca="1">IF(AND($AT1076&lt;3,OFFSET(DATA!$C$14,$AS1076,0)=BA$6),$AV1076,dNULL)</f>
        <v>-99</v>
      </c>
      <c r="BB1076">
        <f ca="1">IF(AND($AT1076&lt;3,OFFSET(DATA!$C$14,$AS1076,0)=BB$6),$AV1076,dNULL)</f>
        <v>-99</v>
      </c>
      <c r="BC1076">
        <f ca="1">IF(AND($AT1076&lt;3,OFFSET(DATA!$C$14,$AS1076,0)=BC$6),$AV1076,dNULL)</f>
        <v>-99</v>
      </c>
      <c r="BD1076">
        <f ca="1">IF(AND($AT1076&lt;3,OFFSET(DATA!$C$14,$AS1076,0)=BD$6),$AV1076,dNULL)</f>
        <v>-99</v>
      </c>
      <c r="BE1076">
        <f ca="1">IF(AND($AT1076&lt;3,OFFSET(DATA!$C$14,$AS1076,0)=BE$6),$AV1076,dNULL)</f>
        <v>-99</v>
      </c>
      <c r="BF1076">
        <f ca="1">IF(AND($AT1076&lt;3,OFFSET(DATA!$C$14,$AS1076,0)=BF$6),$AV1076,dNULL)</f>
        <v>-99</v>
      </c>
      <c r="BG1076">
        <f ca="1">IF(AND($AT1076&lt;3,OFFSET(DATA!$C$14,$AS1076,0)=BG$6),$AV1076,dNULL)</f>
        <v>-99</v>
      </c>
      <c r="BH1076">
        <f ca="1">IF(AND($AT1076&lt;3,OFFSET(DATA!$C$14,$AS1076,0)=BH$6),$AV1076,dNULL)</f>
        <v>-99</v>
      </c>
    </row>
    <row r="1077" spans="45:60" x14ac:dyDescent="0.25">
      <c r="AS1077">
        <f t="shared" si="152"/>
        <v>81</v>
      </c>
      <c r="AT1077">
        <f t="shared" si="153"/>
        <v>11</v>
      </c>
      <c r="AU1077">
        <f t="shared" ca="1" si="154"/>
        <v>-99</v>
      </c>
      <c r="AV1077">
        <f t="shared" ca="1" si="155"/>
        <v>-99</v>
      </c>
      <c r="AW1077">
        <f ca="1">IF(AND($AT1077&lt;3,OFFSET(DATA!$C$14,$AS1077,0)=AW$6),$AV1077,dNULL)</f>
        <v>-99</v>
      </c>
      <c r="AX1077">
        <f ca="1">IF(AND($AT1077&lt;3,OFFSET(DATA!$C$14,$AS1077,0)=AX$6),$AV1077,dNULL)</f>
        <v>-99</v>
      </c>
      <c r="AY1077">
        <f ca="1">IF(AND($AT1077&lt;3,OFFSET(DATA!$C$14,$AS1077,0)=AY$6),$AV1077,dNULL)</f>
        <v>-99</v>
      </c>
      <c r="AZ1077">
        <f ca="1">IF(AND($AT1077&lt;3,OFFSET(DATA!$C$14,$AS1077,0)=AZ$6),$AV1077,dNULL)</f>
        <v>-99</v>
      </c>
      <c r="BA1077">
        <f ca="1">IF(AND($AT1077&lt;3,OFFSET(DATA!$C$14,$AS1077,0)=BA$6),$AV1077,dNULL)</f>
        <v>-99</v>
      </c>
      <c r="BB1077">
        <f ca="1">IF(AND($AT1077&lt;3,OFFSET(DATA!$C$14,$AS1077,0)=BB$6),$AV1077,dNULL)</f>
        <v>-99</v>
      </c>
      <c r="BC1077">
        <f ca="1">IF(AND($AT1077&lt;3,OFFSET(DATA!$C$14,$AS1077,0)=BC$6),$AV1077,dNULL)</f>
        <v>-99</v>
      </c>
      <c r="BD1077">
        <f ca="1">IF(AND($AT1077&lt;3,OFFSET(DATA!$C$14,$AS1077,0)=BD$6),$AV1077,dNULL)</f>
        <v>-99</v>
      </c>
      <c r="BE1077">
        <f ca="1">IF(AND($AT1077&lt;3,OFFSET(DATA!$C$14,$AS1077,0)=BE$6),$AV1077,dNULL)</f>
        <v>-99</v>
      </c>
      <c r="BF1077">
        <f ca="1">IF(AND($AT1077&lt;3,OFFSET(DATA!$C$14,$AS1077,0)=BF$6),$AV1077,dNULL)</f>
        <v>-99</v>
      </c>
      <c r="BG1077">
        <f ca="1">IF(AND($AT1077&lt;3,OFFSET(DATA!$C$14,$AS1077,0)=BG$6),$AV1077,dNULL)</f>
        <v>-99</v>
      </c>
      <c r="BH1077">
        <f ca="1">IF(AND($AT1077&lt;3,OFFSET(DATA!$C$14,$AS1077,0)=BH$6),$AV1077,dNULL)</f>
        <v>-99</v>
      </c>
    </row>
    <row r="1078" spans="45:60" x14ac:dyDescent="0.25">
      <c r="AS1078">
        <f t="shared" si="152"/>
        <v>82</v>
      </c>
      <c r="AT1078">
        <f t="shared" si="153"/>
        <v>11</v>
      </c>
      <c r="AU1078">
        <f t="shared" ca="1" si="154"/>
        <v>-99</v>
      </c>
      <c r="AV1078">
        <f t="shared" ca="1" si="155"/>
        <v>-99</v>
      </c>
      <c r="AW1078">
        <f ca="1">IF(AND($AT1078&lt;3,OFFSET(DATA!$C$14,$AS1078,0)=AW$6),$AV1078,dNULL)</f>
        <v>-99</v>
      </c>
      <c r="AX1078">
        <f ca="1">IF(AND($AT1078&lt;3,OFFSET(DATA!$C$14,$AS1078,0)=AX$6),$AV1078,dNULL)</f>
        <v>-99</v>
      </c>
      <c r="AY1078">
        <f ca="1">IF(AND($AT1078&lt;3,OFFSET(DATA!$C$14,$AS1078,0)=AY$6),$AV1078,dNULL)</f>
        <v>-99</v>
      </c>
      <c r="AZ1078">
        <f ca="1">IF(AND($AT1078&lt;3,OFFSET(DATA!$C$14,$AS1078,0)=AZ$6),$AV1078,dNULL)</f>
        <v>-99</v>
      </c>
      <c r="BA1078">
        <f ca="1">IF(AND($AT1078&lt;3,OFFSET(DATA!$C$14,$AS1078,0)=BA$6),$AV1078,dNULL)</f>
        <v>-99</v>
      </c>
      <c r="BB1078">
        <f ca="1">IF(AND($AT1078&lt;3,OFFSET(DATA!$C$14,$AS1078,0)=BB$6),$AV1078,dNULL)</f>
        <v>-99</v>
      </c>
      <c r="BC1078">
        <f ca="1">IF(AND($AT1078&lt;3,OFFSET(DATA!$C$14,$AS1078,0)=BC$6),$AV1078,dNULL)</f>
        <v>-99</v>
      </c>
      <c r="BD1078">
        <f ca="1">IF(AND($AT1078&lt;3,OFFSET(DATA!$C$14,$AS1078,0)=BD$6),$AV1078,dNULL)</f>
        <v>-99</v>
      </c>
      <c r="BE1078">
        <f ca="1">IF(AND($AT1078&lt;3,OFFSET(DATA!$C$14,$AS1078,0)=BE$6),$AV1078,dNULL)</f>
        <v>-99</v>
      </c>
      <c r="BF1078">
        <f ca="1">IF(AND($AT1078&lt;3,OFFSET(DATA!$C$14,$AS1078,0)=BF$6),$AV1078,dNULL)</f>
        <v>-99</v>
      </c>
      <c r="BG1078">
        <f ca="1">IF(AND($AT1078&lt;3,OFFSET(DATA!$C$14,$AS1078,0)=BG$6),$AV1078,dNULL)</f>
        <v>-99</v>
      </c>
      <c r="BH1078">
        <f ca="1">IF(AND($AT1078&lt;3,OFFSET(DATA!$C$14,$AS1078,0)=BH$6),$AV1078,dNULL)</f>
        <v>-99</v>
      </c>
    </row>
    <row r="1079" spans="45:60" x14ac:dyDescent="0.25">
      <c r="AS1079">
        <f t="shared" si="152"/>
        <v>83</v>
      </c>
      <c r="AT1079">
        <f t="shared" si="153"/>
        <v>11</v>
      </c>
      <c r="AU1079">
        <f t="shared" ca="1" si="154"/>
        <v>-99</v>
      </c>
      <c r="AV1079">
        <f t="shared" ca="1" si="155"/>
        <v>-99</v>
      </c>
      <c r="AW1079">
        <f ca="1">IF(AND($AT1079&lt;3,OFFSET(DATA!$C$14,$AS1079,0)=AW$6),$AV1079,dNULL)</f>
        <v>-99</v>
      </c>
      <c r="AX1079">
        <f ca="1">IF(AND($AT1079&lt;3,OFFSET(DATA!$C$14,$AS1079,0)=AX$6),$AV1079,dNULL)</f>
        <v>-99</v>
      </c>
      <c r="AY1079">
        <f ca="1">IF(AND($AT1079&lt;3,OFFSET(DATA!$C$14,$AS1079,0)=AY$6),$AV1079,dNULL)</f>
        <v>-99</v>
      </c>
      <c r="AZ1079">
        <f ca="1">IF(AND($AT1079&lt;3,OFFSET(DATA!$C$14,$AS1079,0)=AZ$6),$AV1079,dNULL)</f>
        <v>-99</v>
      </c>
      <c r="BA1079">
        <f ca="1">IF(AND($AT1079&lt;3,OFFSET(DATA!$C$14,$AS1079,0)=BA$6),$AV1079,dNULL)</f>
        <v>-99</v>
      </c>
      <c r="BB1079">
        <f ca="1">IF(AND($AT1079&lt;3,OFFSET(DATA!$C$14,$AS1079,0)=BB$6),$AV1079,dNULL)</f>
        <v>-99</v>
      </c>
      <c r="BC1079">
        <f ca="1">IF(AND($AT1079&lt;3,OFFSET(DATA!$C$14,$AS1079,0)=BC$6),$AV1079,dNULL)</f>
        <v>-99</v>
      </c>
      <c r="BD1079">
        <f ca="1">IF(AND($AT1079&lt;3,OFFSET(DATA!$C$14,$AS1079,0)=BD$6),$AV1079,dNULL)</f>
        <v>-99</v>
      </c>
      <c r="BE1079">
        <f ca="1">IF(AND($AT1079&lt;3,OFFSET(DATA!$C$14,$AS1079,0)=BE$6),$AV1079,dNULL)</f>
        <v>-99</v>
      </c>
      <c r="BF1079">
        <f ca="1">IF(AND($AT1079&lt;3,OFFSET(DATA!$C$14,$AS1079,0)=BF$6),$AV1079,dNULL)</f>
        <v>-99</v>
      </c>
      <c r="BG1079">
        <f ca="1">IF(AND($AT1079&lt;3,OFFSET(DATA!$C$14,$AS1079,0)=BG$6),$AV1079,dNULL)</f>
        <v>-99</v>
      </c>
      <c r="BH1079">
        <f ca="1">IF(AND($AT1079&lt;3,OFFSET(DATA!$C$14,$AS1079,0)=BH$6),$AV1079,dNULL)</f>
        <v>-99</v>
      </c>
    </row>
    <row r="1080" spans="45:60" x14ac:dyDescent="0.25">
      <c r="AS1080">
        <f t="shared" si="152"/>
        <v>84</v>
      </c>
      <c r="AT1080">
        <f t="shared" si="153"/>
        <v>11</v>
      </c>
      <c r="AU1080">
        <f t="shared" ca="1" si="154"/>
        <v>-99</v>
      </c>
      <c r="AV1080">
        <f t="shared" ca="1" si="155"/>
        <v>-99</v>
      </c>
      <c r="AW1080">
        <f ca="1">IF(AND($AT1080&lt;3,OFFSET(DATA!$C$14,$AS1080,0)=AW$6),$AV1080,dNULL)</f>
        <v>-99</v>
      </c>
      <c r="AX1080">
        <f ca="1">IF(AND($AT1080&lt;3,OFFSET(DATA!$C$14,$AS1080,0)=AX$6),$AV1080,dNULL)</f>
        <v>-99</v>
      </c>
      <c r="AY1080">
        <f ca="1">IF(AND($AT1080&lt;3,OFFSET(DATA!$C$14,$AS1080,0)=AY$6),$AV1080,dNULL)</f>
        <v>-99</v>
      </c>
      <c r="AZ1080">
        <f ca="1">IF(AND($AT1080&lt;3,OFFSET(DATA!$C$14,$AS1080,0)=AZ$6),$AV1080,dNULL)</f>
        <v>-99</v>
      </c>
      <c r="BA1080">
        <f ca="1">IF(AND($AT1080&lt;3,OFFSET(DATA!$C$14,$AS1080,0)=BA$6),$AV1080,dNULL)</f>
        <v>-99</v>
      </c>
      <c r="BB1080">
        <f ca="1">IF(AND($AT1080&lt;3,OFFSET(DATA!$C$14,$AS1080,0)=BB$6),$AV1080,dNULL)</f>
        <v>-99</v>
      </c>
      <c r="BC1080">
        <f ca="1">IF(AND($AT1080&lt;3,OFFSET(DATA!$C$14,$AS1080,0)=BC$6),$AV1080,dNULL)</f>
        <v>-99</v>
      </c>
      <c r="BD1080">
        <f ca="1">IF(AND($AT1080&lt;3,OFFSET(DATA!$C$14,$AS1080,0)=BD$6),$AV1080,dNULL)</f>
        <v>-99</v>
      </c>
      <c r="BE1080">
        <f ca="1">IF(AND($AT1080&lt;3,OFFSET(DATA!$C$14,$AS1080,0)=BE$6),$AV1080,dNULL)</f>
        <v>-99</v>
      </c>
      <c r="BF1080">
        <f ca="1">IF(AND($AT1080&lt;3,OFFSET(DATA!$C$14,$AS1080,0)=BF$6),$AV1080,dNULL)</f>
        <v>-99</v>
      </c>
      <c r="BG1080">
        <f ca="1">IF(AND($AT1080&lt;3,OFFSET(DATA!$C$14,$AS1080,0)=BG$6),$AV1080,dNULL)</f>
        <v>-99</v>
      </c>
      <c r="BH1080">
        <f ca="1">IF(AND($AT1080&lt;3,OFFSET(DATA!$C$14,$AS1080,0)=BH$6),$AV1080,dNULL)</f>
        <v>-99</v>
      </c>
    </row>
    <row r="1081" spans="45:60" x14ac:dyDescent="0.25">
      <c r="AS1081">
        <f t="shared" si="152"/>
        <v>85</v>
      </c>
      <c r="AT1081">
        <f t="shared" si="153"/>
        <v>11</v>
      </c>
      <c r="AU1081">
        <f t="shared" ca="1" si="154"/>
        <v>-99</v>
      </c>
      <c r="AV1081">
        <f t="shared" ca="1" si="155"/>
        <v>-99</v>
      </c>
      <c r="AW1081">
        <f ca="1">IF(AND($AT1081&lt;3,OFFSET(DATA!$C$14,$AS1081,0)=AW$6),$AV1081,dNULL)</f>
        <v>-99</v>
      </c>
      <c r="AX1081">
        <f ca="1">IF(AND($AT1081&lt;3,OFFSET(DATA!$C$14,$AS1081,0)=AX$6),$AV1081,dNULL)</f>
        <v>-99</v>
      </c>
      <c r="AY1081">
        <f ca="1">IF(AND($AT1081&lt;3,OFFSET(DATA!$C$14,$AS1081,0)=AY$6),$AV1081,dNULL)</f>
        <v>-99</v>
      </c>
      <c r="AZ1081">
        <f ca="1">IF(AND($AT1081&lt;3,OFFSET(DATA!$C$14,$AS1081,0)=AZ$6),$AV1081,dNULL)</f>
        <v>-99</v>
      </c>
      <c r="BA1081">
        <f ca="1">IF(AND($AT1081&lt;3,OFFSET(DATA!$C$14,$AS1081,0)=BA$6),$AV1081,dNULL)</f>
        <v>-99</v>
      </c>
      <c r="BB1081">
        <f ca="1">IF(AND($AT1081&lt;3,OFFSET(DATA!$C$14,$AS1081,0)=BB$6),$AV1081,dNULL)</f>
        <v>-99</v>
      </c>
      <c r="BC1081">
        <f ca="1">IF(AND($AT1081&lt;3,OFFSET(DATA!$C$14,$AS1081,0)=BC$6),$AV1081,dNULL)</f>
        <v>-99</v>
      </c>
      <c r="BD1081">
        <f ca="1">IF(AND($AT1081&lt;3,OFFSET(DATA!$C$14,$AS1081,0)=BD$6),$AV1081,dNULL)</f>
        <v>-99</v>
      </c>
      <c r="BE1081">
        <f ca="1">IF(AND($AT1081&lt;3,OFFSET(DATA!$C$14,$AS1081,0)=BE$6),$AV1081,dNULL)</f>
        <v>-99</v>
      </c>
      <c r="BF1081">
        <f ca="1">IF(AND($AT1081&lt;3,OFFSET(DATA!$C$14,$AS1081,0)=BF$6),$AV1081,dNULL)</f>
        <v>-99</v>
      </c>
      <c r="BG1081">
        <f ca="1">IF(AND($AT1081&lt;3,OFFSET(DATA!$C$14,$AS1081,0)=BG$6),$AV1081,dNULL)</f>
        <v>-99</v>
      </c>
      <c r="BH1081">
        <f ca="1">IF(AND($AT1081&lt;3,OFFSET(DATA!$C$14,$AS1081,0)=BH$6),$AV1081,dNULL)</f>
        <v>-99</v>
      </c>
    </row>
    <row r="1082" spans="45:60" x14ac:dyDescent="0.25">
      <c r="AS1082">
        <f t="shared" si="152"/>
        <v>86</v>
      </c>
      <c r="AT1082">
        <f t="shared" si="153"/>
        <v>11</v>
      </c>
      <c r="AU1082">
        <f t="shared" ca="1" si="154"/>
        <v>-99</v>
      </c>
      <c r="AV1082">
        <f t="shared" ca="1" si="155"/>
        <v>-99</v>
      </c>
      <c r="AW1082">
        <f ca="1">IF(AND($AT1082&lt;3,OFFSET(DATA!$C$14,$AS1082,0)=AW$6),$AV1082,dNULL)</f>
        <v>-99</v>
      </c>
      <c r="AX1082">
        <f ca="1">IF(AND($AT1082&lt;3,OFFSET(DATA!$C$14,$AS1082,0)=AX$6),$AV1082,dNULL)</f>
        <v>-99</v>
      </c>
      <c r="AY1082">
        <f ca="1">IF(AND($AT1082&lt;3,OFFSET(DATA!$C$14,$AS1082,0)=AY$6),$AV1082,dNULL)</f>
        <v>-99</v>
      </c>
      <c r="AZ1082">
        <f ca="1">IF(AND($AT1082&lt;3,OFFSET(DATA!$C$14,$AS1082,0)=AZ$6),$AV1082,dNULL)</f>
        <v>-99</v>
      </c>
      <c r="BA1082">
        <f ca="1">IF(AND($AT1082&lt;3,OFFSET(DATA!$C$14,$AS1082,0)=BA$6),$AV1082,dNULL)</f>
        <v>-99</v>
      </c>
      <c r="BB1082">
        <f ca="1">IF(AND($AT1082&lt;3,OFFSET(DATA!$C$14,$AS1082,0)=BB$6),$AV1082,dNULL)</f>
        <v>-99</v>
      </c>
      <c r="BC1082">
        <f ca="1">IF(AND($AT1082&lt;3,OFFSET(DATA!$C$14,$AS1082,0)=BC$6),$AV1082,dNULL)</f>
        <v>-99</v>
      </c>
      <c r="BD1082">
        <f ca="1">IF(AND($AT1082&lt;3,OFFSET(DATA!$C$14,$AS1082,0)=BD$6),$AV1082,dNULL)</f>
        <v>-99</v>
      </c>
      <c r="BE1082">
        <f ca="1">IF(AND($AT1082&lt;3,OFFSET(DATA!$C$14,$AS1082,0)=BE$6),$AV1082,dNULL)</f>
        <v>-99</v>
      </c>
      <c r="BF1082">
        <f ca="1">IF(AND($AT1082&lt;3,OFFSET(DATA!$C$14,$AS1082,0)=BF$6),$AV1082,dNULL)</f>
        <v>-99</v>
      </c>
      <c r="BG1082">
        <f ca="1">IF(AND($AT1082&lt;3,OFFSET(DATA!$C$14,$AS1082,0)=BG$6),$AV1082,dNULL)</f>
        <v>-99</v>
      </c>
      <c r="BH1082">
        <f ca="1">IF(AND($AT1082&lt;3,OFFSET(DATA!$C$14,$AS1082,0)=BH$6),$AV1082,dNULL)</f>
        <v>-99</v>
      </c>
    </row>
    <row r="1083" spans="45:60" x14ac:dyDescent="0.25">
      <c r="AS1083">
        <f t="shared" si="152"/>
        <v>87</v>
      </c>
      <c r="AT1083">
        <f t="shared" si="153"/>
        <v>11</v>
      </c>
      <c r="AU1083">
        <f t="shared" ca="1" si="154"/>
        <v>-99</v>
      </c>
      <c r="AV1083">
        <f t="shared" ca="1" si="155"/>
        <v>-99</v>
      </c>
      <c r="AW1083">
        <f ca="1">IF(AND($AT1083&lt;3,OFFSET(DATA!$C$14,$AS1083,0)=AW$6),$AV1083,dNULL)</f>
        <v>-99</v>
      </c>
      <c r="AX1083">
        <f ca="1">IF(AND($AT1083&lt;3,OFFSET(DATA!$C$14,$AS1083,0)=AX$6),$AV1083,dNULL)</f>
        <v>-99</v>
      </c>
      <c r="AY1083">
        <f ca="1">IF(AND($AT1083&lt;3,OFFSET(DATA!$C$14,$AS1083,0)=AY$6),$AV1083,dNULL)</f>
        <v>-99</v>
      </c>
      <c r="AZ1083">
        <f ca="1">IF(AND($AT1083&lt;3,OFFSET(DATA!$C$14,$AS1083,0)=AZ$6),$AV1083,dNULL)</f>
        <v>-99</v>
      </c>
      <c r="BA1083">
        <f ca="1">IF(AND($AT1083&lt;3,OFFSET(DATA!$C$14,$AS1083,0)=BA$6),$AV1083,dNULL)</f>
        <v>-99</v>
      </c>
      <c r="BB1083">
        <f ca="1">IF(AND($AT1083&lt;3,OFFSET(DATA!$C$14,$AS1083,0)=BB$6),$AV1083,dNULL)</f>
        <v>-99</v>
      </c>
      <c r="BC1083">
        <f ca="1">IF(AND($AT1083&lt;3,OFFSET(DATA!$C$14,$AS1083,0)=BC$6),$AV1083,dNULL)</f>
        <v>-99</v>
      </c>
      <c r="BD1083">
        <f ca="1">IF(AND($AT1083&lt;3,OFFSET(DATA!$C$14,$AS1083,0)=BD$6),$AV1083,dNULL)</f>
        <v>-99</v>
      </c>
      <c r="BE1083">
        <f ca="1">IF(AND($AT1083&lt;3,OFFSET(DATA!$C$14,$AS1083,0)=BE$6),$AV1083,dNULL)</f>
        <v>-99</v>
      </c>
      <c r="BF1083">
        <f ca="1">IF(AND($AT1083&lt;3,OFFSET(DATA!$C$14,$AS1083,0)=BF$6),$AV1083,dNULL)</f>
        <v>-99</v>
      </c>
      <c r="BG1083">
        <f ca="1">IF(AND($AT1083&lt;3,OFFSET(DATA!$C$14,$AS1083,0)=BG$6),$AV1083,dNULL)</f>
        <v>-99</v>
      </c>
      <c r="BH1083">
        <f ca="1">IF(AND($AT1083&lt;3,OFFSET(DATA!$C$14,$AS1083,0)=BH$6),$AV1083,dNULL)</f>
        <v>-99</v>
      </c>
    </row>
    <row r="1084" spans="45:60" x14ac:dyDescent="0.25">
      <c r="AS1084">
        <f t="shared" si="152"/>
        <v>88</v>
      </c>
      <c r="AT1084">
        <f t="shared" si="153"/>
        <v>11</v>
      </c>
      <c r="AU1084">
        <f t="shared" ca="1" si="154"/>
        <v>-99</v>
      </c>
      <c r="AV1084">
        <f t="shared" ca="1" si="155"/>
        <v>-99</v>
      </c>
      <c r="AW1084">
        <f ca="1">IF(AND($AT1084&lt;3,OFFSET(DATA!$C$14,$AS1084,0)=AW$6),$AV1084,dNULL)</f>
        <v>-99</v>
      </c>
      <c r="AX1084">
        <f ca="1">IF(AND($AT1084&lt;3,OFFSET(DATA!$C$14,$AS1084,0)=AX$6),$AV1084,dNULL)</f>
        <v>-99</v>
      </c>
      <c r="AY1084">
        <f ca="1">IF(AND($AT1084&lt;3,OFFSET(DATA!$C$14,$AS1084,0)=AY$6),$AV1084,dNULL)</f>
        <v>-99</v>
      </c>
      <c r="AZ1084">
        <f ca="1">IF(AND($AT1084&lt;3,OFFSET(DATA!$C$14,$AS1084,0)=AZ$6),$AV1084,dNULL)</f>
        <v>-99</v>
      </c>
      <c r="BA1084">
        <f ca="1">IF(AND($AT1084&lt;3,OFFSET(DATA!$C$14,$AS1084,0)=BA$6),$AV1084,dNULL)</f>
        <v>-99</v>
      </c>
      <c r="BB1084">
        <f ca="1">IF(AND($AT1084&lt;3,OFFSET(DATA!$C$14,$AS1084,0)=BB$6),$AV1084,dNULL)</f>
        <v>-99</v>
      </c>
      <c r="BC1084">
        <f ca="1">IF(AND($AT1084&lt;3,OFFSET(DATA!$C$14,$AS1084,0)=BC$6),$AV1084,dNULL)</f>
        <v>-99</v>
      </c>
      <c r="BD1084">
        <f ca="1">IF(AND($AT1084&lt;3,OFFSET(DATA!$C$14,$AS1084,0)=BD$6),$AV1084,dNULL)</f>
        <v>-99</v>
      </c>
      <c r="BE1084">
        <f ca="1">IF(AND($AT1084&lt;3,OFFSET(DATA!$C$14,$AS1084,0)=BE$6),$AV1084,dNULL)</f>
        <v>-99</v>
      </c>
      <c r="BF1084">
        <f ca="1">IF(AND($AT1084&lt;3,OFFSET(DATA!$C$14,$AS1084,0)=BF$6),$AV1084,dNULL)</f>
        <v>-99</v>
      </c>
      <c r="BG1084">
        <f ca="1">IF(AND($AT1084&lt;3,OFFSET(DATA!$C$14,$AS1084,0)=BG$6),$AV1084,dNULL)</f>
        <v>-99</v>
      </c>
      <c r="BH1084">
        <f ca="1">IF(AND($AT1084&lt;3,OFFSET(DATA!$C$14,$AS1084,0)=BH$6),$AV1084,dNULL)</f>
        <v>-99</v>
      </c>
    </row>
    <row r="1085" spans="45:60" x14ac:dyDescent="0.25">
      <c r="AS1085">
        <f t="shared" si="152"/>
        <v>89</v>
      </c>
      <c r="AT1085">
        <f t="shared" si="153"/>
        <v>11</v>
      </c>
      <c r="AU1085">
        <f t="shared" ca="1" si="154"/>
        <v>-99</v>
      </c>
      <c r="AV1085">
        <f t="shared" ca="1" si="155"/>
        <v>-99</v>
      </c>
      <c r="AW1085">
        <f ca="1">IF(AND($AT1085&lt;3,OFFSET(DATA!$C$14,$AS1085,0)=AW$6),$AV1085,dNULL)</f>
        <v>-99</v>
      </c>
      <c r="AX1085">
        <f ca="1">IF(AND($AT1085&lt;3,OFFSET(DATA!$C$14,$AS1085,0)=AX$6),$AV1085,dNULL)</f>
        <v>-99</v>
      </c>
      <c r="AY1085">
        <f ca="1">IF(AND($AT1085&lt;3,OFFSET(DATA!$C$14,$AS1085,0)=AY$6),$AV1085,dNULL)</f>
        <v>-99</v>
      </c>
      <c r="AZ1085">
        <f ca="1">IF(AND($AT1085&lt;3,OFFSET(DATA!$C$14,$AS1085,0)=AZ$6),$AV1085,dNULL)</f>
        <v>-99</v>
      </c>
      <c r="BA1085">
        <f ca="1">IF(AND($AT1085&lt;3,OFFSET(DATA!$C$14,$AS1085,0)=BA$6),$AV1085,dNULL)</f>
        <v>-99</v>
      </c>
      <c r="BB1085">
        <f ca="1">IF(AND($AT1085&lt;3,OFFSET(DATA!$C$14,$AS1085,0)=BB$6),$AV1085,dNULL)</f>
        <v>-99</v>
      </c>
      <c r="BC1085">
        <f ca="1">IF(AND($AT1085&lt;3,OFFSET(DATA!$C$14,$AS1085,0)=BC$6),$AV1085,dNULL)</f>
        <v>-99</v>
      </c>
      <c r="BD1085">
        <f ca="1">IF(AND($AT1085&lt;3,OFFSET(DATA!$C$14,$AS1085,0)=BD$6),$AV1085,dNULL)</f>
        <v>-99</v>
      </c>
      <c r="BE1085">
        <f ca="1">IF(AND($AT1085&lt;3,OFFSET(DATA!$C$14,$AS1085,0)=BE$6),$AV1085,dNULL)</f>
        <v>-99</v>
      </c>
      <c r="BF1085">
        <f ca="1">IF(AND($AT1085&lt;3,OFFSET(DATA!$C$14,$AS1085,0)=BF$6),$AV1085,dNULL)</f>
        <v>-99</v>
      </c>
      <c r="BG1085">
        <f ca="1">IF(AND($AT1085&lt;3,OFFSET(DATA!$C$14,$AS1085,0)=BG$6),$AV1085,dNULL)</f>
        <v>-99</v>
      </c>
      <c r="BH1085">
        <f ca="1">IF(AND($AT1085&lt;3,OFFSET(DATA!$C$14,$AS1085,0)=BH$6),$AV1085,dNULL)</f>
        <v>-99</v>
      </c>
    </row>
    <row r="1086" spans="45:60" x14ac:dyDescent="0.25">
      <c r="AS1086">
        <f t="shared" si="152"/>
        <v>90</v>
      </c>
      <c r="AT1086">
        <f t="shared" si="153"/>
        <v>11</v>
      </c>
      <c r="AU1086">
        <f t="shared" ca="1" si="154"/>
        <v>-99</v>
      </c>
      <c r="AV1086">
        <f t="shared" ca="1" si="155"/>
        <v>-99</v>
      </c>
      <c r="AW1086">
        <f ca="1">IF(AND($AT1086&lt;3,OFFSET(DATA!$C$14,$AS1086,0)=AW$6),$AV1086,dNULL)</f>
        <v>-99</v>
      </c>
      <c r="AX1086">
        <f ca="1">IF(AND($AT1086&lt;3,OFFSET(DATA!$C$14,$AS1086,0)=AX$6),$AV1086,dNULL)</f>
        <v>-99</v>
      </c>
      <c r="AY1086">
        <f ca="1">IF(AND($AT1086&lt;3,OFFSET(DATA!$C$14,$AS1086,0)=AY$6),$AV1086,dNULL)</f>
        <v>-99</v>
      </c>
      <c r="AZ1086">
        <f ca="1">IF(AND($AT1086&lt;3,OFFSET(DATA!$C$14,$AS1086,0)=AZ$6),$AV1086,dNULL)</f>
        <v>-99</v>
      </c>
      <c r="BA1086">
        <f ca="1">IF(AND($AT1086&lt;3,OFFSET(DATA!$C$14,$AS1086,0)=BA$6),$AV1086,dNULL)</f>
        <v>-99</v>
      </c>
      <c r="BB1086">
        <f ca="1">IF(AND($AT1086&lt;3,OFFSET(DATA!$C$14,$AS1086,0)=BB$6),$AV1086,dNULL)</f>
        <v>-99</v>
      </c>
      <c r="BC1086">
        <f ca="1">IF(AND($AT1086&lt;3,OFFSET(DATA!$C$14,$AS1086,0)=BC$6),$AV1086,dNULL)</f>
        <v>-99</v>
      </c>
      <c r="BD1086">
        <f ca="1">IF(AND($AT1086&lt;3,OFFSET(DATA!$C$14,$AS1086,0)=BD$6),$AV1086,dNULL)</f>
        <v>-99</v>
      </c>
      <c r="BE1086">
        <f ca="1">IF(AND($AT1086&lt;3,OFFSET(DATA!$C$14,$AS1086,0)=BE$6),$AV1086,dNULL)</f>
        <v>-99</v>
      </c>
      <c r="BF1086">
        <f ca="1">IF(AND($AT1086&lt;3,OFFSET(DATA!$C$14,$AS1086,0)=BF$6),$AV1086,dNULL)</f>
        <v>-99</v>
      </c>
      <c r="BG1086">
        <f ca="1">IF(AND($AT1086&lt;3,OFFSET(DATA!$C$14,$AS1086,0)=BG$6),$AV1086,dNULL)</f>
        <v>-99</v>
      </c>
      <c r="BH1086">
        <f ca="1">IF(AND($AT1086&lt;3,OFFSET(DATA!$C$14,$AS1086,0)=BH$6),$AV1086,dNULL)</f>
        <v>-99</v>
      </c>
    </row>
    <row r="1087" spans="45:60" x14ac:dyDescent="0.25">
      <c r="AS1087">
        <f t="shared" si="152"/>
        <v>1</v>
      </c>
      <c r="AT1087">
        <f t="shared" si="153"/>
        <v>12</v>
      </c>
      <c r="AU1087">
        <f t="shared" ca="1" si="154"/>
        <v>-99</v>
      </c>
      <c r="AV1087">
        <f t="shared" ca="1" si="155"/>
        <v>-99</v>
      </c>
      <c r="AW1087">
        <f ca="1">IF(AND($AT1087&lt;3,OFFSET(DATA!$C$14,$AS1087,0)=AW$6),$AV1087,dNULL)</f>
        <v>-99</v>
      </c>
      <c r="AX1087">
        <f ca="1">IF(AND($AT1087&lt;3,OFFSET(DATA!$C$14,$AS1087,0)=AX$6),$AV1087,dNULL)</f>
        <v>-99</v>
      </c>
      <c r="AY1087">
        <f ca="1">IF(AND($AT1087&lt;3,OFFSET(DATA!$C$14,$AS1087,0)=AY$6),$AV1087,dNULL)</f>
        <v>-99</v>
      </c>
      <c r="AZ1087">
        <f ca="1">IF(AND($AT1087&lt;3,OFFSET(DATA!$C$14,$AS1087,0)=AZ$6),$AV1087,dNULL)</f>
        <v>-99</v>
      </c>
      <c r="BA1087">
        <f ca="1">IF(AND($AT1087&lt;3,OFFSET(DATA!$C$14,$AS1087,0)=BA$6),$AV1087,dNULL)</f>
        <v>-99</v>
      </c>
      <c r="BB1087">
        <f ca="1">IF(AND($AT1087&lt;3,OFFSET(DATA!$C$14,$AS1087,0)=BB$6),$AV1087,dNULL)</f>
        <v>-99</v>
      </c>
      <c r="BC1087">
        <f ca="1">IF(AND($AT1087&lt;3,OFFSET(DATA!$C$14,$AS1087,0)=BC$6),$AV1087,dNULL)</f>
        <v>-99</v>
      </c>
      <c r="BD1087">
        <f ca="1">IF(AND($AT1087&lt;3,OFFSET(DATA!$C$14,$AS1087,0)=BD$6),$AV1087,dNULL)</f>
        <v>-99</v>
      </c>
      <c r="BE1087">
        <f ca="1">IF(AND($AT1087&lt;3,OFFSET(DATA!$C$14,$AS1087,0)=BE$6),$AV1087,dNULL)</f>
        <v>-99</v>
      </c>
      <c r="BF1087">
        <f ca="1">IF(AND($AT1087&lt;3,OFFSET(DATA!$C$14,$AS1087,0)=BF$6),$AV1087,dNULL)</f>
        <v>-99</v>
      </c>
      <c r="BG1087">
        <f ca="1">IF(AND($AT1087&lt;3,OFFSET(DATA!$C$14,$AS1087,0)=BG$6),$AV1087,dNULL)</f>
        <v>-99</v>
      </c>
      <c r="BH1087">
        <f ca="1">IF(AND($AT1087&lt;3,OFFSET(DATA!$C$14,$AS1087,0)=BH$6),$AV1087,dNULL)</f>
        <v>-99</v>
      </c>
    </row>
    <row r="1088" spans="45:60" x14ac:dyDescent="0.25">
      <c r="AS1088">
        <f t="shared" si="152"/>
        <v>2</v>
      </c>
      <c r="AT1088">
        <f t="shared" si="153"/>
        <v>12</v>
      </c>
      <c r="AU1088">
        <f t="shared" ca="1" si="154"/>
        <v>-99</v>
      </c>
      <c r="AV1088">
        <f t="shared" ca="1" si="155"/>
        <v>-99</v>
      </c>
      <c r="AW1088">
        <f ca="1">IF(AND($AT1088&lt;3,OFFSET(DATA!$C$14,$AS1088,0)=AW$6),$AV1088,dNULL)</f>
        <v>-99</v>
      </c>
      <c r="AX1088">
        <f ca="1">IF(AND($AT1088&lt;3,OFFSET(DATA!$C$14,$AS1088,0)=AX$6),$AV1088,dNULL)</f>
        <v>-99</v>
      </c>
      <c r="AY1088">
        <f ca="1">IF(AND($AT1088&lt;3,OFFSET(DATA!$C$14,$AS1088,0)=AY$6),$AV1088,dNULL)</f>
        <v>-99</v>
      </c>
      <c r="AZ1088">
        <f ca="1">IF(AND($AT1088&lt;3,OFFSET(DATA!$C$14,$AS1088,0)=AZ$6),$AV1088,dNULL)</f>
        <v>-99</v>
      </c>
      <c r="BA1088">
        <f ca="1">IF(AND($AT1088&lt;3,OFFSET(DATA!$C$14,$AS1088,0)=BA$6),$AV1088,dNULL)</f>
        <v>-99</v>
      </c>
      <c r="BB1088">
        <f ca="1">IF(AND($AT1088&lt;3,OFFSET(DATA!$C$14,$AS1088,0)=BB$6),$AV1088,dNULL)</f>
        <v>-99</v>
      </c>
      <c r="BC1088">
        <f ca="1">IF(AND($AT1088&lt;3,OFFSET(DATA!$C$14,$AS1088,0)=BC$6),$AV1088,dNULL)</f>
        <v>-99</v>
      </c>
      <c r="BD1088">
        <f ca="1">IF(AND($AT1088&lt;3,OFFSET(DATA!$C$14,$AS1088,0)=BD$6),$AV1088,dNULL)</f>
        <v>-99</v>
      </c>
      <c r="BE1088">
        <f ca="1">IF(AND($AT1088&lt;3,OFFSET(DATA!$C$14,$AS1088,0)=BE$6),$AV1088,dNULL)</f>
        <v>-99</v>
      </c>
      <c r="BF1088">
        <f ca="1">IF(AND($AT1088&lt;3,OFFSET(DATA!$C$14,$AS1088,0)=BF$6),$AV1088,dNULL)</f>
        <v>-99</v>
      </c>
      <c r="BG1088">
        <f ca="1">IF(AND($AT1088&lt;3,OFFSET(DATA!$C$14,$AS1088,0)=BG$6),$AV1088,dNULL)</f>
        <v>-99</v>
      </c>
      <c r="BH1088">
        <f ca="1">IF(AND($AT1088&lt;3,OFFSET(DATA!$C$14,$AS1088,0)=BH$6),$AV1088,dNULL)</f>
        <v>-99</v>
      </c>
    </row>
    <row r="1089" spans="45:60" x14ac:dyDescent="0.25">
      <c r="AS1089">
        <f t="shared" si="152"/>
        <v>3</v>
      </c>
      <c r="AT1089">
        <f t="shared" si="153"/>
        <v>12</v>
      </c>
      <c r="AU1089">
        <f t="shared" ca="1" si="154"/>
        <v>-99</v>
      </c>
      <c r="AV1089">
        <f t="shared" ca="1" si="155"/>
        <v>-99</v>
      </c>
      <c r="AW1089">
        <f ca="1">IF(AND($AT1089&lt;3,OFFSET(DATA!$C$14,$AS1089,0)=AW$6),$AV1089,dNULL)</f>
        <v>-99</v>
      </c>
      <c r="AX1089">
        <f ca="1">IF(AND($AT1089&lt;3,OFFSET(DATA!$C$14,$AS1089,0)=AX$6),$AV1089,dNULL)</f>
        <v>-99</v>
      </c>
      <c r="AY1089">
        <f ca="1">IF(AND($AT1089&lt;3,OFFSET(DATA!$C$14,$AS1089,0)=AY$6),$AV1089,dNULL)</f>
        <v>-99</v>
      </c>
      <c r="AZ1089">
        <f ca="1">IF(AND($AT1089&lt;3,OFFSET(DATA!$C$14,$AS1089,0)=AZ$6),$AV1089,dNULL)</f>
        <v>-99</v>
      </c>
      <c r="BA1089">
        <f ca="1">IF(AND($AT1089&lt;3,OFFSET(DATA!$C$14,$AS1089,0)=BA$6),$AV1089,dNULL)</f>
        <v>-99</v>
      </c>
      <c r="BB1089">
        <f ca="1">IF(AND($AT1089&lt;3,OFFSET(DATA!$C$14,$AS1089,0)=BB$6),$AV1089,dNULL)</f>
        <v>-99</v>
      </c>
      <c r="BC1089">
        <f ca="1">IF(AND($AT1089&lt;3,OFFSET(DATA!$C$14,$AS1089,0)=BC$6),$AV1089,dNULL)</f>
        <v>-99</v>
      </c>
      <c r="BD1089">
        <f ca="1">IF(AND($AT1089&lt;3,OFFSET(DATA!$C$14,$AS1089,0)=BD$6),$AV1089,dNULL)</f>
        <v>-99</v>
      </c>
      <c r="BE1089">
        <f ca="1">IF(AND($AT1089&lt;3,OFFSET(DATA!$C$14,$AS1089,0)=BE$6),$AV1089,dNULL)</f>
        <v>-99</v>
      </c>
      <c r="BF1089">
        <f ca="1">IF(AND($AT1089&lt;3,OFFSET(DATA!$C$14,$AS1089,0)=BF$6),$AV1089,dNULL)</f>
        <v>-99</v>
      </c>
      <c r="BG1089">
        <f ca="1">IF(AND($AT1089&lt;3,OFFSET(DATA!$C$14,$AS1089,0)=BG$6),$AV1089,dNULL)</f>
        <v>-99</v>
      </c>
      <c r="BH1089">
        <f ca="1">IF(AND($AT1089&lt;3,OFFSET(DATA!$C$14,$AS1089,0)=BH$6),$AV1089,dNULL)</f>
        <v>-99</v>
      </c>
    </row>
    <row r="1090" spans="45:60" x14ac:dyDescent="0.25">
      <c r="AS1090">
        <f t="shared" si="152"/>
        <v>4</v>
      </c>
      <c r="AT1090">
        <f t="shared" si="153"/>
        <v>12</v>
      </c>
      <c r="AU1090">
        <f t="shared" ca="1" si="154"/>
        <v>-99</v>
      </c>
      <c r="AV1090">
        <f t="shared" ca="1" si="155"/>
        <v>-99</v>
      </c>
      <c r="AW1090">
        <f ca="1">IF(AND($AT1090&lt;3,OFFSET(DATA!$C$14,$AS1090,0)=AW$6),$AV1090,dNULL)</f>
        <v>-99</v>
      </c>
      <c r="AX1090">
        <f ca="1">IF(AND($AT1090&lt;3,OFFSET(DATA!$C$14,$AS1090,0)=AX$6),$AV1090,dNULL)</f>
        <v>-99</v>
      </c>
      <c r="AY1090">
        <f ca="1">IF(AND($AT1090&lt;3,OFFSET(DATA!$C$14,$AS1090,0)=AY$6),$AV1090,dNULL)</f>
        <v>-99</v>
      </c>
      <c r="AZ1090">
        <f ca="1">IF(AND($AT1090&lt;3,OFFSET(DATA!$C$14,$AS1090,0)=AZ$6),$AV1090,dNULL)</f>
        <v>-99</v>
      </c>
      <c r="BA1090">
        <f ca="1">IF(AND($AT1090&lt;3,OFFSET(DATA!$C$14,$AS1090,0)=BA$6),$AV1090,dNULL)</f>
        <v>-99</v>
      </c>
      <c r="BB1090">
        <f ca="1">IF(AND($AT1090&lt;3,OFFSET(DATA!$C$14,$AS1090,0)=BB$6),$AV1090,dNULL)</f>
        <v>-99</v>
      </c>
      <c r="BC1090">
        <f ca="1">IF(AND($AT1090&lt;3,OFFSET(DATA!$C$14,$AS1090,0)=BC$6),$AV1090,dNULL)</f>
        <v>-99</v>
      </c>
      <c r="BD1090">
        <f ca="1">IF(AND($AT1090&lt;3,OFFSET(DATA!$C$14,$AS1090,0)=BD$6),$AV1090,dNULL)</f>
        <v>-99</v>
      </c>
      <c r="BE1090">
        <f ca="1">IF(AND($AT1090&lt;3,OFFSET(DATA!$C$14,$AS1090,0)=BE$6),$AV1090,dNULL)</f>
        <v>-99</v>
      </c>
      <c r="BF1090">
        <f ca="1">IF(AND($AT1090&lt;3,OFFSET(DATA!$C$14,$AS1090,0)=BF$6),$AV1090,dNULL)</f>
        <v>-99</v>
      </c>
      <c r="BG1090">
        <f ca="1">IF(AND($AT1090&lt;3,OFFSET(DATA!$C$14,$AS1090,0)=BG$6),$AV1090,dNULL)</f>
        <v>-99</v>
      </c>
      <c r="BH1090">
        <f ca="1">IF(AND($AT1090&lt;3,OFFSET(DATA!$C$14,$AS1090,0)=BH$6),$AV1090,dNULL)</f>
        <v>-99</v>
      </c>
    </row>
    <row r="1091" spans="45:60" x14ac:dyDescent="0.25">
      <c r="AS1091">
        <f t="shared" si="152"/>
        <v>5</v>
      </c>
      <c r="AT1091">
        <f t="shared" si="153"/>
        <v>12</v>
      </c>
      <c r="AU1091">
        <f t="shared" ca="1" si="154"/>
        <v>-99</v>
      </c>
      <c r="AV1091">
        <f t="shared" ca="1" si="155"/>
        <v>-99</v>
      </c>
      <c r="AW1091">
        <f ca="1">IF(AND($AT1091&lt;3,OFFSET(DATA!$C$14,$AS1091,0)=AW$6),$AV1091,dNULL)</f>
        <v>-99</v>
      </c>
      <c r="AX1091">
        <f ca="1">IF(AND($AT1091&lt;3,OFFSET(DATA!$C$14,$AS1091,0)=AX$6),$AV1091,dNULL)</f>
        <v>-99</v>
      </c>
      <c r="AY1091">
        <f ca="1">IF(AND($AT1091&lt;3,OFFSET(DATA!$C$14,$AS1091,0)=AY$6),$AV1091,dNULL)</f>
        <v>-99</v>
      </c>
      <c r="AZ1091">
        <f ca="1">IF(AND($AT1091&lt;3,OFFSET(DATA!$C$14,$AS1091,0)=AZ$6),$AV1091,dNULL)</f>
        <v>-99</v>
      </c>
      <c r="BA1091">
        <f ca="1">IF(AND($AT1091&lt;3,OFFSET(DATA!$C$14,$AS1091,0)=BA$6),$AV1091,dNULL)</f>
        <v>-99</v>
      </c>
      <c r="BB1091">
        <f ca="1">IF(AND($AT1091&lt;3,OFFSET(DATA!$C$14,$AS1091,0)=BB$6),$AV1091,dNULL)</f>
        <v>-99</v>
      </c>
      <c r="BC1091">
        <f ca="1">IF(AND($AT1091&lt;3,OFFSET(DATA!$C$14,$AS1091,0)=BC$6),$AV1091,dNULL)</f>
        <v>-99</v>
      </c>
      <c r="BD1091">
        <f ca="1">IF(AND($AT1091&lt;3,OFFSET(DATA!$C$14,$AS1091,0)=BD$6),$AV1091,dNULL)</f>
        <v>-99</v>
      </c>
      <c r="BE1091">
        <f ca="1">IF(AND($AT1091&lt;3,OFFSET(DATA!$C$14,$AS1091,0)=BE$6),$AV1091,dNULL)</f>
        <v>-99</v>
      </c>
      <c r="BF1091">
        <f ca="1">IF(AND($AT1091&lt;3,OFFSET(DATA!$C$14,$AS1091,0)=BF$6),$AV1091,dNULL)</f>
        <v>-99</v>
      </c>
      <c r="BG1091">
        <f ca="1">IF(AND($AT1091&lt;3,OFFSET(DATA!$C$14,$AS1091,0)=BG$6),$AV1091,dNULL)</f>
        <v>-99</v>
      </c>
      <c r="BH1091">
        <f ca="1">IF(AND($AT1091&lt;3,OFFSET(DATA!$C$14,$AS1091,0)=BH$6),$AV1091,dNULL)</f>
        <v>-99</v>
      </c>
    </row>
    <row r="1092" spans="45:60" x14ac:dyDescent="0.25">
      <c r="AS1092">
        <f t="shared" si="152"/>
        <v>6</v>
      </c>
      <c r="AT1092">
        <f t="shared" si="153"/>
        <v>12</v>
      </c>
      <c r="AU1092">
        <f t="shared" ca="1" si="154"/>
        <v>-99</v>
      </c>
      <c r="AV1092">
        <f t="shared" ca="1" si="155"/>
        <v>-99</v>
      </c>
      <c r="AW1092">
        <f ca="1">IF(AND($AT1092&lt;3,OFFSET(DATA!$C$14,$AS1092,0)=AW$6),$AV1092,dNULL)</f>
        <v>-99</v>
      </c>
      <c r="AX1092">
        <f ca="1">IF(AND($AT1092&lt;3,OFFSET(DATA!$C$14,$AS1092,0)=AX$6),$AV1092,dNULL)</f>
        <v>-99</v>
      </c>
      <c r="AY1092">
        <f ca="1">IF(AND($AT1092&lt;3,OFFSET(DATA!$C$14,$AS1092,0)=AY$6),$AV1092,dNULL)</f>
        <v>-99</v>
      </c>
      <c r="AZ1092">
        <f ca="1">IF(AND($AT1092&lt;3,OFFSET(DATA!$C$14,$AS1092,0)=AZ$6),$AV1092,dNULL)</f>
        <v>-99</v>
      </c>
      <c r="BA1092">
        <f ca="1">IF(AND($AT1092&lt;3,OFFSET(DATA!$C$14,$AS1092,0)=BA$6),$AV1092,dNULL)</f>
        <v>-99</v>
      </c>
      <c r="BB1092">
        <f ca="1">IF(AND($AT1092&lt;3,OFFSET(DATA!$C$14,$AS1092,0)=BB$6),$AV1092,dNULL)</f>
        <v>-99</v>
      </c>
      <c r="BC1092">
        <f ca="1">IF(AND($AT1092&lt;3,OFFSET(DATA!$C$14,$AS1092,0)=BC$6),$AV1092,dNULL)</f>
        <v>-99</v>
      </c>
      <c r="BD1092">
        <f ca="1">IF(AND($AT1092&lt;3,OFFSET(DATA!$C$14,$AS1092,0)=BD$6),$AV1092,dNULL)</f>
        <v>-99</v>
      </c>
      <c r="BE1092">
        <f ca="1">IF(AND($AT1092&lt;3,OFFSET(DATA!$C$14,$AS1092,0)=BE$6),$AV1092,dNULL)</f>
        <v>-99</v>
      </c>
      <c r="BF1092">
        <f ca="1">IF(AND($AT1092&lt;3,OFFSET(DATA!$C$14,$AS1092,0)=BF$6),$AV1092,dNULL)</f>
        <v>-99</v>
      </c>
      <c r="BG1092">
        <f ca="1">IF(AND($AT1092&lt;3,OFFSET(DATA!$C$14,$AS1092,0)=BG$6),$AV1092,dNULL)</f>
        <v>-99</v>
      </c>
      <c r="BH1092">
        <f ca="1">IF(AND($AT1092&lt;3,OFFSET(DATA!$C$14,$AS1092,0)=BH$6),$AV1092,dNULL)</f>
        <v>-99</v>
      </c>
    </row>
    <row r="1093" spans="45:60" x14ac:dyDescent="0.25">
      <c r="AS1093">
        <f t="shared" si="152"/>
        <v>7</v>
      </c>
      <c r="AT1093">
        <f t="shared" si="153"/>
        <v>12</v>
      </c>
      <c r="AU1093">
        <f t="shared" ca="1" si="154"/>
        <v>-99</v>
      </c>
      <c r="AV1093">
        <f t="shared" ca="1" si="155"/>
        <v>-99</v>
      </c>
      <c r="AW1093">
        <f ca="1">IF(AND($AT1093&lt;3,OFFSET(DATA!$C$14,$AS1093,0)=AW$6),$AV1093,dNULL)</f>
        <v>-99</v>
      </c>
      <c r="AX1093">
        <f ca="1">IF(AND($AT1093&lt;3,OFFSET(DATA!$C$14,$AS1093,0)=AX$6),$AV1093,dNULL)</f>
        <v>-99</v>
      </c>
      <c r="AY1093">
        <f ca="1">IF(AND($AT1093&lt;3,OFFSET(DATA!$C$14,$AS1093,0)=AY$6),$AV1093,dNULL)</f>
        <v>-99</v>
      </c>
      <c r="AZ1093">
        <f ca="1">IF(AND($AT1093&lt;3,OFFSET(DATA!$C$14,$AS1093,0)=AZ$6),$AV1093,dNULL)</f>
        <v>-99</v>
      </c>
      <c r="BA1093">
        <f ca="1">IF(AND($AT1093&lt;3,OFFSET(DATA!$C$14,$AS1093,0)=BA$6),$AV1093,dNULL)</f>
        <v>-99</v>
      </c>
      <c r="BB1093">
        <f ca="1">IF(AND($AT1093&lt;3,OFFSET(DATA!$C$14,$AS1093,0)=BB$6),$AV1093,dNULL)</f>
        <v>-99</v>
      </c>
      <c r="BC1093">
        <f ca="1">IF(AND($AT1093&lt;3,OFFSET(DATA!$C$14,$AS1093,0)=BC$6),$AV1093,dNULL)</f>
        <v>-99</v>
      </c>
      <c r="BD1093">
        <f ca="1">IF(AND($AT1093&lt;3,OFFSET(DATA!$C$14,$AS1093,0)=BD$6),$AV1093,dNULL)</f>
        <v>-99</v>
      </c>
      <c r="BE1093">
        <f ca="1">IF(AND($AT1093&lt;3,OFFSET(DATA!$C$14,$AS1093,0)=BE$6),$AV1093,dNULL)</f>
        <v>-99</v>
      </c>
      <c r="BF1093">
        <f ca="1">IF(AND($AT1093&lt;3,OFFSET(DATA!$C$14,$AS1093,0)=BF$6),$AV1093,dNULL)</f>
        <v>-99</v>
      </c>
      <c r="BG1093">
        <f ca="1">IF(AND($AT1093&lt;3,OFFSET(DATA!$C$14,$AS1093,0)=BG$6),$AV1093,dNULL)</f>
        <v>-99</v>
      </c>
      <c r="BH1093">
        <f ca="1">IF(AND($AT1093&lt;3,OFFSET(DATA!$C$14,$AS1093,0)=BH$6),$AV1093,dNULL)</f>
        <v>-99</v>
      </c>
    </row>
    <row r="1094" spans="45:60" x14ac:dyDescent="0.25">
      <c r="AS1094">
        <f t="shared" si="152"/>
        <v>8</v>
      </c>
      <c r="AT1094">
        <f t="shared" si="153"/>
        <v>12</v>
      </c>
      <c r="AU1094">
        <f t="shared" ca="1" si="154"/>
        <v>-99</v>
      </c>
      <c r="AV1094">
        <f t="shared" ca="1" si="155"/>
        <v>-99</v>
      </c>
      <c r="AW1094">
        <f ca="1">IF(AND($AT1094&lt;3,OFFSET(DATA!$C$14,$AS1094,0)=AW$6),$AV1094,dNULL)</f>
        <v>-99</v>
      </c>
      <c r="AX1094">
        <f ca="1">IF(AND($AT1094&lt;3,OFFSET(DATA!$C$14,$AS1094,0)=AX$6),$AV1094,dNULL)</f>
        <v>-99</v>
      </c>
      <c r="AY1094">
        <f ca="1">IF(AND($AT1094&lt;3,OFFSET(DATA!$C$14,$AS1094,0)=AY$6),$AV1094,dNULL)</f>
        <v>-99</v>
      </c>
      <c r="AZ1094">
        <f ca="1">IF(AND($AT1094&lt;3,OFFSET(DATA!$C$14,$AS1094,0)=AZ$6),$AV1094,dNULL)</f>
        <v>-99</v>
      </c>
      <c r="BA1094">
        <f ca="1">IF(AND($AT1094&lt;3,OFFSET(DATA!$C$14,$AS1094,0)=BA$6),$AV1094,dNULL)</f>
        <v>-99</v>
      </c>
      <c r="BB1094">
        <f ca="1">IF(AND($AT1094&lt;3,OFFSET(DATA!$C$14,$AS1094,0)=BB$6),$AV1094,dNULL)</f>
        <v>-99</v>
      </c>
      <c r="BC1094">
        <f ca="1">IF(AND($AT1094&lt;3,OFFSET(DATA!$C$14,$AS1094,0)=BC$6),$AV1094,dNULL)</f>
        <v>-99</v>
      </c>
      <c r="BD1094">
        <f ca="1">IF(AND($AT1094&lt;3,OFFSET(DATA!$C$14,$AS1094,0)=BD$6),$AV1094,dNULL)</f>
        <v>-99</v>
      </c>
      <c r="BE1094">
        <f ca="1">IF(AND($AT1094&lt;3,OFFSET(DATA!$C$14,$AS1094,0)=BE$6),$AV1094,dNULL)</f>
        <v>-99</v>
      </c>
      <c r="BF1094">
        <f ca="1">IF(AND($AT1094&lt;3,OFFSET(DATA!$C$14,$AS1094,0)=BF$6),$AV1094,dNULL)</f>
        <v>-99</v>
      </c>
      <c r="BG1094">
        <f ca="1">IF(AND($AT1094&lt;3,OFFSET(DATA!$C$14,$AS1094,0)=BG$6),$AV1094,dNULL)</f>
        <v>-99</v>
      </c>
      <c r="BH1094">
        <f ca="1">IF(AND($AT1094&lt;3,OFFSET(DATA!$C$14,$AS1094,0)=BH$6),$AV1094,dNULL)</f>
        <v>-99</v>
      </c>
    </row>
    <row r="1095" spans="45:60" x14ac:dyDescent="0.25">
      <c r="AS1095">
        <f t="shared" ref="AS1095:AS1158" si="156">MOD(ROW(AT1095)-ROW($AT$7),lCNTsites)+1</f>
        <v>9</v>
      </c>
      <c r="AT1095">
        <f t="shared" ref="AT1095:AT1158" si="157">INT((ROW(AT1095)-ROW($AT$7))/lCNTsites)</f>
        <v>12</v>
      </c>
      <c r="AU1095">
        <f t="shared" ref="AU1095:AU1158" ca="1" si="158">IF($AT1095=0,(1-OFFSET($AL$6,$AS1095,$AT1095*2))-OFFSET($AL$6,$AS1095,$AT1095*2+1)*$K$8,IF($AT1095=1,dAnionOFF+1+OFFSET($AL$6,$AS1095,$AT1095*2)+OFFSET($AL$6,$AS1095,$AT1095*2+1)/2,IF($AT1095=2,$K$17-(1-OFFSET($AL$6,$AS1095,$AT1095*2))*0.5+(1-OFFSET($AL$6,$AS1095,$AT1095*2+1))*0.5,dNULL)))</f>
        <v>-99</v>
      </c>
      <c r="AV1095">
        <f t="shared" ref="AV1095:AV1158" ca="1" si="159">IF($AT1095=0,OFFSET($AL$6,$AS1095,$AT1095*2+1)*$L$8,IF($AT1095=1,OFFSET($AL$6,$AS1095,$AT1095*2+1)*3^0.5/2,IF($AT1095=2,$L$17+(2-OFFSET($AL$6,$AS1095,$AT1095*2)-OFFSET($AL$6,$AS1095,$AT1095*2+1))*$L$8,dNULL)))</f>
        <v>-99</v>
      </c>
      <c r="AW1095">
        <f ca="1">IF(AND($AT1095&lt;3,OFFSET(DATA!$C$14,$AS1095,0)=AW$6),$AV1095,dNULL)</f>
        <v>-99</v>
      </c>
      <c r="AX1095">
        <f ca="1">IF(AND($AT1095&lt;3,OFFSET(DATA!$C$14,$AS1095,0)=AX$6),$AV1095,dNULL)</f>
        <v>-99</v>
      </c>
      <c r="AY1095">
        <f ca="1">IF(AND($AT1095&lt;3,OFFSET(DATA!$C$14,$AS1095,0)=AY$6),$AV1095,dNULL)</f>
        <v>-99</v>
      </c>
      <c r="AZ1095">
        <f ca="1">IF(AND($AT1095&lt;3,OFFSET(DATA!$C$14,$AS1095,0)=AZ$6),$AV1095,dNULL)</f>
        <v>-99</v>
      </c>
      <c r="BA1095">
        <f ca="1">IF(AND($AT1095&lt;3,OFFSET(DATA!$C$14,$AS1095,0)=BA$6),$AV1095,dNULL)</f>
        <v>-99</v>
      </c>
      <c r="BB1095">
        <f ca="1">IF(AND($AT1095&lt;3,OFFSET(DATA!$C$14,$AS1095,0)=BB$6),$AV1095,dNULL)</f>
        <v>-99</v>
      </c>
      <c r="BC1095">
        <f ca="1">IF(AND($AT1095&lt;3,OFFSET(DATA!$C$14,$AS1095,0)=BC$6),$AV1095,dNULL)</f>
        <v>-99</v>
      </c>
      <c r="BD1095">
        <f ca="1">IF(AND($AT1095&lt;3,OFFSET(DATA!$C$14,$AS1095,0)=BD$6),$AV1095,dNULL)</f>
        <v>-99</v>
      </c>
      <c r="BE1095">
        <f ca="1">IF(AND($AT1095&lt;3,OFFSET(DATA!$C$14,$AS1095,0)=BE$6),$AV1095,dNULL)</f>
        <v>-99</v>
      </c>
      <c r="BF1095">
        <f ca="1">IF(AND($AT1095&lt;3,OFFSET(DATA!$C$14,$AS1095,0)=BF$6),$AV1095,dNULL)</f>
        <v>-99</v>
      </c>
      <c r="BG1095">
        <f ca="1">IF(AND($AT1095&lt;3,OFFSET(DATA!$C$14,$AS1095,0)=BG$6),$AV1095,dNULL)</f>
        <v>-99</v>
      </c>
      <c r="BH1095">
        <f ca="1">IF(AND($AT1095&lt;3,OFFSET(DATA!$C$14,$AS1095,0)=BH$6),$AV1095,dNULL)</f>
        <v>-99</v>
      </c>
    </row>
    <row r="1096" spans="45:60" x14ac:dyDescent="0.25">
      <c r="AS1096">
        <f t="shared" si="156"/>
        <v>10</v>
      </c>
      <c r="AT1096">
        <f t="shared" si="157"/>
        <v>12</v>
      </c>
      <c r="AU1096">
        <f t="shared" ca="1" si="158"/>
        <v>-99</v>
      </c>
      <c r="AV1096">
        <f t="shared" ca="1" si="159"/>
        <v>-99</v>
      </c>
      <c r="AW1096">
        <f ca="1">IF(AND($AT1096&lt;3,OFFSET(DATA!$C$14,$AS1096,0)=AW$6),$AV1096,dNULL)</f>
        <v>-99</v>
      </c>
      <c r="AX1096">
        <f ca="1">IF(AND($AT1096&lt;3,OFFSET(DATA!$C$14,$AS1096,0)=AX$6),$AV1096,dNULL)</f>
        <v>-99</v>
      </c>
      <c r="AY1096">
        <f ca="1">IF(AND($AT1096&lt;3,OFFSET(DATA!$C$14,$AS1096,0)=AY$6),$AV1096,dNULL)</f>
        <v>-99</v>
      </c>
      <c r="AZ1096">
        <f ca="1">IF(AND($AT1096&lt;3,OFFSET(DATA!$C$14,$AS1096,0)=AZ$6),$AV1096,dNULL)</f>
        <v>-99</v>
      </c>
      <c r="BA1096">
        <f ca="1">IF(AND($AT1096&lt;3,OFFSET(DATA!$C$14,$AS1096,0)=BA$6),$AV1096,dNULL)</f>
        <v>-99</v>
      </c>
      <c r="BB1096">
        <f ca="1">IF(AND($AT1096&lt;3,OFFSET(DATA!$C$14,$AS1096,0)=BB$6),$AV1096,dNULL)</f>
        <v>-99</v>
      </c>
      <c r="BC1096">
        <f ca="1">IF(AND($AT1096&lt;3,OFFSET(DATA!$C$14,$AS1096,0)=BC$6),$AV1096,dNULL)</f>
        <v>-99</v>
      </c>
      <c r="BD1096">
        <f ca="1">IF(AND($AT1096&lt;3,OFFSET(DATA!$C$14,$AS1096,0)=BD$6),$AV1096,dNULL)</f>
        <v>-99</v>
      </c>
      <c r="BE1096">
        <f ca="1">IF(AND($AT1096&lt;3,OFFSET(DATA!$C$14,$AS1096,0)=BE$6),$AV1096,dNULL)</f>
        <v>-99</v>
      </c>
      <c r="BF1096">
        <f ca="1">IF(AND($AT1096&lt;3,OFFSET(DATA!$C$14,$AS1096,0)=BF$6),$AV1096,dNULL)</f>
        <v>-99</v>
      </c>
      <c r="BG1096">
        <f ca="1">IF(AND($AT1096&lt;3,OFFSET(DATA!$C$14,$AS1096,0)=BG$6),$AV1096,dNULL)</f>
        <v>-99</v>
      </c>
      <c r="BH1096">
        <f ca="1">IF(AND($AT1096&lt;3,OFFSET(DATA!$C$14,$AS1096,0)=BH$6),$AV1096,dNULL)</f>
        <v>-99</v>
      </c>
    </row>
    <row r="1097" spans="45:60" x14ac:dyDescent="0.25">
      <c r="AS1097">
        <f t="shared" si="156"/>
        <v>11</v>
      </c>
      <c r="AT1097">
        <f t="shared" si="157"/>
        <v>12</v>
      </c>
      <c r="AU1097">
        <f t="shared" ca="1" si="158"/>
        <v>-99</v>
      </c>
      <c r="AV1097">
        <f t="shared" ca="1" si="159"/>
        <v>-99</v>
      </c>
      <c r="AW1097">
        <f ca="1">IF(AND($AT1097&lt;3,OFFSET(DATA!$C$14,$AS1097,0)=AW$6),$AV1097,dNULL)</f>
        <v>-99</v>
      </c>
      <c r="AX1097">
        <f ca="1">IF(AND($AT1097&lt;3,OFFSET(DATA!$C$14,$AS1097,0)=AX$6),$AV1097,dNULL)</f>
        <v>-99</v>
      </c>
      <c r="AY1097">
        <f ca="1">IF(AND($AT1097&lt;3,OFFSET(DATA!$C$14,$AS1097,0)=AY$6),$AV1097,dNULL)</f>
        <v>-99</v>
      </c>
      <c r="AZ1097">
        <f ca="1">IF(AND($AT1097&lt;3,OFFSET(DATA!$C$14,$AS1097,0)=AZ$6),$AV1097,dNULL)</f>
        <v>-99</v>
      </c>
      <c r="BA1097">
        <f ca="1">IF(AND($AT1097&lt;3,OFFSET(DATA!$C$14,$AS1097,0)=BA$6),$AV1097,dNULL)</f>
        <v>-99</v>
      </c>
      <c r="BB1097">
        <f ca="1">IF(AND($AT1097&lt;3,OFFSET(DATA!$C$14,$AS1097,0)=BB$6),$AV1097,dNULL)</f>
        <v>-99</v>
      </c>
      <c r="BC1097">
        <f ca="1">IF(AND($AT1097&lt;3,OFFSET(DATA!$C$14,$AS1097,0)=BC$6),$AV1097,dNULL)</f>
        <v>-99</v>
      </c>
      <c r="BD1097">
        <f ca="1">IF(AND($AT1097&lt;3,OFFSET(DATA!$C$14,$AS1097,0)=BD$6),$AV1097,dNULL)</f>
        <v>-99</v>
      </c>
      <c r="BE1097">
        <f ca="1">IF(AND($AT1097&lt;3,OFFSET(DATA!$C$14,$AS1097,0)=BE$6),$AV1097,dNULL)</f>
        <v>-99</v>
      </c>
      <c r="BF1097">
        <f ca="1">IF(AND($AT1097&lt;3,OFFSET(DATA!$C$14,$AS1097,0)=BF$6),$AV1097,dNULL)</f>
        <v>-99</v>
      </c>
      <c r="BG1097">
        <f ca="1">IF(AND($AT1097&lt;3,OFFSET(DATA!$C$14,$AS1097,0)=BG$6),$AV1097,dNULL)</f>
        <v>-99</v>
      </c>
      <c r="BH1097">
        <f ca="1">IF(AND($AT1097&lt;3,OFFSET(DATA!$C$14,$AS1097,0)=BH$6),$AV1097,dNULL)</f>
        <v>-99</v>
      </c>
    </row>
    <row r="1098" spans="45:60" x14ac:dyDescent="0.25">
      <c r="AS1098">
        <f t="shared" si="156"/>
        <v>12</v>
      </c>
      <c r="AT1098">
        <f t="shared" si="157"/>
        <v>12</v>
      </c>
      <c r="AU1098">
        <f t="shared" ca="1" si="158"/>
        <v>-99</v>
      </c>
      <c r="AV1098">
        <f t="shared" ca="1" si="159"/>
        <v>-99</v>
      </c>
      <c r="AW1098">
        <f ca="1">IF(AND($AT1098&lt;3,OFFSET(DATA!$C$14,$AS1098,0)=AW$6),$AV1098,dNULL)</f>
        <v>-99</v>
      </c>
      <c r="AX1098">
        <f ca="1">IF(AND($AT1098&lt;3,OFFSET(DATA!$C$14,$AS1098,0)=AX$6),$AV1098,dNULL)</f>
        <v>-99</v>
      </c>
      <c r="AY1098">
        <f ca="1">IF(AND($AT1098&lt;3,OFFSET(DATA!$C$14,$AS1098,0)=AY$6),$AV1098,dNULL)</f>
        <v>-99</v>
      </c>
      <c r="AZ1098">
        <f ca="1">IF(AND($AT1098&lt;3,OFFSET(DATA!$C$14,$AS1098,0)=AZ$6),$AV1098,dNULL)</f>
        <v>-99</v>
      </c>
      <c r="BA1098">
        <f ca="1">IF(AND($AT1098&lt;3,OFFSET(DATA!$C$14,$AS1098,0)=BA$6),$AV1098,dNULL)</f>
        <v>-99</v>
      </c>
      <c r="BB1098">
        <f ca="1">IF(AND($AT1098&lt;3,OFFSET(DATA!$C$14,$AS1098,0)=BB$6),$AV1098,dNULL)</f>
        <v>-99</v>
      </c>
      <c r="BC1098">
        <f ca="1">IF(AND($AT1098&lt;3,OFFSET(DATA!$C$14,$AS1098,0)=BC$6),$AV1098,dNULL)</f>
        <v>-99</v>
      </c>
      <c r="BD1098">
        <f ca="1">IF(AND($AT1098&lt;3,OFFSET(DATA!$C$14,$AS1098,0)=BD$6),$AV1098,dNULL)</f>
        <v>-99</v>
      </c>
      <c r="BE1098">
        <f ca="1">IF(AND($AT1098&lt;3,OFFSET(DATA!$C$14,$AS1098,0)=BE$6),$AV1098,dNULL)</f>
        <v>-99</v>
      </c>
      <c r="BF1098">
        <f ca="1">IF(AND($AT1098&lt;3,OFFSET(DATA!$C$14,$AS1098,0)=BF$6),$AV1098,dNULL)</f>
        <v>-99</v>
      </c>
      <c r="BG1098">
        <f ca="1">IF(AND($AT1098&lt;3,OFFSET(DATA!$C$14,$AS1098,0)=BG$6),$AV1098,dNULL)</f>
        <v>-99</v>
      </c>
      <c r="BH1098">
        <f ca="1">IF(AND($AT1098&lt;3,OFFSET(DATA!$C$14,$AS1098,0)=BH$6),$AV1098,dNULL)</f>
        <v>-99</v>
      </c>
    </row>
    <row r="1099" spans="45:60" x14ac:dyDescent="0.25">
      <c r="AS1099">
        <f t="shared" si="156"/>
        <v>13</v>
      </c>
      <c r="AT1099">
        <f t="shared" si="157"/>
        <v>12</v>
      </c>
      <c r="AU1099">
        <f t="shared" ca="1" si="158"/>
        <v>-99</v>
      </c>
      <c r="AV1099">
        <f t="shared" ca="1" si="159"/>
        <v>-99</v>
      </c>
      <c r="AW1099">
        <f ca="1">IF(AND($AT1099&lt;3,OFFSET(DATA!$C$14,$AS1099,0)=AW$6),$AV1099,dNULL)</f>
        <v>-99</v>
      </c>
      <c r="AX1099">
        <f ca="1">IF(AND($AT1099&lt;3,OFFSET(DATA!$C$14,$AS1099,0)=AX$6),$AV1099,dNULL)</f>
        <v>-99</v>
      </c>
      <c r="AY1099">
        <f ca="1">IF(AND($AT1099&lt;3,OFFSET(DATA!$C$14,$AS1099,0)=AY$6),$AV1099,dNULL)</f>
        <v>-99</v>
      </c>
      <c r="AZ1099">
        <f ca="1">IF(AND($AT1099&lt;3,OFFSET(DATA!$C$14,$AS1099,0)=AZ$6),$AV1099,dNULL)</f>
        <v>-99</v>
      </c>
      <c r="BA1099">
        <f ca="1">IF(AND($AT1099&lt;3,OFFSET(DATA!$C$14,$AS1099,0)=BA$6),$AV1099,dNULL)</f>
        <v>-99</v>
      </c>
      <c r="BB1099">
        <f ca="1">IF(AND($AT1099&lt;3,OFFSET(DATA!$C$14,$AS1099,0)=BB$6),$AV1099,dNULL)</f>
        <v>-99</v>
      </c>
      <c r="BC1099">
        <f ca="1">IF(AND($AT1099&lt;3,OFFSET(DATA!$C$14,$AS1099,0)=BC$6),$AV1099,dNULL)</f>
        <v>-99</v>
      </c>
      <c r="BD1099">
        <f ca="1">IF(AND($AT1099&lt;3,OFFSET(DATA!$C$14,$AS1099,0)=BD$6),$AV1099,dNULL)</f>
        <v>-99</v>
      </c>
      <c r="BE1099">
        <f ca="1">IF(AND($AT1099&lt;3,OFFSET(DATA!$C$14,$AS1099,0)=BE$6),$AV1099,dNULL)</f>
        <v>-99</v>
      </c>
      <c r="BF1099">
        <f ca="1">IF(AND($AT1099&lt;3,OFFSET(DATA!$C$14,$AS1099,0)=BF$6),$AV1099,dNULL)</f>
        <v>-99</v>
      </c>
      <c r="BG1099">
        <f ca="1">IF(AND($AT1099&lt;3,OFFSET(DATA!$C$14,$AS1099,0)=BG$6),$AV1099,dNULL)</f>
        <v>-99</v>
      </c>
      <c r="BH1099">
        <f ca="1">IF(AND($AT1099&lt;3,OFFSET(DATA!$C$14,$AS1099,0)=BH$6),$AV1099,dNULL)</f>
        <v>-99</v>
      </c>
    </row>
    <row r="1100" spans="45:60" x14ac:dyDescent="0.25">
      <c r="AS1100">
        <f t="shared" si="156"/>
        <v>14</v>
      </c>
      <c r="AT1100">
        <f t="shared" si="157"/>
        <v>12</v>
      </c>
      <c r="AU1100">
        <f t="shared" ca="1" si="158"/>
        <v>-99</v>
      </c>
      <c r="AV1100">
        <f t="shared" ca="1" si="159"/>
        <v>-99</v>
      </c>
      <c r="AW1100">
        <f ca="1">IF(AND($AT1100&lt;3,OFFSET(DATA!$C$14,$AS1100,0)=AW$6),$AV1100,dNULL)</f>
        <v>-99</v>
      </c>
      <c r="AX1100">
        <f ca="1">IF(AND($AT1100&lt;3,OFFSET(DATA!$C$14,$AS1100,0)=AX$6),$AV1100,dNULL)</f>
        <v>-99</v>
      </c>
      <c r="AY1100">
        <f ca="1">IF(AND($AT1100&lt;3,OFFSET(DATA!$C$14,$AS1100,0)=AY$6),$AV1100,dNULL)</f>
        <v>-99</v>
      </c>
      <c r="AZ1100">
        <f ca="1">IF(AND($AT1100&lt;3,OFFSET(DATA!$C$14,$AS1100,0)=AZ$6),$AV1100,dNULL)</f>
        <v>-99</v>
      </c>
      <c r="BA1100">
        <f ca="1">IF(AND($AT1100&lt;3,OFFSET(DATA!$C$14,$AS1100,0)=BA$6),$AV1100,dNULL)</f>
        <v>-99</v>
      </c>
      <c r="BB1100">
        <f ca="1">IF(AND($AT1100&lt;3,OFFSET(DATA!$C$14,$AS1100,0)=BB$6),$AV1100,dNULL)</f>
        <v>-99</v>
      </c>
      <c r="BC1100">
        <f ca="1">IF(AND($AT1100&lt;3,OFFSET(DATA!$C$14,$AS1100,0)=BC$6),$AV1100,dNULL)</f>
        <v>-99</v>
      </c>
      <c r="BD1100">
        <f ca="1">IF(AND($AT1100&lt;3,OFFSET(DATA!$C$14,$AS1100,0)=BD$6),$AV1100,dNULL)</f>
        <v>-99</v>
      </c>
      <c r="BE1100">
        <f ca="1">IF(AND($AT1100&lt;3,OFFSET(DATA!$C$14,$AS1100,0)=BE$6),$AV1100,dNULL)</f>
        <v>-99</v>
      </c>
      <c r="BF1100">
        <f ca="1">IF(AND($AT1100&lt;3,OFFSET(DATA!$C$14,$AS1100,0)=BF$6),$AV1100,dNULL)</f>
        <v>-99</v>
      </c>
      <c r="BG1100">
        <f ca="1">IF(AND($AT1100&lt;3,OFFSET(DATA!$C$14,$AS1100,0)=BG$6),$AV1100,dNULL)</f>
        <v>-99</v>
      </c>
      <c r="BH1100">
        <f ca="1">IF(AND($AT1100&lt;3,OFFSET(DATA!$C$14,$AS1100,0)=BH$6),$AV1100,dNULL)</f>
        <v>-99</v>
      </c>
    </row>
    <row r="1101" spans="45:60" x14ac:dyDescent="0.25">
      <c r="AS1101">
        <f t="shared" si="156"/>
        <v>15</v>
      </c>
      <c r="AT1101">
        <f t="shared" si="157"/>
        <v>12</v>
      </c>
      <c r="AU1101">
        <f t="shared" ca="1" si="158"/>
        <v>-99</v>
      </c>
      <c r="AV1101">
        <f t="shared" ca="1" si="159"/>
        <v>-99</v>
      </c>
      <c r="AW1101">
        <f ca="1">IF(AND($AT1101&lt;3,OFFSET(DATA!$C$14,$AS1101,0)=AW$6),$AV1101,dNULL)</f>
        <v>-99</v>
      </c>
      <c r="AX1101">
        <f ca="1">IF(AND($AT1101&lt;3,OFFSET(DATA!$C$14,$AS1101,0)=AX$6),$AV1101,dNULL)</f>
        <v>-99</v>
      </c>
      <c r="AY1101">
        <f ca="1">IF(AND($AT1101&lt;3,OFFSET(DATA!$C$14,$AS1101,0)=AY$6),$AV1101,dNULL)</f>
        <v>-99</v>
      </c>
      <c r="AZ1101">
        <f ca="1">IF(AND($AT1101&lt;3,OFFSET(DATA!$C$14,$AS1101,0)=AZ$6),$AV1101,dNULL)</f>
        <v>-99</v>
      </c>
      <c r="BA1101">
        <f ca="1">IF(AND($AT1101&lt;3,OFFSET(DATA!$C$14,$AS1101,0)=BA$6),$AV1101,dNULL)</f>
        <v>-99</v>
      </c>
      <c r="BB1101">
        <f ca="1">IF(AND($AT1101&lt;3,OFFSET(DATA!$C$14,$AS1101,0)=BB$6),$AV1101,dNULL)</f>
        <v>-99</v>
      </c>
      <c r="BC1101">
        <f ca="1">IF(AND($AT1101&lt;3,OFFSET(DATA!$C$14,$AS1101,0)=BC$6),$AV1101,dNULL)</f>
        <v>-99</v>
      </c>
      <c r="BD1101">
        <f ca="1">IF(AND($AT1101&lt;3,OFFSET(DATA!$C$14,$AS1101,0)=BD$6),$AV1101,dNULL)</f>
        <v>-99</v>
      </c>
      <c r="BE1101">
        <f ca="1">IF(AND($AT1101&lt;3,OFFSET(DATA!$C$14,$AS1101,0)=BE$6),$AV1101,dNULL)</f>
        <v>-99</v>
      </c>
      <c r="BF1101">
        <f ca="1">IF(AND($AT1101&lt;3,OFFSET(DATA!$C$14,$AS1101,0)=BF$6),$AV1101,dNULL)</f>
        <v>-99</v>
      </c>
      <c r="BG1101">
        <f ca="1">IF(AND($AT1101&lt;3,OFFSET(DATA!$C$14,$AS1101,0)=BG$6),$AV1101,dNULL)</f>
        <v>-99</v>
      </c>
      <c r="BH1101">
        <f ca="1">IF(AND($AT1101&lt;3,OFFSET(DATA!$C$14,$AS1101,0)=BH$6),$AV1101,dNULL)</f>
        <v>-99</v>
      </c>
    </row>
    <row r="1102" spans="45:60" x14ac:dyDescent="0.25">
      <c r="AS1102">
        <f t="shared" si="156"/>
        <v>16</v>
      </c>
      <c r="AT1102">
        <f t="shared" si="157"/>
        <v>12</v>
      </c>
      <c r="AU1102">
        <f t="shared" ca="1" si="158"/>
        <v>-99</v>
      </c>
      <c r="AV1102">
        <f t="shared" ca="1" si="159"/>
        <v>-99</v>
      </c>
      <c r="AW1102">
        <f ca="1">IF(AND($AT1102&lt;3,OFFSET(DATA!$C$14,$AS1102,0)=AW$6),$AV1102,dNULL)</f>
        <v>-99</v>
      </c>
      <c r="AX1102">
        <f ca="1">IF(AND($AT1102&lt;3,OFFSET(DATA!$C$14,$AS1102,0)=AX$6),$AV1102,dNULL)</f>
        <v>-99</v>
      </c>
      <c r="AY1102">
        <f ca="1">IF(AND($AT1102&lt;3,OFFSET(DATA!$C$14,$AS1102,0)=AY$6),$AV1102,dNULL)</f>
        <v>-99</v>
      </c>
      <c r="AZ1102">
        <f ca="1">IF(AND($AT1102&lt;3,OFFSET(DATA!$C$14,$AS1102,0)=AZ$6),$AV1102,dNULL)</f>
        <v>-99</v>
      </c>
      <c r="BA1102">
        <f ca="1">IF(AND($AT1102&lt;3,OFFSET(DATA!$C$14,$AS1102,0)=BA$6),$AV1102,dNULL)</f>
        <v>-99</v>
      </c>
      <c r="BB1102">
        <f ca="1">IF(AND($AT1102&lt;3,OFFSET(DATA!$C$14,$AS1102,0)=BB$6),$AV1102,dNULL)</f>
        <v>-99</v>
      </c>
      <c r="BC1102">
        <f ca="1">IF(AND($AT1102&lt;3,OFFSET(DATA!$C$14,$AS1102,0)=BC$6),$AV1102,dNULL)</f>
        <v>-99</v>
      </c>
      <c r="BD1102">
        <f ca="1">IF(AND($AT1102&lt;3,OFFSET(DATA!$C$14,$AS1102,0)=BD$6),$AV1102,dNULL)</f>
        <v>-99</v>
      </c>
      <c r="BE1102">
        <f ca="1">IF(AND($AT1102&lt;3,OFFSET(DATA!$C$14,$AS1102,0)=BE$6),$AV1102,dNULL)</f>
        <v>-99</v>
      </c>
      <c r="BF1102">
        <f ca="1">IF(AND($AT1102&lt;3,OFFSET(DATA!$C$14,$AS1102,0)=BF$6),$AV1102,dNULL)</f>
        <v>-99</v>
      </c>
      <c r="BG1102">
        <f ca="1">IF(AND($AT1102&lt;3,OFFSET(DATA!$C$14,$AS1102,0)=BG$6),$AV1102,dNULL)</f>
        <v>-99</v>
      </c>
      <c r="BH1102">
        <f ca="1">IF(AND($AT1102&lt;3,OFFSET(DATA!$C$14,$AS1102,0)=BH$6),$AV1102,dNULL)</f>
        <v>-99</v>
      </c>
    </row>
    <row r="1103" spans="45:60" x14ac:dyDescent="0.25">
      <c r="AS1103">
        <f t="shared" si="156"/>
        <v>17</v>
      </c>
      <c r="AT1103">
        <f t="shared" si="157"/>
        <v>12</v>
      </c>
      <c r="AU1103">
        <f t="shared" ca="1" si="158"/>
        <v>-99</v>
      </c>
      <c r="AV1103">
        <f t="shared" ca="1" si="159"/>
        <v>-99</v>
      </c>
      <c r="AW1103">
        <f ca="1">IF(AND($AT1103&lt;3,OFFSET(DATA!$C$14,$AS1103,0)=AW$6),$AV1103,dNULL)</f>
        <v>-99</v>
      </c>
      <c r="AX1103">
        <f ca="1">IF(AND($AT1103&lt;3,OFFSET(DATA!$C$14,$AS1103,0)=AX$6),$AV1103,dNULL)</f>
        <v>-99</v>
      </c>
      <c r="AY1103">
        <f ca="1">IF(AND($AT1103&lt;3,OFFSET(DATA!$C$14,$AS1103,0)=AY$6),$AV1103,dNULL)</f>
        <v>-99</v>
      </c>
      <c r="AZ1103">
        <f ca="1">IF(AND($AT1103&lt;3,OFFSET(DATA!$C$14,$AS1103,0)=AZ$6),$AV1103,dNULL)</f>
        <v>-99</v>
      </c>
      <c r="BA1103">
        <f ca="1">IF(AND($AT1103&lt;3,OFFSET(DATA!$C$14,$AS1103,0)=BA$6),$AV1103,dNULL)</f>
        <v>-99</v>
      </c>
      <c r="BB1103">
        <f ca="1">IF(AND($AT1103&lt;3,OFFSET(DATA!$C$14,$AS1103,0)=BB$6),$AV1103,dNULL)</f>
        <v>-99</v>
      </c>
      <c r="BC1103">
        <f ca="1">IF(AND($AT1103&lt;3,OFFSET(DATA!$C$14,$AS1103,0)=BC$6),$AV1103,dNULL)</f>
        <v>-99</v>
      </c>
      <c r="BD1103">
        <f ca="1">IF(AND($AT1103&lt;3,OFFSET(DATA!$C$14,$AS1103,0)=BD$6),$AV1103,dNULL)</f>
        <v>-99</v>
      </c>
      <c r="BE1103">
        <f ca="1">IF(AND($AT1103&lt;3,OFFSET(DATA!$C$14,$AS1103,0)=BE$6),$AV1103,dNULL)</f>
        <v>-99</v>
      </c>
      <c r="BF1103">
        <f ca="1">IF(AND($AT1103&lt;3,OFFSET(DATA!$C$14,$AS1103,0)=BF$6),$AV1103,dNULL)</f>
        <v>-99</v>
      </c>
      <c r="BG1103">
        <f ca="1">IF(AND($AT1103&lt;3,OFFSET(DATA!$C$14,$AS1103,0)=BG$6),$AV1103,dNULL)</f>
        <v>-99</v>
      </c>
      <c r="BH1103">
        <f ca="1">IF(AND($AT1103&lt;3,OFFSET(DATA!$C$14,$AS1103,0)=BH$6),$AV1103,dNULL)</f>
        <v>-99</v>
      </c>
    </row>
    <row r="1104" spans="45:60" x14ac:dyDescent="0.25">
      <c r="AS1104">
        <f t="shared" si="156"/>
        <v>18</v>
      </c>
      <c r="AT1104">
        <f t="shared" si="157"/>
        <v>12</v>
      </c>
      <c r="AU1104">
        <f t="shared" ca="1" si="158"/>
        <v>-99</v>
      </c>
      <c r="AV1104">
        <f t="shared" ca="1" si="159"/>
        <v>-99</v>
      </c>
      <c r="AW1104">
        <f ca="1">IF(AND($AT1104&lt;3,OFFSET(DATA!$C$14,$AS1104,0)=AW$6),$AV1104,dNULL)</f>
        <v>-99</v>
      </c>
      <c r="AX1104">
        <f ca="1">IF(AND($AT1104&lt;3,OFFSET(DATA!$C$14,$AS1104,0)=AX$6),$AV1104,dNULL)</f>
        <v>-99</v>
      </c>
      <c r="AY1104">
        <f ca="1">IF(AND($AT1104&lt;3,OFFSET(DATA!$C$14,$AS1104,0)=AY$6),$AV1104,dNULL)</f>
        <v>-99</v>
      </c>
      <c r="AZ1104">
        <f ca="1">IF(AND($AT1104&lt;3,OFFSET(DATA!$C$14,$AS1104,0)=AZ$6),$AV1104,dNULL)</f>
        <v>-99</v>
      </c>
      <c r="BA1104">
        <f ca="1">IF(AND($AT1104&lt;3,OFFSET(DATA!$C$14,$AS1104,0)=BA$6),$AV1104,dNULL)</f>
        <v>-99</v>
      </c>
      <c r="BB1104">
        <f ca="1">IF(AND($AT1104&lt;3,OFFSET(DATA!$C$14,$AS1104,0)=BB$6),$AV1104,dNULL)</f>
        <v>-99</v>
      </c>
      <c r="BC1104">
        <f ca="1">IF(AND($AT1104&lt;3,OFFSET(DATA!$C$14,$AS1104,0)=BC$6),$AV1104,dNULL)</f>
        <v>-99</v>
      </c>
      <c r="BD1104">
        <f ca="1">IF(AND($AT1104&lt;3,OFFSET(DATA!$C$14,$AS1104,0)=BD$6),$AV1104,dNULL)</f>
        <v>-99</v>
      </c>
      <c r="BE1104">
        <f ca="1">IF(AND($AT1104&lt;3,OFFSET(DATA!$C$14,$AS1104,0)=BE$6),$AV1104,dNULL)</f>
        <v>-99</v>
      </c>
      <c r="BF1104">
        <f ca="1">IF(AND($AT1104&lt;3,OFFSET(DATA!$C$14,$AS1104,0)=BF$6),$AV1104,dNULL)</f>
        <v>-99</v>
      </c>
      <c r="BG1104">
        <f ca="1">IF(AND($AT1104&lt;3,OFFSET(DATA!$C$14,$AS1104,0)=BG$6),$AV1104,dNULL)</f>
        <v>-99</v>
      </c>
      <c r="BH1104">
        <f ca="1">IF(AND($AT1104&lt;3,OFFSET(DATA!$C$14,$AS1104,0)=BH$6),$AV1104,dNULL)</f>
        <v>-99</v>
      </c>
    </row>
    <row r="1105" spans="45:60" x14ac:dyDescent="0.25">
      <c r="AS1105">
        <f t="shared" si="156"/>
        <v>19</v>
      </c>
      <c r="AT1105">
        <f t="shared" si="157"/>
        <v>12</v>
      </c>
      <c r="AU1105">
        <f t="shared" ca="1" si="158"/>
        <v>-99</v>
      </c>
      <c r="AV1105">
        <f t="shared" ca="1" si="159"/>
        <v>-99</v>
      </c>
      <c r="AW1105">
        <f ca="1">IF(AND($AT1105&lt;3,OFFSET(DATA!$C$14,$AS1105,0)=AW$6),$AV1105,dNULL)</f>
        <v>-99</v>
      </c>
      <c r="AX1105">
        <f ca="1">IF(AND($AT1105&lt;3,OFFSET(DATA!$C$14,$AS1105,0)=AX$6),$AV1105,dNULL)</f>
        <v>-99</v>
      </c>
      <c r="AY1105">
        <f ca="1">IF(AND($AT1105&lt;3,OFFSET(DATA!$C$14,$AS1105,0)=AY$6),$AV1105,dNULL)</f>
        <v>-99</v>
      </c>
      <c r="AZ1105">
        <f ca="1">IF(AND($AT1105&lt;3,OFFSET(DATA!$C$14,$AS1105,0)=AZ$6),$AV1105,dNULL)</f>
        <v>-99</v>
      </c>
      <c r="BA1105">
        <f ca="1">IF(AND($AT1105&lt;3,OFFSET(DATA!$C$14,$AS1105,0)=BA$6),$AV1105,dNULL)</f>
        <v>-99</v>
      </c>
      <c r="BB1105">
        <f ca="1">IF(AND($AT1105&lt;3,OFFSET(DATA!$C$14,$AS1105,0)=BB$6),$AV1105,dNULL)</f>
        <v>-99</v>
      </c>
      <c r="BC1105">
        <f ca="1">IF(AND($AT1105&lt;3,OFFSET(DATA!$C$14,$AS1105,0)=BC$6),$AV1105,dNULL)</f>
        <v>-99</v>
      </c>
      <c r="BD1105">
        <f ca="1">IF(AND($AT1105&lt;3,OFFSET(DATA!$C$14,$AS1105,0)=BD$6),$AV1105,dNULL)</f>
        <v>-99</v>
      </c>
      <c r="BE1105">
        <f ca="1">IF(AND($AT1105&lt;3,OFFSET(DATA!$C$14,$AS1105,0)=BE$6),$AV1105,dNULL)</f>
        <v>-99</v>
      </c>
      <c r="BF1105">
        <f ca="1">IF(AND($AT1105&lt;3,OFFSET(DATA!$C$14,$AS1105,0)=BF$6),$AV1105,dNULL)</f>
        <v>-99</v>
      </c>
      <c r="BG1105">
        <f ca="1">IF(AND($AT1105&lt;3,OFFSET(DATA!$C$14,$AS1105,0)=BG$6),$AV1105,dNULL)</f>
        <v>-99</v>
      </c>
      <c r="BH1105">
        <f ca="1">IF(AND($AT1105&lt;3,OFFSET(DATA!$C$14,$AS1105,0)=BH$6),$AV1105,dNULL)</f>
        <v>-99</v>
      </c>
    </row>
    <row r="1106" spans="45:60" x14ac:dyDescent="0.25">
      <c r="AS1106">
        <f t="shared" si="156"/>
        <v>20</v>
      </c>
      <c r="AT1106">
        <f t="shared" si="157"/>
        <v>12</v>
      </c>
      <c r="AU1106">
        <f t="shared" ca="1" si="158"/>
        <v>-99</v>
      </c>
      <c r="AV1106">
        <f t="shared" ca="1" si="159"/>
        <v>-99</v>
      </c>
      <c r="AW1106">
        <f ca="1">IF(AND($AT1106&lt;3,OFFSET(DATA!$C$14,$AS1106,0)=AW$6),$AV1106,dNULL)</f>
        <v>-99</v>
      </c>
      <c r="AX1106">
        <f ca="1">IF(AND($AT1106&lt;3,OFFSET(DATA!$C$14,$AS1106,0)=AX$6),$AV1106,dNULL)</f>
        <v>-99</v>
      </c>
      <c r="AY1106">
        <f ca="1">IF(AND($AT1106&lt;3,OFFSET(DATA!$C$14,$AS1106,0)=AY$6),$AV1106,dNULL)</f>
        <v>-99</v>
      </c>
      <c r="AZ1106">
        <f ca="1">IF(AND($AT1106&lt;3,OFFSET(DATA!$C$14,$AS1106,0)=AZ$6),$AV1106,dNULL)</f>
        <v>-99</v>
      </c>
      <c r="BA1106">
        <f ca="1">IF(AND($AT1106&lt;3,OFFSET(DATA!$C$14,$AS1106,0)=BA$6),$AV1106,dNULL)</f>
        <v>-99</v>
      </c>
      <c r="BB1106">
        <f ca="1">IF(AND($AT1106&lt;3,OFFSET(DATA!$C$14,$AS1106,0)=BB$6),$AV1106,dNULL)</f>
        <v>-99</v>
      </c>
      <c r="BC1106">
        <f ca="1">IF(AND($AT1106&lt;3,OFFSET(DATA!$C$14,$AS1106,0)=BC$6),$AV1106,dNULL)</f>
        <v>-99</v>
      </c>
      <c r="BD1106">
        <f ca="1">IF(AND($AT1106&lt;3,OFFSET(DATA!$C$14,$AS1106,0)=BD$6),$AV1106,dNULL)</f>
        <v>-99</v>
      </c>
      <c r="BE1106">
        <f ca="1">IF(AND($AT1106&lt;3,OFFSET(DATA!$C$14,$AS1106,0)=BE$6),$AV1106,dNULL)</f>
        <v>-99</v>
      </c>
      <c r="BF1106">
        <f ca="1">IF(AND($AT1106&lt;3,OFFSET(DATA!$C$14,$AS1106,0)=BF$6),$AV1106,dNULL)</f>
        <v>-99</v>
      </c>
      <c r="BG1106">
        <f ca="1">IF(AND($AT1106&lt;3,OFFSET(DATA!$C$14,$AS1106,0)=BG$6),$AV1106,dNULL)</f>
        <v>-99</v>
      </c>
      <c r="BH1106">
        <f ca="1">IF(AND($AT1106&lt;3,OFFSET(DATA!$C$14,$AS1106,0)=BH$6),$AV1106,dNULL)</f>
        <v>-99</v>
      </c>
    </row>
    <row r="1107" spans="45:60" x14ac:dyDescent="0.25">
      <c r="AS1107">
        <f t="shared" si="156"/>
        <v>21</v>
      </c>
      <c r="AT1107">
        <f t="shared" si="157"/>
        <v>12</v>
      </c>
      <c r="AU1107">
        <f t="shared" ca="1" si="158"/>
        <v>-99</v>
      </c>
      <c r="AV1107">
        <f t="shared" ca="1" si="159"/>
        <v>-99</v>
      </c>
      <c r="AW1107">
        <f ca="1">IF(AND($AT1107&lt;3,OFFSET(DATA!$C$14,$AS1107,0)=AW$6),$AV1107,dNULL)</f>
        <v>-99</v>
      </c>
      <c r="AX1107">
        <f ca="1">IF(AND($AT1107&lt;3,OFFSET(DATA!$C$14,$AS1107,0)=AX$6),$AV1107,dNULL)</f>
        <v>-99</v>
      </c>
      <c r="AY1107">
        <f ca="1">IF(AND($AT1107&lt;3,OFFSET(DATA!$C$14,$AS1107,0)=AY$6),$AV1107,dNULL)</f>
        <v>-99</v>
      </c>
      <c r="AZ1107">
        <f ca="1">IF(AND($AT1107&lt;3,OFFSET(DATA!$C$14,$AS1107,0)=AZ$6),$AV1107,dNULL)</f>
        <v>-99</v>
      </c>
      <c r="BA1107">
        <f ca="1">IF(AND($AT1107&lt;3,OFFSET(DATA!$C$14,$AS1107,0)=BA$6),$AV1107,dNULL)</f>
        <v>-99</v>
      </c>
      <c r="BB1107">
        <f ca="1">IF(AND($AT1107&lt;3,OFFSET(DATA!$C$14,$AS1107,0)=BB$6),$AV1107,dNULL)</f>
        <v>-99</v>
      </c>
      <c r="BC1107">
        <f ca="1">IF(AND($AT1107&lt;3,OFFSET(DATA!$C$14,$AS1107,0)=BC$6),$AV1107,dNULL)</f>
        <v>-99</v>
      </c>
      <c r="BD1107">
        <f ca="1">IF(AND($AT1107&lt;3,OFFSET(DATA!$C$14,$AS1107,0)=BD$6),$AV1107,dNULL)</f>
        <v>-99</v>
      </c>
      <c r="BE1107">
        <f ca="1">IF(AND($AT1107&lt;3,OFFSET(DATA!$C$14,$AS1107,0)=BE$6),$AV1107,dNULL)</f>
        <v>-99</v>
      </c>
      <c r="BF1107">
        <f ca="1">IF(AND($AT1107&lt;3,OFFSET(DATA!$C$14,$AS1107,0)=BF$6),$AV1107,dNULL)</f>
        <v>-99</v>
      </c>
      <c r="BG1107">
        <f ca="1">IF(AND($AT1107&lt;3,OFFSET(DATA!$C$14,$AS1107,0)=BG$6),$AV1107,dNULL)</f>
        <v>-99</v>
      </c>
      <c r="BH1107">
        <f ca="1">IF(AND($AT1107&lt;3,OFFSET(DATA!$C$14,$AS1107,0)=BH$6),$AV1107,dNULL)</f>
        <v>-99</v>
      </c>
    </row>
    <row r="1108" spans="45:60" x14ac:dyDescent="0.25">
      <c r="AS1108">
        <f t="shared" si="156"/>
        <v>22</v>
      </c>
      <c r="AT1108">
        <f t="shared" si="157"/>
        <v>12</v>
      </c>
      <c r="AU1108">
        <f t="shared" ca="1" si="158"/>
        <v>-99</v>
      </c>
      <c r="AV1108">
        <f t="shared" ca="1" si="159"/>
        <v>-99</v>
      </c>
      <c r="AW1108">
        <f ca="1">IF(AND($AT1108&lt;3,OFFSET(DATA!$C$14,$AS1108,0)=AW$6),$AV1108,dNULL)</f>
        <v>-99</v>
      </c>
      <c r="AX1108">
        <f ca="1">IF(AND($AT1108&lt;3,OFFSET(DATA!$C$14,$AS1108,0)=AX$6),$AV1108,dNULL)</f>
        <v>-99</v>
      </c>
      <c r="AY1108">
        <f ca="1">IF(AND($AT1108&lt;3,OFFSET(DATA!$C$14,$AS1108,0)=AY$6),$AV1108,dNULL)</f>
        <v>-99</v>
      </c>
      <c r="AZ1108">
        <f ca="1">IF(AND($AT1108&lt;3,OFFSET(DATA!$C$14,$AS1108,0)=AZ$6),$AV1108,dNULL)</f>
        <v>-99</v>
      </c>
      <c r="BA1108">
        <f ca="1">IF(AND($AT1108&lt;3,OFFSET(DATA!$C$14,$AS1108,0)=BA$6),$AV1108,dNULL)</f>
        <v>-99</v>
      </c>
      <c r="BB1108">
        <f ca="1">IF(AND($AT1108&lt;3,OFFSET(DATA!$C$14,$AS1108,0)=BB$6),$AV1108,dNULL)</f>
        <v>-99</v>
      </c>
      <c r="BC1108">
        <f ca="1">IF(AND($AT1108&lt;3,OFFSET(DATA!$C$14,$AS1108,0)=BC$6),$AV1108,dNULL)</f>
        <v>-99</v>
      </c>
      <c r="BD1108">
        <f ca="1">IF(AND($AT1108&lt;3,OFFSET(DATA!$C$14,$AS1108,0)=BD$6),$AV1108,dNULL)</f>
        <v>-99</v>
      </c>
      <c r="BE1108">
        <f ca="1">IF(AND($AT1108&lt;3,OFFSET(DATA!$C$14,$AS1108,0)=BE$6),$AV1108,dNULL)</f>
        <v>-99</v>
      </c>
      <c r="BF1108">
        <f ca="1">IF(AND($AT1108&lt;3,OFFSET(DATA!$C$14,$AS1108,0)=BF$6),$AV1108,dNULL)</f>
        <v>-99</v>
      </c>
      <c r="BG1108">
        <f ca="1">IF(AND($AT1108&lt;3,OFFSET(DATA!$C$14,$AS1108,0)=BG$6),$AV1108,dNULL)</f>
        <v>-99</v>
      </c>
      <c r="BH1108">
        <f ca="1">IF(AND($AT1108&lt;3,OFFSET(DATA!$C$14,$AS1108,0)=BH$6),$AV1108,dNULL)</f>
        <v>-99</v>
      </c>
    </row>
    <row r="1109" spans="45:60" x14ac:dyDescent="0.25">
      <c r="AS1109">
        <f t="shared" si="156"/>
        <v>23</v>
      </c>
      <c r="AT1109">
        <f t="shared" si="157"/>
        <v>12</v>
      </c>
      <c r="AU1109">
        <f t="shared" ca="1" si="158"/>
        <v>-99</v>
      </c>
      <c r="AV1109">
        <f t="shared" ca="1" si="159"/>
        <v>-99</v>
      </c>
      <c r="AW1109">
        <f ca="1">IF(AND($AT1109&lt;3,OFFSET(DATA!$C$14,$AS1109,0)=AW$6),$AV1109,dNULL)</f>
        <v>-99</v>
      </c>
      <c r="AX1109">
        <f ca="1">IF(AND($AT1109&lt;3,OFFSET(DATA!$C$14,$AS1109,0)=AX$6),$AV1109,dNULL)</f>
        <v>-99</v>
      </c>
      <c r="AY1109">
        <f ca="1">IF(AND($AT1109&lt;3,OFFSET(DATA!$C$14,$AS1109,0)=AY$6),$AV1109,dNULL)</f>
        <v>-99</v>
      </c>
      <c r="AZ1109">
        <f ca="1">IF(AND($AT1109&lt;3,OFFSET(DATA!$C$14,$AS1109,0)=AZ$6),$AV1109,dNULL)</f>
        <v>-99</v>
      </c>
      <c r="BA1109">
        <f ca="1">IF(AND($AT1109&lt;3,OFFSET(DATA!$C$14,$AS1109,0)=BA$6),$AV1109,dNULL)</f>
        <v>-99</v>
      </c>
      <c r="BB1109">
        <f ca="1">IF(AND($AT1109&lt;3,OFFSET(DATA!$C$14,$AS1109,0)=BB$6),$AV1109,dNULL)</f>
        <v>-99</v>
      </c>
      <c r="BC1109">
        <f ca="1">IF(AND($AT1109&lt;3,OFFSET(DATA!$C$14,$AS1109,0)=BC$6),$AV1109,dNULL)</f>
        <v>-99</v>
      </c>
      <c r="BD1109">
        <f ca="1">IF(AND($AT1109&lt;3,OFFSET(DATA!$C$14,$AS1109,0)=BD$6),$AV1109,dNULL)</f>
        <v>-99</v>
      </c>
      <c r="BE1109">
        <f ca="1">IF(AND($AT1109&lt;3,OFFSET(DATA!$C$14,$AS1109,0)=BE$6),$AV1109,dNULL)</f>
        <v>-99</v>
      </c>
      <c r="BF1109">
        <f ca="1">IF(AND($AT1109&lt;3,OFFSET(DATA!$C$14,$AS1109,0)=BF$6),$AV1109,dNULL)</f>
        <v>-99</v>
      </c>
      <c r="BG1109">
        <f ca="1">IF(AND($AT1109&lt;3,OFFSET(DATA!$C$14,$AS1109,0)=BG$6),$AV1109,dNULL)</f>
        <v>-99</v>
      </c>
      <c r="BH1109">
        <f ca="1">IF(AND($AT1109&lt;3,OFFSET(DATA!$C$14,$AS1109,0)=BH$6),$AV1109,dNULL)</f>
        <v>-99</v>
      </c>
    </row>
    <row r="1110" spans="45:60" x14ac:dyDescent="0.25">
      <c r="AS1110">
        <f t="shared" si="156"/>
        <v>24</v>
      </c>
      <c r="AT1110">
        <f t="shared" si="157"/>
        <v>12</v>
      </c>
      <c r="AU1110">
        <f t="shared" ca="1" si="158"/>
        <v>-99</v>
      </c>
      <c r="AV1110">
        <f t="shared" ca="1" si="159"/>
        <v>-99</v>
      </c>
      <c r="AW1110">
        <f ca="1">IF(AND($AT1110&lt;3,OFFSET(DATA!$C$14,$AS1110,0)=AW$6),$AV1110,dNULL)</f>
        <v>-99</v>
      </c>
      <c r="AX1110">
        <f ca="1">IF(AND($AT1110&lt;3,OFFSET(DATA!$C$14,$AS1110,0)=AX$6),$AV1110,dNULL)</f>
        <v>-99</v>
      </c>
      <c r="AY1110">
        <f ca="1">IF(AND($AT1110&lt;3,OFFSET(DATA!$C$14,$AS1110,0)=AY$6),$AV1110,dNULL)</f>
        <v>-99</v>
      </c>
      <c r="AZ1110">
        <f ca="1">IF(AND($AT1110&lt;3,OFFSET(DATA!$C$14,$AS1110,0)=AZ$6),$AV1110,dNULL)</f>
        <v>-99</v>
      </c>
      <c r="BA1110">
        <f ca="1">IF(AND($AT1110&lt;3,OFFSET(DATA!$C$14,$AS1110,0)=BA$6),$AV1110,dNULL)</f>
        <v>-99</v>
      </c>
      <c r="BB1110">
        <f ca="1">IF(AND($AT1110&lt;3,OFFSET(DATA!$C$14,$AS1110,0)=BB$6),$AV1110,dNULL)</f>
        <v>-99</v>
      </c>
      <c r="BC1110">
        <f ca="1">IF(AND($AT1110&lt;3,OFFSET(DATA!$C$14,$AS1110,0)=BC$6),$AV1110,dNULL)</f>
        <v>-99</v>
      </c>
      <c r="BD1110">
        <f ca="1">IF(AND($AT1110&lt;3,OFFSET(DATA!$C$14,$AS1110,0)=BD$6),$AV1110,dNULL)</f>
        <v>-99</v>
      </c>
      <c r="BE1110">
        <f ca="1">IF(AND($AT1110&lt;3,OFFSET(DATA!$C$14,$AS1110,0)=BE$6),$AV1110,dNULL)</f>
        <v>-99</v>
      </c>
      <c r="BF1110">
        <f ca="1">IF(AND($AT1110&lt;3,OFFSET(DATA!$C$14,$AS1110,0)=BF$6),$AV1110,dNULL)</f>
        <v>-99</v>
      </c>
      <c r="BG1110">
        <f ca="1">IF(AND($AT1110&lt;3,OFFSET(DATA!$C$14,$AS1110,0)=BG$6),$AV1110,dNULL)</f>
        <v>-99</v>
      </c>
      <c r="BH1110">
        <f ca="1">IF(AND($AT1110&lt;3,OFFSET(DATA!$C$14,$AS1110,0)=BH$6),$AV1110,dNULL)</f>
        <v>-99</v>
      </c>
    </row>
    <row r="1111" spans="45:60" x14ac:dyDescent="0.25">
      <c r="AS1111">
        <f t="shared" si="156"/>
        <v>25</v>
      </c>
      <c r="AT1111">
        <f t="shared" si="157"/>
        <v>12</v>
      </c>
      <c r="AU1111">
        <f t="shared" ca="1" si="158"/>
        <v>-99</v>
      </c>
      <c r="AV1111">
        <f t="shared" ca="1" si="159"/>
        <v>-99</v>
      </c>
      <c r="AW1111">
        <f ca="1">IF(AND($AT1111&lt;3,OFFSET(DATA!$C$14,$AS1111,0)=AW$6),$AV1111,dNULL)</f>
        <v>-99</v>
      </c>
      <c r="AX1111">
        <f ca="1">IF(AND($AT1111&lt;3,OFFSET(DATA!$C$14,$AS1111,0)=AX$6),$AV1111,dNULL)</f>
        <v>-99</v>
      </c>
      <c r="AY1111">
        <f ca="1">IF(AND($AT1111&lt;3,OFFSET(DATA!$C$14,$AS1111,0)=AY$6),$AV1111,dNULL)</f>
        <v>-99</v>
      </c>
      <c r="AZ1111">
        <f ca="1">IF(AND($AT1111&lt;3,OFFSET(DATA!$C$14,$AS1111,0)=AZ$6),$AV1111,dNULL)</f>
        <v>-99</v>
      </c>
      <c r="BA1111">
        <f ca="1">IF(AND($AT1111&lt;3,OFFSET(DATA!$C$14,$AS1111,0)=BA$6),$AV1111,dNULL)</f>
        <v>-99</v>
      </c>
      <c r="BB1111">
        <f ca="1">IF(AND($AT1111&lt;3,OFFSET(DATA!$C$14,$AS1111,0)=BB$6),$AV1111,dNULL)</f>
        <v>-99</v>
      </c>
      <c r="BC1111">
        <f ca="1">IF(AND($AT1111&lt;3,OFFSET(DATA!$C$14,$AS1111,0)=BC$6),$AV1111,dNULL)</f>
        <v>-99</v>
      </c>
      <c r="BD1111">
        <f ca="1">IF(AND($AT1111&lt;3,OFFSET(DATA!$C$14,$AS1111,0)=BD$6),$AV1111,dNULL)</f>
        <v>-99</v>
      </c>
      <c r="BE1111">
        <f ca="1">IF(AND($AT1111&lt;3,OFFSET(DATA!$C$14,$AS1111,0)=BE$6),$AV1111,dNULL)</f>
        <v>-99</v>
      </c>
      <c r="BF1111">
        <f ca="1">IF(AND($AT1111&lt;3,OFFSET(DATA!$C$14,$AS1111,0)=BF$6),$AV1111,dNULL)</f>
        <v>-99</v>
      </c>
      <c r="BG1111">
        <f ca="1">IF(AND($AT1111&lt;3,OFFSET(DATA!$C$14,$AS1111,0)=BG$6),$AV1111,dNULL)</f>
        <v>-99</v>
      </c>
      <c r="BH1111">
        <f ca="1">IF(AND($AT1111&lt;3,OFFSET(DATA!$C$14,$AS1111,0)=BH$6),$AV1111,dNULL)</f>
        <v>-99</v>
      </c>
    </row>
    <row r="1112" spans="45:60" x14ac:dyDescent="0.25">
      <c r="AS1112">
        <f t="shared" si="156"/>
        <v>26</v>
      </c>
      <c r="AT1112">
        <f t="shared" si="157"/>
        <v>12</v>
      </c>
      <c r="AU1112">
        <f t="shared" ca="1" si="158"/>
        <v>-99</v>
      </c>
      <c r="AV1112">
        <f t="shared" ca="1" si="159"/>
        <v>-99</v>
      </c>
      <c r="AW1112">
        <f ca="1">IF(AND($AT1112&lt;3,OFFSET(DATA!$C$14,$AS1112,0)=AW$6),$AV1112,dNULL)</f>
        <v>-99</v>
      </c>
      <c r="AX1112">
        <f ca="1">IF(AND($AT1112&lt;3,OFFSET(DATA!$C$14,$AS1112,0)=AX$6),$AV1112,dNULL)</f>
        <v>-99</v>
      </c>
      <c r="AY1112">
        <f ca="1">IF(AND($AT1112&lt;3,OFFSET(DATA!$C$14,$AS1112,0)=AY$6),$AV1112,dNULL)</f>
        <v>-99</v>
      </c>
      <c r="AZ1112">
        <f ca="1">IF(AND($AT1112&lt;3,OFFSET(DATA!$C$14,$AS1112,0)=AZ$6),$AV1112,dNULL)</f>
        <v>-99</v>
      </c>
      <c r="BA1112">
        <f ca="1">IF(AND($AT1112&lt;3,OFFSET(DATA!$C$14,$AS1112,0)=BA$6),$AV1112,dNULL)</f>
        <v>-99</v>
      </c>
      <c r="BB1112">
        <f ca="1">IF(AND($AT1112&lt;3,OFFSET(DATA!$C$14,$AS1112,0)=BB$6),$AV1112,dNULL)</f>
        <v>-99</v>
      </c>
      <c r="BC1112">
        <f ca="1">IF(AND($AT1112&lt;3,OFFSET(DATA!$C$14,$AS1112,0)=BC$6),$AV1112,dNULL)</f>
        <v>-99</v>
      </c>
      <c r="BD1112">
        <f ca="1">IF(AND($AT1112&lt;3,OFFSET(DATA!$C$14,$AS1112,0)=BD$6),$AV1112,dNULL)</f>
        <v>-99</v>
      </c>
      <c r="BE1112">
        <f ca="1">IF(AND($AT1112&lt;3,OFFSET(DATA!$C$14,$AS1112,0)=BE$6),$AV1112,dNULL)</f>
        <v>-99</v>
      </c>
      <c r="BF1112">
        <f ca="1">IF(AND($AT1112&lt;3,OFFSET(DATA!$C$14,$AS1112,0)=BF$6),$AV1112,dNULL)</f>
        <v>-99</v>
      </c>
      <c r="BG1112">
        <f ca="1">IF(AND($AT1112&lt;3,OFFSET(DATA!$C$14,$AS1112,0)=BG$6),$AV1112,dNULL)</f>
        <v>-99</v>
      </c>
      <c r="BH1112">
        <f ca="1">IF(AND($AT1112&lt;3,OFFSET(DATA!$C$14,$AS1112,0)=BH$6),$AV1112,dNULL)</f>
        <v>-99</v>
      </c>
    </row>
    <row r="1113" spans="45:60" x14ac:dyDescent="0.25">
      <c r="AS1113">
        <f t="shared" si="156"/>
        <v>27</v>
      </c>
      <c r="AT1113">
        <f t="shared" si="157"/>
        <v>12</v>
      </c>
      <c r="AU1113">
        <f t="shared" ca="1" si="158"/>
        <v>-99</v>
      </c>
      <c r="AV1113">
        <f t="shared" ca="1" si="159"/>
        <v>-99</v>
      </c>
      <c r="AW1113">
        <f ca="1">IF(AND($AT1113&lt;3,OFFSET(DATA!$C$14,$AS1113,0)=AW$6),$AV1113,dNULL)</f>
        <v>-99</v>
      </c>
      <c r="AX1113">
        <f ca="1">IF(AND($AT1113&lt;3,OFFSET(DATA!$C$14,$AS1113,0)=AX$6),$AV1113,dNULL)</f>
        <v>-99</v>
      </c>
      <c r="AY1113">
        <f ca="1">IF(AND($AT1113&lt;3,OFFSET(DATA!$C$14,$AS1113,0)=AY$6),$AV1113,dNULL)</f>
        <v>-99</v>
      </c>
      <c r="AZ1113">
        <f ca="1">IF(AND($AT1113&lt;3,OFFSET(DATA!$C$14,$AS1113,0)=AZ$6),$AV1113,dNULL)</f>
        <v>-99</v>
      </c>
      <c r="BA1113">
        <f ca="1">IF(AND($AT1113&lt;3,OFFSET(DATA!$C$14,$AS1113,0)=BA$6),$AV1113,dNULL)</f>
        <v>-99</v>
      </c>
      <c r="BB1113">
        <f ca="1">IF(AND($AT1113&lt;3,OFFSET(DATA!$C$14,$AS1113,0)=BB$6),$AV1113,dNULL)</f>
        <v>-99</v>
      </c>
      <c r="BC1113">
        <f ca="1">IF(AND($AT1113&lt;3,OFFSET(DATA!$C$14,$AS1113,0)=BC$6),$AV1113,dNULL)</f>
        <v>-99</v>
      </c>
      <c r="BD1113">
        <f ca="1">IF(AND($AT1113&lt;3,OFFSET(DATA!$C$14,$AS1113,0)=BD$6),$AV1113,dNULL)</f>
        <v>-99</v>
      </c>
      <c r="BE1113">
        <f ca="1">IF(AND($AT1113&lt;3,OFFSET(DATA!$C$14,$AS1113,0)=BE$6),$AV1113,dNULL)</f>
        <v>-99</v>
      </c>
      <c r="BF1113">
        <f ca="1">IF(AND($AT1113&lt;3,OFFSET(DATA!$C$14,$AS1113,0)=BF$6),$AV1113,dNULL)</f>
        <v>-99</v>
      </c>
      <c r="BG1113">
        <f ca="1">IF(AND($AT1113&lt;3,OFFSET(DATA!$C$14,$AS1113,0)=BG$6),$AV1113,dNULL)</f>
        <v>-99</v>
      </c>
      <c r="BH1113">
        <f ca="1">IF(AND($AT1113&lt;3,OFFSET(DATA!$C$14,$AS1113,0)=BH$6),$AV1113,dNULL)</f>
        <v>-99</v>
      </c>
    </row>
    <row r="1114" spans="45:60" x14ac:dyDescent="0.25">
      <c r="AS1114">
        <f t="shared" si="156"/>
        <v>28</v>
      </c>
      <c r="AT1114">
        <f t="shared" si="157"/>
        <v>12</v>
      </c>
      <c r="AU1114">
        <f t="shared" ca="1" si="158"/>
        <v>-99</v>
      </c>
      <c r="AV1114">
        <f t="shared" ca="1" si="159"/>
        <v>-99</v>
      </c>
      <c r="AW1114">
        <f ca="1">IF(AND($AT1114&lt;3,OFFSET(DATA!$C$14,$AS1114,0)=AW$6),$AV1114,dNULL)</f>
        <v>-99</v>
      </c>
      <c r="AX1114">
        <f ca="1">IF(AND($AT1114&lt;3,OFFSET(DATA!$C$14,$AS1114,0)=AX$6),$AV1114,dNULL)</f>
        <v>-99</v>
      </c>
      <c r="AY1114">
        <f ca="1">IF(AND($AT1114&lt;3,OFFSET(DATA!$C$14,$AS1114,0)=AY$6),$AV1114,dNULL)</f>
        <v>-99</v>
      </c>
      <c r="AZ1114">
        <f ca="1">IF(AND($AT1114&lt;3,OFFSET(DATA!$C$14,$AS1114,0)=AZ$6),$AV1114,dNULL)</f>
        <v>-99</v>
      </c>
      <c r="BA1114">
        <f ca="1">IF(AND($AT1114&lt;3,OFFSET(DATA!$C$14,$AS1114,0)=BA$6),$AV1114,dNULL)</f>
        <v>-99</v>
      </c>
      <c r="BB1114">
        <f ca="1">IF(AND($AT1114&lt;3,OFFSET(DATA!$C$14,$AS1114,0)=BB$6),$AV1114,dNULL)</f>
        <v>-99</v>
      </c>
      <c r="BC1114">
        <f ca="1">IF(AND($AT1114&lt;3,OFFSET(DATA!$C$14,$AS1114,0)=BC$6),$AV1114,dNULL)</f>
        <v>-99</v>
      </c>
      <c r="BD1114">
        <f ca="1">IF(AND($AT1114&lt;3,OFFSET(DATA!$C$14,$AS1114,0)=BD$6),$AV1114,dNULL)</f>
        <v>-99</v>
      </c>
      <c r="BE1114">
        <f ca="1">IF(AND($AT1114&lt;3,OFFSET(DATA!$C$14,$AS1114,0)=BE$6),$AV1114,dNULL)</f>
        <v>-99</v>
      </c>
      <c r="BF1114">
        <f ca="1">IF(AND($AT1114&lt;3,OFFSET(DATA!$C$14,$AS1114,0)=BF$6),$AV1114,dNULL)</f>
        <v>-99</v>
      </c>
      <c r="BG1114">
        <f ca="1">IF(AND($AT1114&lt;3,OFFSET(DATA!$C$14,$AS1114,0)=BG$6),$AV1114,dNULL)</f>
        <v>-99</v>
      </c>
      <c r="BH1114">
        <f ca="1">IF(AND($AT1114&lt;3,OFFSET(DATA!$C$14,$AS1114,0)=BH$6),$AV1114,dNULL)</f>
        <v>-99</v>
      </c>
    </row>
    <row r="1115" spans="45:60" x14ac:dyDescent="0.25">
      <c r="AS1115">
        <f t="shared" si="156"/>
        <v>29</v>
      </c>
      <c r="AT1115">
        <f t="shared" si="157"/>
        <v>12</v>
      </c>
      <c r="AU1115">
        <f t="shared" ca="1" si="158"/>
        <v>-99</v>
      </c>
      <c r="AV1115">
        <f t="shared" ca="1" si="159"/>
        <v>-99</v>
      </c>
      <c r="AW1115">
        <f ca="1">IF(AND($AT1115&lt;3,OFFSET(DATA!$C$14,$AS1115,0)=AW$6),$AV1115,dNULL)</f>
        <v>-99</v>
      </c>
      <c r="AX1115">
        <f ca="1">IF(AND($AT1115&lt;3,OFFSET(DATA!$C$14,$AS1115,0)=AX$6),$AV1115,dNULL)</f>
        <v>-99</v>
      </c>
      <c r="AY1115">
        <f ca="1">IF(AND($AT1115&lt;3,OFFSET(DATA!$C$14,$AS1115,0)=AY$6),$AV1115,dNULL)</f>
        <v>-99</v>
      </c>
      <c r="AZ1115">
        <f ca="1">IF(AND($AT1115&lt;3,OFFSET(DATA!$C$14,$AS1115,0)=AZ$6),$AV1115,dNULL)</f>
        <v>-99</v>
      </c>
      <c r="BA1115">
        <f ca="1">IF(AND($AT1115&lt;3,OFFSET(DATA!$C$14,$AS1115,0)=BA$6),$AV1115,dNULL)</f>
        <v>-99</v>
      </c>
      <c r="BB1115">
        <f ca="1">IF(AND($AT1115&lt;3,OFFSET(DATA!$C$14,$AS1115,0)=BB$6),$AV1115,dNULL)</f>
        <v>-99</v>
      </c>
      <c r="BC1115">
        <f ca="1">IF(AND($AT1115&lt;3,OFFSET(DATA!$C$14,$AS1115,0)=BC$6),$AV1115,dNULL)</f>
        <v>-99</v>
      </c>
      <c r="BD1115">
        <f ca="1">IF(AND($AT1115&lt;3,OFFSET(DATA!$C$14,$AS1115,0)=BD$6),$AV1115,dNULL)</f>
        <v>-99</v>
      </c>
      <c r="BE1115">
        <f ca="1">IF(AND($AT1115&lt;3,OFFSET(DATA!$C$14,$AS1115,0)=BE$6),$AV1115,dNULL)</f>
        <v>-99</v>
      </c>
      <c r="BF1115">
        <f ca="1">IF(AND($AT1115&lt;3,OFFSET(DATA!$C$14,$AS1115,0)=BF$6),$AV1115,dNULL)</f>
        <v>-99</v>
      </c>
      <c r="BG1115">
        <f ca="1">IF(AND($AT1115&lt;3,OFFSET(DATA!$C$14,$AS1115,0)=BG$6),$AV1115,dNULL)</f>
        <v>-99</v>
      </c>
      <c r="BH1115">
        <f ca="1">IF(AND($AT1115&lt;3,OFFSET(DATA!$C$14,$AS1115,0)=BH$6),$AV1115,dNULL)</f>
        <v>-99</v>
      </c>
    </row>
    <row r="1116" spans="45:60" x14ac:dyDescent="0.25">
      <c r="AS1116">
        <f t="shared" si="156"/>
        <v>30</v>
      </c>
      <c r="AT1116">
        <f t="shared" si="157"/>
        <v>12</v>
      </c>
      <c r="AU1116">
        <f t="shared" ca="1" si="158"/>
        <v>-99</v>
      </c>
      <c r="AV1116">
        <f t="shared" ca="1" si="159"/>
        <v>-99</v>
      </c>
      <c r="AW1116">
        <f ca="1">IF(AND($AT1116&lt;3,OFFSET(DATA!$C$14,$AS1116,0)=AW$6),$AV1116,dNULL)</f>
        <v>-99</v>
      </c>
      <c r="AX1116">
        <f ca="1">IF(AND($AT1116&lt;3,OFFSET(DATA!$C$14,$AS1116,0)=AX$6),$AV1116,dNULL)</f>
        <v>-99</v>
      </c>
      <c r="AY1116">
        <f ca="1">IF(AND($AT1116&lt;3,OFFSET(DATA!$C$14,$AS1116,0)=AY$6),$AV1116,dNULL)</f>
        <v>-99</v>
      </c>
      <c r="AZ1116">
        <f ca="1">IF(AND($AT1116&lt;3,OFFSET(DATA!$C$14,$AS1116,0)=AZ$6),$AV1116,dNULL)</f>
        <v>-99</v>
      </c>
      <c r="BA1116">
        <f ca="1">IF(AND($AT1116&lt;3,OFFSET(DATA!$C$14,$AS1116,0)=BA$6),$AV1116,dNULL)</f>
        <v>-99</v>
      </c>
      <c r="BB1116">
        <f ca="1">IF(AND($AT1116&lt;3,OFFSET(DATA!$C$14,$AS1116,0)=BB$6),$AV1116,dNULL)</f>
        <v>-99</v>
      </c>
      <c r="BC1116">
        <f ca="1">IF(AND($AT1116&lt;3,OFFSET(DATA!$C$14,$AS1116,0)=BC$6),$AV1116,dNULL)</f>
        <v>-99</v>
      </c>
      <c r="BD1116">
        <f ca="1">IF(AND($AT1116&lt;3,OFFSET(DATA!$C$14,$AS1116,0)=BD$6),$AV1116,dNULL)</f>
        <v>-99</v>
      </c>
      <c r="BE1116">
        <f ca="1">IF(AND($AT1116&lt;3,OFFSET(DATA!$C$14,$AS1116,0)=BE$6),$AV1116,dNULL)</f>
        <v>-99</v>
      </c>
      <c r="BF1116">
        <f ca="1">IF(AND($AT1116&lt;3,OFFSET(DATA!$C$14,$AS1116,0)=BF$6),$AV1116,dNULL)</f>
        <v>-99</v>
      </c>
      <c r="BG1116">
        <f ca="1">IF(AND($AT1116&lt;3,OFFSET(DATA!$C$14,$AS1116,0)=BG$6),$AV1116,dNULL)</f>
        <v>-99</v>
      </c>
      <c r="BH1116">
        <f ca="1">IF(AND($AT1116&lt;3,OFFSET(DATA!$C$14,$AS1116,0)=BH$6),$AV1116,dNULL)</f>
        <v>-99</v>
      </c>
    </row>
    <row r="1117" spans="45:60" x14ac:dyDescent="0.25">
      <c r="AS1117">
        <f t="shared" si="156"/>
        <v>31</v>
      </c>
      <c r="AT1117">
        <f t="shared" si="157"/>
        <v>12</v>
      </c>
      <c r="AU1117">
        <f t="shared" ca="1" si="158"/>
        <v>-99</v>
      </c>
      <c r="AV1117">
        <f t="shared" ca="1" si="159"/>
        <v>-99</v>
      </c>
      <c r="AW1117">
        <f ca="1">IF(AND($AT1117&lt;3,OFFSET(DATA!$C$14,$AS1117,0)=AW$6),$AV1117,dNULL)</f>
        <v>-99</v>
      </c>
      <c r="AX1117">
        <f ca="1">IF(AND($AT1117&lt;3,OFFSET(DATA!$C$14,$AS1117,0)=AX$6),$AV1117,dNULL)</f>
        <v>-99</v>
      </c>
      <c r="AY1117">
        <f ca="1">IF(AND($AT1117&lt;3,OFFSET(DATA!$C$14,$AS1117,0)=AY$6),$AV1117,dNULL)</f>
        <v>-99</v>
      </c>
      <c r="AZ1117">
        <f ca="1">IF(AND($AT1117&lt;3,OFFSET(DATA!$C$14,$AS1117,0)=AZ$6),$AV1117,dNULL)</f>
        <v>-99</v>
      </c>
      <c r="BA1117">
        <f ca="1">IF(AND($AT1117&lt;3,OFFSET(DATA!$C$14,$AS1117,0)=BA$6),$AV1117,dNULL)</f>
        <v>-99</v>
      </c>
      <c r="BB1117">
        <f ca="1">IF(AND($AT1117&lt;3,OFFSET(DATA!$C$14,$AS1117,0)=BB$6),$AV1117,dNULL)</f>
        <v>-99</v>
      </c>
      <c r="BC1117">
        <f ca="1">IF(AND($AT1117&lt;3,OFFSET(DATA!$C$14,$AS1117,0)=BC$6),$AV1117,dNULL)</f>
        <v>-99</v>
      </c>
      <c r="BD1117">
        <f ca="1">IF(AND($AT1117&lt;3,OFFSET(DATA!$C$14,$AS1117,0)=BD$6),$AV1117,dNULL)</f>
        <v>-99</v>
      </c>
      <c r="BE1117">
        <f ca="1">IF(AND($AT1117&lt;3,OFFSET(DATA!$C$14,$AS1117,0)=BE$6),$AV1117,dNULL)</f>
        <v>-99</v>
      </c>
      <c r="BF1117">
        <f ca="1">IF(AND($AT1117&lt;3,OFFSET(DATA!$C$14,$AS1117,0)=BF$6),$AV1117,dNULL)</f>
        <v>-99</v>
      </c>
      <c r="BG1117">
        <f ca="1">IF(AND($AT1117&lt;3,OFFSET(DATA!$C$14,$AS1117,0)=BG$6),$AV1117,dNULL)</f>
        <v>-99</v>
      </c>
      <c r="BH1117">
        <f ca="1">IF(AND($AT1117&lt;3,OFFSET(DATA!$C$14,$AS1117,0)=BH$6),$AV1117,dNULL)</f>
        <v>-99</v>
      </c>
    </row>
    <row r="1118" spans="45:60" x14ac:dyDescent="0.25">
      <c r="AS1118">
        <f t="shared" si="156"/>
        <v>32</v>
      </c>
      <c r="AT1118">
        <f t="shared" si="157"/>
        <v>12</v>
      </c>
      <c r="AU1118">
        <f t="shared" ca="1" si="158"/>
        <v>-99</v>
      </c>
      <c r="AV1118">
        <f t="shared" ca="1" si="159"/>
        <v>-99</v>
      </c>
      <c r="AW1118">
        <f ca="1">IF(AND($AT1118&lt;3,OFFSET(DATA!$C$14,$AS1118,0)=AW$6),$AV1118,dNULL)</f>
        <v>-99</v>
      </c>
      <c r="AX1118">
        <f ca="1">IF(AND($AT1118&lt;3,OFFSET(DATA!$C$14,$AS1118,0)=AX$6),$AV1118,dNULL)</f>
        <v>-99</v>
      </c>
      <c r="AY1118">
        <f ca="1">IF(AND($AT1118&lt;3,OFFSET(DATA!$C$14,$AS1118,0)=AY$6),$AV1118,dNULL)</f>
        <v>-99</v>
      </c>
      <c r="AZ1118">
        <f ca="1">IF(AND($AT1118&lt;3,OFFSET(DATA!$C$14,$AS1118,0)=AZ$6),$AV1118,dNULL)</f>
        <v>-99</v>
      </c>
      <c r="BA1118">
        <f ca="1">IF(AND($AT1118&lt;3,OFFSET(DATA!$C$14,$AS1118,0)=BA$6),$AV1118,dNULL)</f>
        <v>-99</v>
      </c>
      <c r="BB1118">
        <f ca="1">IF(AND($AT1118&lt;3,OFFSET(DATA!$C$14,$AS1118,0)=BB$6),$AV1118,dNULL)</f>
        <v>-99</v>
      </c>
      <c r="BC1118">
        <f ca="1">IF(AND($AT1118&lt;3,OFFSET(DATA!$C$14,$AS1118,0)=BC$6),$AV1118,dNULL)</f>
        <v>-99</v>
      </c>
      <c r="BD1118">
        <f ca="1">IF(AND($AT1118&lt;3,OFFSET(DATA!$C$14,$AS1118,0)=BD$6),$AV1118,dNULL)</f>
        <v>-99</v>
      </c>
      <c r="BE1118">
        <f ca="1">IF(AND($AT1118&lt;3,OFFSET(DATA!$C$14,$AS1118,0)=BE$6),$AV1118,dNULL)</f>
        <v>-99</v>
      </c>
      <c r="BF1118">
        <f ca="1">IF(AND($AT1118&lt;3,OFFSET(DATA!$C$14,$AS1118,0)=BF$6),$AV1118,dNULL)</f>
        <v>-99</v>
      </c>
      <c r="BG1118">
        <f ca="1">IF(AND($AT1118&lt;3,OFFSET(DATA!$C$14,$AS1118,0)=BG$6),$AV1118,dNULL)</f>
        <v>-99</v>
      </c>
      <c r="BH1118">
        <f ca="1">IF(AND($AT1118&lt;3,OFFSET(DATA!$C$14,$AS1118,0)=BH$6),$AV1118,dNULL)</f>
        <v>-99</v>
      </c>
    </row>
    <row r="1119" spans="45:60" x14ac:dyDescent="0.25">
      <c r="AS1119">
        <f t="shared" si="156"/>
        <v>33</v>
      </c>
      <c r="AT1119">
        <f t="shared" si="157"/>
        <v>12</v>
      </c>
      <c r="AU1119">
        <f t="shared" ca="1" si="158"/>
        <v>-99</v>
      </c>
      <c r="AV1119">
        <f t="shared" ca="1" si="159"/>
        <v>-99</v>
      </c>
      <c r="AW1119">
        <f ca="1">IF(AND($AT1119&lt;3,OFFSET(DATA!$C$14,$AS1119,0)=AW$6),$AV1119,dNULL)</f>
        <v>-99</v>
      </c>
      <c r="AX1119">
        <f ca="1">IF(AND($AT1119&lt;3,OFFSET(DATA!$C$14,$AS1119,0)=AX$6),$AV1119,dNULL)</f>
        <v>-99</v>
      </c>
      <c r="AY1119">
        <f ca="1">IF(AND($AT1119&lt;3,OFFSET(DATA!$C$14,$AS1119,0)=AY$6),$AV1119,dNULL)</f>
        <v>-99</v>
      </c>
      <c r="AZ1119">
        <f ca="1">IF(AND($AT1119&lt;3,OFFSET(DATA!$C$14,$AS1119,0)=AZ$6),$AV1119,dNULL)</f>
        <v>-99</v>
      </c>
      <c r="BA1119">
        <f ca="1">IF(AND($AT1119&lt;3,OFFSET(DATA!$C$14,$AS1119,0)=BA$6),$AV1119,dNULL)</f>
        <v>-99</v>
      </c>
      <c r="BB1119">
        <f ca="1">IF(AND($AT1119&lt;3,OFFSET(DATA!$C$14,$AS1119,0)=BB$6),$AV1119,dNULL)</f>
        <v>-99</v>
      </c>
      <c r="BC1119">
        <f ca="1">IF(AND($AT1119&lt;3,OFFSET(DATA!$C$14,$AS1119,0)=BC$6),$AV1119,dNULL)</f>
        <v>-99</v>
      </c>
      <c r="BD1119">
        <f ca="1">IF(AND($AT1119&lt;3,OFFSET(DATA!$C$14,$AS1119,0)=BD$6),$AV1119,dNULL)</f>
        <v>-99</v>
      </c>
      <c r="BE1119">
        <f ca="1">IF(AND($AT1119&lt;3,OFFSET(DATA!$C$14,$AS1119,0)=BE$6),$AV1119,dNULL)</f>
        <v>-99</v>
      </c>
      <c r="BF1119">
        <f ca="1">IF(AND($AT1119&lt;3,OFFSET(DATA!$C$14,$AS1119,0)=BF$6),$AV1119,dNULL)</f>
        <v>-99</v>
      </c>
      <c r="BG1119">
        <f ca="1">IF(AND($AT1119&lt;3,OFFSET(DATA!$C$14,$AS1119,0)=BG$6),$AV1119,dNULL)</f>
        <v>-99</v>
      </c>
      <c r="BH1119">
        <f ca="1">IF(AND($AT1119&lt;3,OFFSET(DATA!$C$14,$AS1119,0)=BH$6),$AV1119,dNULL)</f>
        <v>-99</v>
      </c>
    </row>
    <row r="1120" spans="45:60" x14ac:dyDescent="0.25">
      <c r="AS1120">
        <f t="shared" si="156"/>
        <v>34</v>
      </c>
      <c r="AT1120">
        <f t="shared" si="157"/>
        <v>12</v>
      </c>
      <c r="AU1120">
        <f t="shared" ca="1" si="158"/>
        <v>-99</v>
      </c>
      <c r="AV1120">
        <f t="shared" ca="1" si="159"/>
        <v>-99</v>
      </c>
      <c r="AW1120">
        <f ca="1">IF(AND($AT1120&lt;3,OFFSET(DATA!$C$14,$AS1120,0)=AW$6),$AV1120,dNULL)</f>
        <v>-99</v>
      </c>
      <c r="AX1120">
        <f ca="1">IF(AND($AT1120&lt;3,OFFSET(DATA!$C$14,$AS1120,0)=AX$6),$AV1120,dNULL)</f>
        <v>-99</v>
      </c>
      <c r="AY1120">
        <f ca="1">IF(AND($AT1120&lt;3,OFFSET(DATA!$C$14,$AS1120,0)=AY$6),$AV1120,dNULL)</f>
        <v>-99</v>
      </c>
      <c r="AZ1120">
        <f ca="1">IF(AND($AT1120&lt;3,OFFSET(DATA!$C$14,$AS1120,0)=AZ$6),$AV1120,dNULL)</f>
        <v>-99</v>
      </c>
      <c r="BA1120">
        <f ca="1">IF(AND($AT1120&lt;3,OFFSET(DATA!$C$14,$AS1120,0)=BA$6),$AV1120,dNULL)</f>
        <v>-99</v>
      </c>
      <c r="BB1120">
        <f ca="1">IF(AND($AT1120&lt;3,OFFSET(DATA!$C$14,$AS1120,0)=BB$6),$AV1120,dNULL)</f>
        <v>-99</v>
      </c>
      <c r="BC1120">
        <f ca="1">IF(AND($AT1120&lt;3,OFFSET(DATA!$C$14,$AS1120,0)=BC$6),$AV1120,dNULL)</f>
        <v>-99</v>
      </c>
      <c r="BD1120">
        <f ca="1">IF(AND($AT1120&lt;3,OFFSET(DATA!$C$14,$AS1120,0)=BD$6),$AV1120,dNULL)</f>
        <v>-99</v>
      </c>
      <c r="BE1120">
        <f ca="1">IF(AND($AT1120&lt;3,OFFSET(DATA!$C$14,$AS1120,0)=BE$6),$AV1120,dNULL)</f>
        <v>-99</v>
      </c>
      <c r="BF1120">
        <f ca="1">IF(AND($AT1120&lt;3,OFFSET(DATA!$C$14,$AS1120,0)=BF$6),$AV1120,dNULL)</f>
        <v>-99</v>
      </c>
      <c r="BG1120">
        <f ca="1">IF(AND($AT1120&lt;3,OFFSET(DATA!$C$14,$AS1120,0)=BG$6),$AV1120,dNULL)</f>
        <v>-99</v>
      </c>
      <c r="BH1120">
        <f ca="1">IF(AND($AT1120&lt;3,OFFSET(DATA!$C$14,$AS1120,0)=BH$6),$AV1120,dNULL)</f>
        <v>-99</v>
      </c>
    </row>
    <row r="1121" spans="45:60" x14ac:dyDescent="0.25">
      <c r="AS1121">
        <f t="shared" si="156"/>
        <v>35</v>
      </c>
      <c r="AT1121">
        <f t="shared" si="157"/>
        <v>12</v>
      </c>
      <c r="AU1121">
        <f t="shared" ca="1" si="158"/>
        <v>-99</v>
      </c>
      <c r="AV1121">
        <f t="shared" ca="1" si="159"/>
        <v>-99</v>
      </c>
      <c r="AW1121">
        <f ca="1">IF(AND($AT1121&lt;3,OFFSET(DATA!$C$14,$AS1121,0)=AW$6),$AV1121,dNULL)</f>
        <v>-99</v>
      </c>
      <c r="AX1121">
        <f ca="1">IF(AND($AT1121&lt;3,OFFSET(DATA!$C$14,$AS1121,0)=AX$6),$AV1121,dNULL)</f>
        <v>-99</v>
      </c>
      <c r="AY1121">
        <f ca="1">IF(AND($AT1121&lt;3,OFFSET(DATA!$C$14,$AS1121,0)=AY$6),$AV1121,dNULL)</f>
        <v>-99</v>
      </c>
      <c r="AZ1121">
        <f ca="1">IF(AND($AT1121&lt;3,OFFSET(DATA!$C$14,$AS1121,0)=AZ$6),$AV1121,dNULL)</f>
        <v>-99</v>
      </c>
      <c r="BA1121">
        <f ca="1">IF(AND($AT1121&lt;3,OFFSET(DATA!$C$14,$AS1121,0)=BA$6),$AV1121,dNULL)</f>
        <v>-99</v>
      </c>
      <c r="BB1121">
        <f ca="1">IF(AND($AT1121&lt;3,OFFSET(DATA!$C$14,$AS1121,0)=BB$6),$AV1121,dNULL)</f>
        <v>-99</v>
      </c>
      <c r="BC1121">
        <f ca="1">IF(AND($AT1121&lt;3,OFFSET(DATA!$C$14,$AS1121,0)=BC$6),$AV1121,dNULL)</f>
        <v>-99</v>
      </c>
      <c r="BD1121">
        <f ca="1">IF(AND($AT1121&lt;3,OFFSET(DATA!$C$14,$AS1121,0)=BD$6),$AV1121,dNULL)</f>
        <v>-99</v>
      </c>
      <c r="BE1121">
        <f ca="1">IF(AND($AT1121&lt;3,OFFSET(DATA!$C$14,$AS1121,0)=BE$6),$AV1121,dNULL)</f>
        <v>-99</v>
      </c>
      <c r="BF1121">
        <f ca="1">IF(AND($AT1121&lt;3,OFFSET(DATA!$C$14,$AS1121,0)=BF$6),$AV1121,dNULL)</f>
        <v>-99</v>
      </c>
      <c r="BG1121">
        <f ca="1">IF(AND($AT1121&lt;3,OFFSET(DATA!$C$14,$AS1121,0)=BG$6),$AV1121,dNULL)</f>
        <v>-99</v>
      </c>
      <c r="BH1121">
        <f ca="1">IF(AND($AT1121&lt;3,OFFSET(DATA!$C$14,$AS1121,0)=BH$6),$AV1121,dNULL)</f>
        <v>-99</v>
      </c>
    </row>
    <row r="1122" spans="45:60" x14ac:dyDescent="0.25">
      <c r="AS1122">
        <f t="shared" si="156"/>
        <v>36</v>
      </c>
      <c r="AT1122">
        <f t="shared" si="157"/>
        <v>12</v>
      </c>
      <c r="AU1122">
        <f t="shared" ca="1" si="158"/>
        <v>-99</v>
      </c>
      <c r="AV1122">
        <f t="shared" ca="1" si="159"/>
        <v>-99</v>
      </c>
      <c r="AW1122">
        <f ca="1">IF(AND($AT1122&lt;3,OFFSET(DATA!$C$14,$AS1122,0)=AW$6),$AV1122,dNULL)</f>
        <v>-99</v>
      </c>
      <c r="AX1122">
        <f ca="1">IF(AND($AT1122&lt;3,OFFSET(DATA!$C$14,$AS1122,0)=AX$6),$AV1122,dNULL)</f>
        <v>-99</v>
      </c>
      <c r="AY1122">
        <f ca="1">IF(AND($AT1122&lt;3,OFFSET(DATA!$C$14,$AS1122,0)=AY$6),$AV1122,dNULL)</f>
        <v>-99</v>
      </c>
      <c r="AZ1122">
        <f ca="1">IF(AND($AT1122&lt;3,OFFSET(DATA!$C$14,$AS1122,0)=AZ$6),$AV1122,dNULL)</f>
        <v>-99</v>
      </c>
      <c r="BA1122">
        <f ca="1">IF(AND($AT1122&lt;3,OFFSET(DATA!$C$14,$AS1122,0)=BA$6),$AV1122,dNULL)</f>
        <v>-99</v>
      </c>
      <c r="BB1122">
        <f ca="1">IF(AND($AT1122&lt;3,OFFSET(DATA!$C$14,$AS1122,0)=BB$6),$AV1122,dNULL)</f>
        <v>-99</v>
      </c>
      <c r="BC1122">
        <f ca="1">IF(AND($AT1122&lt;3,OFFSET(DATA!$C$14,$AS1122,0)=BC$6),$AV1122,dNULL)</f>
        <v>-99</v>
      </c>
      <c r="BD1122">
        <f ca="1">IF(AND($AT1122&lt;3,OFFSET(DATA!$C$14,$AS1122,0)=BD$6),$AV1122,dNULL)</f>
        <v>-99</v>
      </c>
      <c r="BE1122">
        <f ca="1">IF(AND($AT1122&lt;3,OFFSET(DATA!$C$14,$AS1122,0)=BE$6),$AV1122,dNULL)</f>
        <v>-99</v>
      </c>
      <c r="BF1122">
        <f ca="1">IF(AND($AT1122&lt;3,OFFSET(DATA!$C$14,$AS1122,0)=BF$6),$AV1122,dNULL)</f>
        <v>-99</v>
      </c>
      <c r="BG1122">
        <f ca="1">IF(AND($AT1122&lt;3,OFFSET(DATA!$C$14,$AS1122,0)=BG$6),$AV1122,dNULL)</f>
        <v>-99</v>
      </c>
      <c r="BH1122">
        <f ca="1">IF(AND($AT1122&lt;3,OFFSET(DATA!$C$14,$AS1122,0)=BH$6),$AV1122,dNULL)</f>
        <v>-99</v>
      </c>
    </row>
    <row r="1123" spans="45:60" x14ac:dyDescent="0.25">
      <c r="AS1123">
        <f t="shared" si="156"/>
        <v>37</v>
      </c>
      <c r="AT1123">
        <f t="shared" si="157"/>
        <v>12</v>
      </c>
      <c r="AU1123">
        <f t="shared" ca="1" si="158"/>
        <v>-99</v>
      </c>
      <c r="AV1123">
        <f t="shared" ca="1" si="159"/>
        <v>-99</v>
      </c>
      <c r="AW1123">
        <f ca="1">IF(AND($AT1123&lt;3,OFFSET(DATA!$C$14,$AS1123,0)=AW$6),$AV1123,dNULL)</f>
        <v>-99</v>
      </c>
      <c r="AX1123">
        <f ca="1">IF(AND($AT1123&lt;3,OFFSET(DATA!$C$14,$AS1123,0)=AX$6),$AV1123,dNULL)</f>
        <v>-99</v>
      </c>
      <c r="AY1123">
        <f ca="1">IF(AND($AT1123&lt;3,OFFSET(DATA!$C$14,$AS1123,0)=AY$6),$AV1123,dNULL)</f>
        <v>-99</v>
      </c>
      <c r="AZ1123">
        <f ca="1">IF(AND($AT1123&lt;3,OFFSET(DATA!$C$14,$AS1123,0)=AZ$6),$AV1123,dNULL)</f>
        <v>-99</v>
      </c>
      <c r="BA1123">
        <f ca="1">IF(AND($AT1123&lt;3,OFFSET(DATA!$C$14,$AS1123,0)=BA$6),$AV1123,dNULL)</f>
        <v>-99</v>
      </c>
      <c r="BB1123">
        <f ca="1">IF(AND($AT1123&lt;3,OFFSET(DATA!$C$14,$AS1123,0)=BB$6),$AV1123,dNULL)</f>
        <v>-99</v>
      </c>
      <c r="BC1123">
        <f ca="1">IF(AND($AT1123&lt;3,OFFSET(DATA!$C$14,$AS1123,0)=BC$6),$AV1123,dNULL)</f>
        <v>-99</v>
      </c>
      <c r="BD1123">
        <f ca="1">IF(AND($AT1123&lt;3,OFFSET(DATA!$C$14,$AS1123,0)=BD$6),$AV1123,dNULL)</f>
        <v>-99</v>
      </c>
      <c r="BE1123">
        <f ca="1">IF(AND($AT1123&lt;3,OFFSET(DATA!$C$14,$AS1123,0)=BE$6),$AV1123,dNULL)</f>
        <v>-99</v>
      </c>
      <c r="BF1123">
        <f ca="1">IF(AND($AT1123&lt;3,OFFSET(DATA!$C$14,$AS1123,0)=BF$6),$AV1123,dNULL)</f>
        <v>-99</v>
      </c>
      <c r="BG1123">
        <f ca="1">IF(AND($AT1123&lt;3,OFFSET(DATA!$C$14,$AS1123,0)=BG$6),$AV1123,dNULL)</f>
        <v>-99</v>
      </c>
      <c r="BH1123">
        <f ca="1">IF(AND($AT1123&lt;3,OFFSET(DATA!$C$14,$AS1123,0)=BH$6),$AV1123,dNULL)</f>
        <v>-99</v>
      </c>
    </row>
    <row r="1124" spans="45:60" x14ac:dyDescent="0.25">
      <c r="AS1124">
        <f t="shared" si="156"/>
        <v>38</v>
      </c>
      <c r="AT1124">
        <f t="shared" si="157"/>
        <v>12</v>
      </c>
      <c r="AU1124">
        <f t="shared" ca="1" si="158"/>
        <v>-99</v>
      </c>
      <c r="AV1124">
        <f t="shared" ca="1" si="159"/>
        <v>-99</v>
      </c>
      <c r="AW1124">
        <f ca="1">IF(AND($AT1124&lt;3,OFFSET(DATA!$C$14,$AS1124,0)=AW$6),$AV1124,dNULL)</f>
        <v>-99</v>
      </c>
      <c r="AX1124">
        <f ca="1">IF(AND($AT1124&lt;3,OFFSET(DATA!$C$14,$AS1124,0)=AX$6),$AV1124,dNULL)</f>
        <v>-99</v>
      </c>
      <c r="AY1124">
        <f ca="1">IF(AND($AT1124&lt;3,OFFSET(DATA!$C$14,$AS1124,0)=AY$6),$AV1124,dNULL)</f>
        <v>-99</v>
      </c>
      <c r="AZ1124">
        <f ca="1">IF(AND($AT1124&lt;3,OFFSET(DATA!$C$14,$AS1124,0)=AZ$6),$AV1124,dNULL)</f>
        <v>-99</v>
      </c>
      <c r="BA1124">
        <f ca="1">IF(AND($AT1124&lt;3,OFFSET(DATA!$C$14,$AS1124,0)=BA$6),$AV1124,dNULL)</f>
        <v>-99</v>
      </c>
      <c r="BB1124">
        <f ca="1">IF(AND($AT1124&lt;3,OFFSET(DATA!$C$14,$AS1124,0)=BB$6),$AV1124,dNULL)</f>
        <v>-99</v>
      </c>
      <c r="BC1124">
        <f ca="1">IF(AND($AT1124&lt;3,OFFSET(DATA!$C$14,$AS1124,0)=BC$6),$AV1124,dNULL)</f>
        <v>-99</v>
      </c>
      <c r="BD1124">
        <f ca="1">IF(AND($AT1124&lt;3,OFFSET(DATA!$C$14,$AS1124,0)=BD$6),$AV1124,dNULL)</f>
        <v>-99</v>
      </c>
      <c r="BE1124">
        <f ca="1">IF(AND($AT1124&lt;3,OFFSET(DATA!$C$14,$AS1124,0)=BE$6),$AV1124,dNULL)</f>
        <v>-99</v>
      </c>
      <c r="BF1124">
        <f ca="1">IF(AND($AT1124&lt;3,OFFSET(DATA!$C$14,$AS1124,0)=BF$6),$AV1124,dNULL)</f>
        <v>-99</v>
      </c>
      <c r="BG1124">
        <f ca="1">IF(AND($AT1124&lt;3,OFFSET(DATA!$C$14,$AS1124,0)=BG$6),$AV1124,dNULL)</f>
        <v>-99</v>
      </c>
      <c r="BH1124">
        <f ca="1">IF(AND($AT1124&lt;3,OFFSET(DATA!$C$14,$AS1124,0)=BH$6),$AV1124,dNULL)</f>
        <v>-99</v>
      </c>
    </row>
    <row r="1125" spans="45:60" x14ac:dyDescent="0.25">
      <c r="AS1125">
        <f t="shared" si="156"/>
        <v>39</v>
      </c>
      <c r="AT1125">
        <f t="shared" si="157"/>
        <v>12</v>
      </c>
      <c r="AU1125">
        <f t="shared" ca="1" si="158"/>
        <v>-99</v>
      </c>
      <c r="AV1125">
        <f t="shared" ca="1" si="159"/>
        <v>-99</v>
      </c>
      <c r="AW1125">
        <f ca="1">IF(AND($AT1125&lt;3,OFFSET(DATA!$C$14,$AS1125,0)=AW$6),$AV1125,dNULL)</f>
        <v>-99</v>
      </c>
      <c r="AX1125">
        <f ca="1">IF(AND($AT1125&lt;3,OFFSET(DATA!$C$14,$AS1125,0)=AX$6),$AV1125,dNULL)</f>
        <v>-99</v>
      </c>
      <c r="AY1125">
        <f ca="1">IF(AND($AT1125&lt;3,OFFSET(DATA!$C$14,$AS1125,0)=AY$6),$AV1125,dNULL)</f>
        <v>-99</v>
      </c>
      <c r="AZ1125">
        <f ca="1">IF(AND($AT1125&lt;3,OFFSET(DATA!$C$14,$AS1125,0)=AZ$6),$AV1125,dNULL)</f>
        <v>-99</v>
      </c>
      <c r="BA1125">
        <f ca="1">IF(AND($AT1125&lt;3,OFFSET(DATA!$C$14,$AS1125,0)=BA$6),$AV1125,dNULL)</f>
        <v>-99</v>
      </c>
      <c r="BB1125">
        <f ca="1">IF(AND($AT1125&lt;3,OFFSET(DATA!$C$14,$AS1125,0)=BB$6),$AV1125,dNULL)</f>
        <v>-99</v>
      </c>
      <c r="BC1125">
        <f ca="1">IF(AND($AT1125&lt;3,OFFSET(DATA!$C$14,$AS1125,0)=BC$6),$AV1125,dNULL)</f>
        <v>-99</v>
      </c>
      <c r="BD1125">
        <f ca="1">IF(AND($AT1125&lt;3,OFFSET(DATA!$C$14,$AS1125,0)=BD$6),$AV1125,dNULL)</f>
        <v>-99</v>
      </c>
      <c r="BE1125">
        <f ca="1">IF(AND($AT1125&lt;3,OFFSET(DATA!$C$14,$AS1125,0)=BE$6),$AV1125,dNULL)</f>
        <v>-99</v>
      </c>
      <c r="BF1125">
        <f ca="1">IF(AND($AT1125&lt;3,OFFSET(DATA!$C$14,$AS1125,0)=BF$6),$AV1125,dNULL)</f>
        <v>-99</v>
      </c>
      <c r="BG1125">
        <f ca="1">IF(AND($AT1125&lt;3,OFFSET(DATA!$C$14,$AS1125,0)=BG$6),$AV1125,dNULL)</f>
        <v>-99</v>
      </c>
      <c r="BH1125">
        <f ca="1">IF(AND($AT1125&lt;3,OFFSET(DATA!$C$14,$AS1125,0)=BH$6),$AV1125,dNULL)</f>
        <v>-99</v>
      </c>
    </row>
    <row r="1126" spans="45:60" x14ac:dyDescent="0.25">
      <c r="AS1126">
        <f t="shared" si="156"/>
        <v>40</v>
      </c>
      <c r="AT1126">
        <f t="shared" si="157"/>
        <v>12</v>
      </c>
      <c r="AU1126">
        <f t="shared" ca="1" si="158"/>
        <v>-99</v>
      </c>
      <c r="AV1126">
        <f t="shared" ca="1" si="159"/>
        <v>-99</v>
      </c>
      <c r="AW1126">
        <f ca="1">IF(AND($AT1126&lt;3,OFFSET(DATA!$C$14,$AS1126,0)=AW$6),$AV1126,dNULL)</f>
        <v>-99</v>
      </c>
      <c r="AX1126">
        <f ca="1">IF(AND($AT1126&lt;3,OFFSET(DATA!$C$14,$AS1126,0)=AX$6),$AV1126,dNULL)</f>
        <v>-99</v>
      </c>
      <c r="AY1126">
        <f ca="1">IF(AND($AT1126&lt;3,OFFSET(DATA!$C$14,$AS1126,0)=AY$6),$AV1126,dNULL)</f>
        <v>-99</v>
      </c>
      <c r="AZ1126">
        <f ca="1">IF(AND($AT1126&lt;3,OFFSET(DATA!$C$14,$AS1126,0)=AZ$6),$AV1126,dNULL)</f>
        <v>-99</v>
      </c>
      <c r="BA1126">
        <f ca="1">IF(AND($AT1126&lt;3,OFFSET(DATA!$C$14,$AS1126,0)=BA$6),$AV1126,dNULL)</f>
        <v>-99</v>
      </c>
      <c r="BB1126">
        <f ca="1">IF(AND($AT1126&lt;3,OFFSET(DATA!$C$14,$AS1126,0)=BB$6),$AV1126,dNULL)</f>
        <v>-99</v>
      </c>
      <c r="BC1126">
        <f ca="1">IF(AND($AT1126&lt;3,OFFSET(DATA!$C$14,$AS1126,0)=BC$6),$AV1126,dNULL)</f>
        <v>-99</v>
      </c>
      <c r="BD1126">
        <f ca="1">IF(AND($AT1126&lt;3,OFFSET(DATA!$C$14,$AS1126,0)=BD$6),$AV1126,dNULL)</f>
        <v>-99</v>
      </c>
      <c r="BE1126">
        <f ca="1">IF(AND($AT1126&lt;3,OFFSET(DATA!$C$14,$AS1126,0)=BE$6),$AV1126,dNULL)</f>
        <v>-99</v>
      </c>
      <c r="BF1126">
        <f ca="1">IF(AND($AT1126&lt;3,OFFSET(DATA!$C$14,$AS1126,0)=BF$6),$AV1126,dNULL)</f>
        <v>-99</v>
      </c>
      <c r="BG1126">
        <f ca="1">IF(AND($AT1126&lt;3,OFFSET(DATA!$C$14,$AS1126,0)=BG$6),$AV1126,dNULL)</f>
        <v>-99</v>
      </c>
      <c r="BH1126">
        <f ca="1">IF(AND($AT1126&lt;3,OFFSET(DATA!$C$14,$AS1126,0)=BH$6),$AV1126,dNULL)</f>
        <v>-99</v>
      </c>
    </row>
    <row r="1127" spans="45:60" x14ac:dyDescent="0.25">
      <c r="AS1127">
        <f t="shared" si="156"/>
        <v>41</v>
      </c>
      <c r="AT1127">
        <f t="shared" si="157"/>
        <v>12</v>
      </c>
      <c r="AU1127">
        <f t="shared" ca="1" si="158"/>
        <v>-99</v>
      </c>
      <c r="AV1127">
        <f t="shared" ca="1" si="159"/>
        <v>-99</v>
      </c>
      <c r="AW1127">
        <f ca="1">IF(AND($AT1127&lt;3,OFFSET(DATA!$C$14,$AS1127,0)=AW$6),$AV1127,dNULL)</f>
        <v>-99</v>
      </c>
      <c r="AX1127">
        <f ca="1">IF(AND($AT1127&lt;3,OFFSET(DATA!$C$14,$AS1127,0)=AX$6),$AV1127,dNULL)</f>
        <v>-99</v>
      </c>
      <c r="AY1127">
        <f ca="1">IF(AND($AT1127&lt;3,OFFSET(DATA!$C$14,$AS1127,0)=AY$6),$AV1127,dNULL)</f>
        <v>-99</v>
      </c>
      <c r="AZ1127">
        <f ca="1">IF(AND($AT1127&lt;3,OFFSET(DATA!$C$14,$AS1127,0)=AZ$6),$AV1127,dNULL)</f>
        <v>-99</v>
      </c>
      <c r="BA1127">
        <f ca="1">IF(AND($AT1127&lt;3,OFFSET(DATA!$C$14,$AS1127,0)=BA$6),$AV1127,dNULL)</f>
        <v>-99</v>
      </c>
      <c r="BB1127">
        <f ca="1">IF(AND($AT1127&lt;3,OFFSET(DATA!$C$14,$AS1127,0)=BB$6),$AV1127,dNULL)</f>
        <v>-99</v>
      </c>
      <c r="BC1127">
        <f ca="1">IF(AND($AT1127&lt;3,OFFSET(DATA!$C$14,$AS1127,0)=BC$6),$AV1127,dNULL)</f>
        <v>-99</v>
      </c>
      <c r="BD1127">
        <f ca="1">IF(AND($AT1127&lt;3,OFFSET(DATA!$C$14,$AS1127,0)=BD$6),$AV1127,dNULL)</f>
        <v>-99</v>
      </c>
      <c r="BE1127">
        <f ca="1">IF(AND($AT1127&lt;3,OFFSET(DATA!$C$14,$AS1127,0)=BE$6),$AV1127,dNULL)</f>
        <v>-99</v>
      </c>
      <c r="BF1127">
        <f ca="1">IF(AND($AT1127&lt;3,OFFSET(DATA!$C$14,$AS1127,0)=BF$6),$AV1127,dNULL)</f>
        <v>-99</v>
      </c>
      <c r="BG1127">
        <f ca="1">IF(AND($AT1127&lt;3,OFFSET(DATA!$C$14,$AS1127,0)=BG$6),$AV1127,dNULL)</f>
        <v>-99</v>
      </c>
      <c r="BH1127">
        <f ca="1">IF(AND($AT1127&lt;3,OFFSET(DATA!$C$14,$AS1127,0)=BH$6),$AV1127,dNULL)</f>
        <v>-99</v>
      </c>
    </row>
    <row r="1128" spans="45:60" x14ac:dyDescent="0.25">
      <c r="AS1128">
        <f t="shared" si="156"/>
        <v>42</v>
      </c>
      <c r="AT1128">
        <f t="shared" si="157"/>
        <v>12</v>
      </c>
      <c r="AU1128">
        <f t="shared" ca="1" si="158"/>
        <v>-99</v>
      </c>
      <c r="AV1128">
        <f t="shared" ca="1" si="159"/>
        <v>-99</v>
      </c>
      <c r="AW1128">
        <f ca="1">IF(AND($AT1128&lt;3,OFFSET(DATA!$C$14,$AS1128,0)=AW$6),$AV1128,dNULL)</f>
        <v>-99</v>
      </c>
      <c r="AX1128">
        <f ca="1">IF(AND($AT1128&lt;3,OFFSET(DATA!$C$14,$AS1128,0)=AX$6),$AV1128,dNULL)</f>
        <v>-99</v>
      </c>
      <c r="AY1128">
        <f ca="1">IF(AND($AT1128&lt;3,OFFSET(DATA!$C$14,$AS1128,0)=AY$6),$AV1128,dNULL)</f>
        <v>-99</v>
      </c>
      <c r="AZ1128">
        <f ca="1">IF(AND($AT1128&lt;3,OFFSET(DATA!$C$14,$AS1128,0)=AZ$6),$AV1128,dNULL)</f>
        <v>-99</v>
      </c>
      <c r="BA1128">
        <f ca="1">IF(AND($AT1128&lt;3,OFFSET(DATA!$C$14,$AS1128,0)=BA$6),$AV1128,dNULL)</f>
        <v>-99</v>
      </c>
      <c r="BB1128">
        <f ca="1">IF(AND($AT1128&lt;3,OFFSET(DATA!$C$14,$AS1128,0)=BB$6),$AV1128,dNULL)</f>
        <v>-99</v>
      </c>
      <c r="BC1128">
        <f ca="1">IF(AND($AT1128&lt;3,OFFSET(DATA!$C$14,$AS1128,0)=BC$6),$AV1128,dNULL)</f>
        <v>-99</v>
      </c>
      <c r="BD1128">
        <f ca="1">IF(AND($AT1128&lt;3,OFFSET(DATA!$C$14,$AS1128,0)=BD$6),$AV1128,dNULL)</f>
        <v>-99</v>
      </c>
      <c r="BE1128">
        <f ca="1">IF(AND($AT1128&lt;3,OFFSET(DATA!$C$14,$AS1128,0)=BE$6),$AV1128,dNULL)</f>
        <v>-99</v>
      </c>
      <c r="BF1128">
        <f ca="1">IF(AND($AT1128&lt;3,OFFSET(DATA!$C$14,$AS1128,0)=BF$6),$AV1128,dNULL)</f>
        <v>-99</v>
      </c>
      <c r="BG1128">
        <f ca="1">IF(AND($AT1128&lt;3,OFFSET(DATA!$C$14,$AS1128,0)=BG$6),$AV1128,dNULL)</f>
        <v>-99</v>
      </c>
      <c r="BH1128">
        <f ca="1">IF(AND($AT1128&lt;3,OFFSET(DATA!$C$14,$AS1128,0)=BH$6),$AV1128,dNULL)</f>
        <v>-99</v>
      </c>
    </row>
    <row r="1129" spans="45:60" x14ac:dyDescent="0.25">
      <c r="AS1129">
        <f t="shared" si="156"/>
        <v>43</v>
      </c>
      <c r="AT1129">
        <f t="shared" si="157"/>
        <v>12</v>
      </c>
      <c r="AU1129">
        <f t="shared" ca="1" si="158"/>
        <v>-99</v>
      </c>
      <c r="AV1129">
        <f t="shared" ca="1" si="159"/>
        <v>-99</v>
      </c>
      <c r="AW1129">
        <f ca="1">IF(AND($AT1129&lt;3,OFFSET(DATA!$C$14,$AS1129,0)=AW$6),$AV1129,dNULL)</f>
        <v>-99</v>
      </c>
      <c r="AX1129">
        <f ca="1">IF(AND($AT1129&lt;3,OFFSET(DATA!$C$14,$AS1129,0)=AX$6),$AV1129,dNULL)</f>
        <v>-99</v>
      </c>
      <c r="AY1129">
        <f ca="1">IF(AND($AT1129&lt;3,OFFSET(DATA!$C$14,$AS1129,0)=AY$6),$AV1129,dNULL)</f>
        <v>-99</v>
      </c>
      <c r="AZ1129">
        <f ca="1">IF(AND($AT1129&lt;3,OFFSET(DATA!$C$14,$AS1129,0)=AZ$6),$AV1129,dNULL)</f>
        <v>-99</v>
      </c>
      <c r="BA1129">
        <f ca="1">IF(AND($AT1129&lt;3,OFFSET(DATA!$C$14,$AS1129,0)=BA$6),$AV1129,dNULL)</f>
        <v>-99</v>
      </c>
      <c r="BB1129">
        <f ca="1">IF(AND($AT1129&lt;3,OFFSET(DATA!$C$14,$AS1129,0)=BB$6),$AV1129,dNULL)</f>
        <v>-99</v>
      </c>
      <c r="BC1129">
        <f ca="1">IF(AND($AT1129&lt;3,OFFSET(DATA!$C$14,$AS1129,0)=BC$6),$AV1129,dNULL)</f>
        <v>-99</v>
      </c>
      <c r="BD1129">
        <f ca="1">IF(AND($AT1129&lt;3,OFFSET(DATA!$C$14,$AS1129,0)=BD$6),$AV1129,dNULL)</f>
        <v>-99</v>
      </c>
      <c r="BE1129">
        <f ca="1">IF(AND($AT1129&lt;3,OFFSET(DATA!$C$14,$AS1129,0)=BE$6),$AV1129,dNULL)</f>
        <v>-99</v>
      </c>
      <c r="BF1129">
        <f ca="1">IF(AND($AT1129&lt;3,OFFSET(DATA!$C$14,$AS1129,0)=BF$6),$AV1129,dNULL)</f>
        <v>-99</v>
      </c>
      <c r="BG1129">
        <f ca="1">IF(AND($AT1129&lt;3,OFFSET(DATA!$C$14,$AS1129,0)=BG$6),$AV1129,dNULL)</f>
        <v>-99</v>
      </c>
      <c r="BH1129">
        <f ca="1">IF(AND($AT1129&lt;3,OFFSET(DATA!$C$14,$AS1129,0)=BH$6),$AV1129,dNULL)</f>
        <v>-99</v>
      </c>
    </row>
    <row r="1130" spans="45:60" x14ac:dyDescent="0.25">
      <c r="AS1130">
        <f t="shared" si="156"/>
        <v>44</v>
      </c>
      <c r="AT1130">
        <f t="shared" si="157"/>
        <v>12</v>
      </c>
      <c r="AU1130">
        <f t="shared" ca="1" si="158"/>
        <v>-99</v>
      </c>
      <c r="AV1130">
        <f t="shared" ca="1" si="159"/>
        <v>-99</v>
      </c>
      <c r="AW1130">
        <f ca="1">IF(AND($AT1130&lt;3,OFFSET(DATA!$C$14,$AS1130,0)=AW$6),$AV1130,dNULL)</f>
        <v>-99</v>
      </c>
      <c r="AX1130">
        <f ca="1">IF(AND($AT1130&lt;3,OFFSET(DATA!$C$14,$AS1130,0)=AX$6),$AV1130,dNULL)</f>
        <v>-99</v>
      </c>
      <c r="AY1130">
        <f ca="1">IF(AND($AT1130&lt;3,OFFSET(DATA!$C$14,$AS1130,0)=AY$6),$AV1130,dNULL)</f>
        <v>-99</v>
      </c>
      <c r="AZ1130">
        <f ca="1">IF(AND($AT1130&lt;3,OFFSET(DATA!$C$14,$AS1130,0)=AZ$6),$AV1130,dNULL)</f>
        <v>-99</v>
      </c>
      <c r="BA1130">
        <f ca="1">IF(AND($AT1130&lt;3,OFFSET(DATA!$C$14,$AS1130,0)=BA$6),$AV1130,dNULL)</f>
        <v>-99</v>
      </c>
      <c r="BB1130">
        <f ca="1">IF(AND($AT1130&lt;3,OFFSET(DATA!$C$14,$AS1130,0)=BB$6),$AV1130,dNULL)</f>
        <v>-99</v>
      </c>
      <c r="BC1130">
        <f ca="1">IF(AND($AT1130&lt;3,OFFSET(DATA!$C$14,$AS1130,0)=BC$6),$AV1130,dNULL)</f>
        <v>-99</v>
      </c>
      <c r="BD1130">
        <f ca="1">IF(AND($AT1130&lt;3,OFFSET(DATA!$C$14,$AS1130,0)=BD$6),$AV1130,dNULL)</f>
        <v>-99</v>
      </c>
      <c r="BE1130">
        <f ca="1">IF(AND($AT1130&lt;3,OFFSET(DATA!$C$14,$AS1130,0)=BE$6),$AV1130,dNULL)</f>
        <v>-99</v>
      </c>
      <c r="BF1130">
        <f ca="1">IF(AND($AT1130&lt;3,OFFSET(DATA!$C$14,$AS1130,0)=BF$6),$AV1130,dNULL)</f>
        <v>-99</v>
      </c>
      <c r="BG1130">
        <f ca="1">IF(AND($AT1130&lt;3,OFFSET(DATA!$C$14,$AS1130,0)=BG$6),$AV1130,dNULL)</f>
        <v>-99</v>
      </c>
      <c r="BH1130">
        <f ca="1">IF(AND($AT1130&lt;3,OFFSET(DATA!$C$14,$AS1130,0)=BH$6),$AV1130,dNULL)</f>
        <v>-99</v>
      </c>
    </row>
    <row r="1131" spans="45:60" x14ac:dyDescent="0.25">
      <c r="AS1131">
        <f t="shared" si="156"/>
        <v>45</v>
      </c>
      <c r="AT1131">
        <f t="shared" si="157"/>
        <v>12</v>
      </c>
      <c r="AU1131">
        <f t="shared" ca="1" si="158"/>
        <v>-99</v>
      </c>
      <c r="AV1131">
        <f t="shared" ca="1" si="159"/>
        <v>-99</v>
      </c>
      <c r="AW1131">
        <f ca="1">IF(AND($AT1131&lt;3,OFFSET(DATA!$C$14,$AS1131,0)=AW$6),$AV1131,dNULL)</f>
        <v>-99</v>
      </c>
      <c r="AX1131">
        <f ca="1">IF(AND($AT1131&lt;3,OFFSET(DATA!$C$14,$AS1131,0)=AX$6),$AV1131,dNULL)</f>
        <v>-99</v>
      </c>
      <c r="AY1131">
        <f ca="1">IF(AND($AT1131&lt;3,OFFSET(DATA!$C$14,$AS1131,0)=AY$6),$AV1131,dNULL)</f>
        <v>-99</v>
      </c>
      <c r="AZ1131">
        <f ca="1">IF(AND($AT1131&lt;3,OFFSET(DATA!$C$14,$AS1131,0)=AZ$6),$AV1131,dNULL)</f>
        <v>-99</v>
      </c>
      <c r="BA1131">
        <f ca="1">IF(AND($AT1131&lt;3,OFFSET(DATA!$C$14,$AS1131,0)=BA$6),$AV1131,dNULL)</f>
        <v>-99</v>
      </c>
      <c r="BB1131">
        <f ca="1">IF(AND($AT1131&lt;3,OFFSET(DATA!$C$14,$AS1131,0)=BB$6),$AV1131,dNULL)</f>
        <v>-99</v>
      </c>
      <c r="BC1131">
        <f ca="1">IF(AND($AT1131&lt;3,OFFSET(DATA!$C$14,$AS1131,0)=BC$6),$AV1131,dNULL)</f>
        <v>-99</v>
      </c>
      <c r="BD1131">
        <f ca="1">IF(AND($AT1131&lt;3,OFFSET(DATA!$C$14,$AS1131,0)=BD$6),$AV1131,dNULL)</f>
        <v>-99</v>
      </c>
      <c r="BE1131">
        <f ca="1">IF(AND($AT1131&lt;3,OFFSET(DATA!$C$14,$AS1131,0)=BE$6),$AV1131,dNULL)</f>
        <v>-99</v>
      </c>
      <c r="BF1131">
        <f ca="1">IF(AND($AT1131&lt;3,OFFSET(DATA!$C$14,$AS1131,0)=BF$6),$AV1131,dNULL)</f>
        <v>-99</v>
      </c>
      <c r="BG1131">
        <f ca="1">IF(AND($AT1131&lt;3,OFFSET(DATA!$C$14,$AS1131,0)=BG$6),$AV1131,dNULL)</f>
        <v>-99</v>
      </c>
      <c r="BH1131">
        <f ca="1">IF(AND($AT1131&lt;3,OFFSET(DATA!$C$14,$AS1131,0)=BH$6),$AV1131,dNULL)</f>
        <v>-99</v>
      </c>
    </row>
    <row r="1132" spans="45:60" x14ac:dyDescent="0.25">
      <c r="AS1132">
        <f t="shared" si="156"/>
        <v>46</v>
      </c>
      <c r="AT1132">
        <f t="shared" si="157"/>
        <v>12</v>
      </c>
      <c r="AU1132">
        <f t="shared" ca="1" si="158"/>
        <v>-99</v>
      </c>
      <c r="AV1132">
        <f t="shared" ca="1" si="159"/>
        <v>-99</v>
      </c>
      <c r="AW1132">
        <f ca="1">IF(AND($AT1132&lt;3,OFFSET(DATA!$C$14,$AS1132,0)=AW$6),$AV1132,dNULL)</f>
        <v>-99</v>
      </c>
      <c r="AX1132">
        <f ca="1">IF(AND($AT1132&lt;3,OFFSET(DATA!$C$14,$AS1132,0)=AX$6),$AV1132,dNULL)</f>
        <v>-99</v>
      </c>
      <c r="AY1132">
        <f ca="1">IF(AND($AT1132&lt;3,OFFSET(DATA!$C$14,$AS1132,0)=AY$6),$AV1132,dNULL)</f>
        <v>-99</v>
      </c>
      <c r="AZ1132">
        <f ca="1">IF(AND($AT1132&lt;3,OFFSET(DATA!$C$14,$AS1132,0)=AZ$6),$AV1132,dNULL)</f>
        <v>-99</v>
      </c>
      <c r="BA1132">
        <f ca="1">IF(AND($AT1132&lt;3,OFFSET(DATA!$C$14,$AS1132,0)=BA$6),$AV1132,dNULL)</f>
        <v>-99</v>
      </c>
      <c r="BB1132">
        <f ca="1">IF(AND($AT1132&lt;3,OFFSET(DATA!$C$14,$AS1132,0)=BB$6),$AV1132,dNULL)</f>
        <v>-99</v>
      </c>
      <c r="BC1132">
        <f ca="1">IF(AND($AT1132&lt;3,OFFSET(DATA!$C$14,$AS1132,0)=BC$6),$AV1132,dNULL)</f>
        <v>-99</v>
      </c>
      <c r="BD1132">
        <f ca="1">IF(AND($AT1132&lt;3,OFFSET(DATA!$C$14,$AS1132,0)=BD$6),$AV1132,dNULL)</f>
        <v>-99</v>
      </c>
      <c r="BE1132">
        <f ca="1">IF(AND($AT1132&lt;3,OFFSET(DATA!$C$14,$AS1132,0)=BE$6),$AV1132,dNULL)</f>
        <v>-99</v>
      </c>
      <c r="BF1132">
        <f ca="1">IF(AND($AT1132&lt;3,OFFSET(DATA!$C$14,$AS1132,0)=BF$6),$AV1132,dNULL)</f>
        <v>-99</v>
      </c>
      <c r="BG1132">
        <f ca="1">IF(AND($AT1132&lt;3,OFFSET(DATA!$C$14,$AS1132,0)=BG$6),$AV1132,dNULL)</f>
        <v>-99</v>
      </c>
      <c r="BH1132">
        <f ca="1">IF(AND($AT1132&lt;3,OFFSET(DATA!$C$14,$AS1132,0)=BH$6),$AV1132,dNULL)</f>
        <v>-99</v>
      </c>
    </row>
    <row r="1133" spans="45:60" x14ac:dyDescent="0.25">
      <c r="AS1133">
        <f t="shared" si="156"/>
        <v>47</v>
      </c>
      <c r="AT1133">
        <f t="shared" si="157"/>
        <v>12</v>
      </c>
      <c r="AU1133">
        <f t="shared" ca="1" si="158"/>
        <v>-99</v>
      </c>
      <c r="AV1133">
        <f t="shared" ca="1" si="159"/>
        <v>-99</v>
      </c>
      <c r="AW1133">
        <f ca="1">IF(AND($AT1133&lt;3,OFFSET(DATA!$C$14,$AS1133,0)=AW$6),$AV1133,dNULL)</f>
        <v>-99</v>
      </c>
      <c r="AX1133">
        <f ca="1">IF(AND($AT1133&lt;3,OFFSET(DATA!$C$14,$AS1133,0)=AX$6),$AV1133,dNULL)</f>
        <v>-99</v>
      </c>
      <c r="AY1133">
        <f ca="1">IF(AND($AT1133&lt;3,OFFSET(DATA!$C$14,$AS1133,0)=AY$6),$AV1133,dNULL)</f>
        <v>-99</v>
      </c>
      <c r="AZ1133">
        <f ca="1">IF(AND($AT1133&lt;3,OFFSET(DATA!$C$14,$AS1133,0)=AZ$6),$AV1133,dNULL)</f>
        <v>-99</v>
      </c>
      <c r="BA1133">
        <f ca="1">IF(AND($AT1133&lt;3,OFFSET(DATA!$C$14,$AS1133,0)=BA$6),$AV1133,dNULL)</f>
        <v>-99</v>
      </c>
      <c r="BB1133">
        <f ca="1">IF(AND($AT1133&lt;3,OFFSET(DATA!$C$14,$AS1133,0)=BB$6),$AV1133,dNULL)</f>
        <v>-99</v>
      </c>
      <c r="BC1133">
        <f ca="1">IF(AND($AT1133&lt;3,OFFSET(DATA!$C$14,$AS1133,0)=BC$6),$AV1133,dNULL)</f>
        <v>-99</v>
      </c>
      <c r="BD1133">
        <f ca="1">IF(AND($AT1133&lt;3,OFFSET(DATA!$C$14,$AS1133,0)=BD$6),$AV1133,dNULL)</f>
        <v>-99</v>
      </c>
      <c r="BE1133">
        <f ca="1">IF(AND($AT1133&lt;3,OFFSET(DATA!$C$14,$AS1133,0)=BE$6),$AV1133,dNULL)</f>
        <v>-99</v>
      </c>
      <c r="BF1133">
        <f ca="1">IF(AND($AT1133&lt;3,OFFSET(DATA!$C$14,$AS1133,0)=BF$6),$AV1133,dNULL)</f>
        <v>-99</v>
      </c>
      <c r="BG1133">
        <f ca="1">IF(AND($AT1133&lt;3,OFFSET(DATA!$C$14,$AS1133,0)=BG$6),$AV1133,dNULL)</f>
        <v>-99</v>
      </c>
      <c r="BH1133">
        <f ca="1">IF(AND($AT1133&lt;3,OFFSET(DATA!$C$14,$AS1133,0)=BH$6),$AV1133,dNULL)</f>
        <v>-99</v>
      </c>
    </row>
    <row r="1134" spans="45:60" x14ac:dyDescent="0.25">
      <c r="AS1134">
        <f t="shared" si="156"/>
        <v>48</v>
      </c>
      <c r="AT1134">
        <f t="shared" si="157"/>
        <v>12</v>
      </c>
      <c r="AU1134">
        <f t="shared" ca="1" si="158"/>
        <v>-99</v>
      </c>
      <c r="AV1134">
        <f t="shared" ca="1" si="159"/>
        <v>-99</v>
      </c>
      <c r="AW1134">
        <f ca="1">IF(AND($AT1134&lt;3,OFFSET(DATA!$C$14,$AS1134,0)=AW$6),$AV1134,dNULL)</f>
        <v>-99</v>
      </c>
      <c r="AX1134">
        <f ca="1">IF(AND($AT1134&lt;3,OFFSET(DATA!$C$14,$AS1134,0)=AX$6),$AV1134,dNULL)</f>
        <v>-99</v>
      </c>
      <c r="AY1134">
        <f ca="1">IF(AND($AT1134&lt;3,OFFSET(DATA!$C$14,$AS1134,0)=AY$6),$AV1134,dNULL)</f>
        <v>-99</v>
      </c>
      <c r="AZ1134">
        <f ca="1">IF(AND($AT1134&lt;3,OFFSET(DATA!$C$14,$AS1134,0)=AZ$6),$AV1134,dNULL)</f>
        <v>-99</v>
      </c>
      <c r="BA1134">
        <f ca="1">IF(AND($AT1134&lt;3,OFFSET(DATA!$C$14,$AS1134,0)=BA$6),$AV1134,dNULL)</f>
        <v>-99</v>
      </c>
      <c r="BB1134">
        <f ca="1">IF(AND($AT1134&lt;3,OFFSET(DATA!$C$14,$AS1134,0)=BB$6),$AV1134,dNULL)</f>
        <v>-99</v>
      </c>
      <c r="BC1134">
        <f ca="1">IF(AND($AT1134&lt;3,OFFSET(DATA!$C$14,$AS1134,0)=BC$6),$AV1134,dNULL)</f>
        <v>-99</v>
      </c>
      <c r="BD1134">
        <f ca="1">IF(AND($AT1134&lt;3,OFFSET(DATA!$C$14,$AS1134,0)=BD$6),$AV1134,dNULL)</f>
        <v>-99</v>
      </c>
      <c r="BE1134">
        <f ca="1">IF(AND($AT1134&lt;3,OFFSET(DATA!$C$14,$AS1134,0)=BE$6),$AV1134,dNULL)</f>
        <v>-99</v>
      </c>
      <c r="BF1134">
        <f ca="1">IF(AND($AT1134&lt;3,OFFSET(DATA!$C$14,$AS1134,0)=BF$6),$AV1134,dNULL)</f>
        <v>-99</v>
      </c>
      <c r="BG1134">
        <f ca="1">IF(AND($AT1134&lt;3,OFFSET(DATA!$C$14,$AS1134,0)=BG$6),$AV1134,dNULL)</f>
        <v>-99</v>
      </c>
      <c r="BH1134">
        <f ca="1">IF(AND($AT1134&lt;3,OFFSET(DATA!$C$14,$AS1134,0)=BH$6),$AV1134,dNULL)</f>
        <v>-99</v>
      </c>
    </row>
    <row r="1135" spans="45:60" x14ac:dyDescent="0.25">
      <c r="AS1135">
        <f t="shared" si="156"/>
        <v>49</v>
      </c>
      <c r="AT1135">
        <f t="shared" si="157"/>
        <v>12</v>
      </c>
      <c r="AU1135">
        <f t="shared" ca="1" si="158"/>
        <v>-99</v>
      </c>
      <c r="AV1135">
        <f t="shared" ca="1" si="159"/>
        <v>-99</v>
      </c>
      <c r="AW1135">
        <f ca="1">IF(AND($AT1135&lt;3,OFFSET(DATA!$C$14,$AS1135,0)=AW$6),$AV1135,dNULL)</f>
        <v>-99</v>
      </c>
      <c r="AX1135">
        <f ca="1">IF(AND($AT1135&lt;3,OFFSET(DATA!$C$14,$AS1135,0)=AX$6),$AV1135,dNULL)</f>
        <v>-99</v>
      </c>
      <c r="AY1135">
        <f ca="1">IF(AND($AT1135&lt;3,OFFSET(DATA!$C$14,$AS1135,0)=AY$6),$AV1135,dNULL)</f>
        <v>-99</v>
      </c>
      <c r="AZ1135">
        <f ca="1">IF(AND($AT1135&lt;3,OFFSET(DATA!$C$14,$AS1135,0)=AZ$6),$AV1135,dNULL)</f>
        <v>-99</v>
      </c>
      <c r="BA1135">
        <f ca="1">IF(AND($AT1135&lt;3,OFFSET(DATA!$C$14,$AS1135,0)=BA$6),$AV1135,dNULL)</f>
        <v>-99</v>
      </c>
      <c r="BB1135">
        <f ca="1">IF(AND($AT1135&lt;3,OFFSET(DATA!$C$14,$AS1135,0)=BB$6),$AV1135,dNULL)</f>
        <v>-99</v>
      </c>
      <c r="BC1135">
        <f ca="1">IF(AND($AT1135&lt;3,OFFSET(DATA!$C$14,$AS1135,0)=BC$6),$AV1135,dNULL)</f>
        <v>-99</v>
      </c>
      <c r="BD1135">
        <f ca="1">IF(AND($AT1135&lt;3,OFFSET(DATA!$C$14,$AS1135,0)=BD$6),$AV1135,dNULL)</f>
        <v>-99</v>
      </c>
      <c r="BE1135">
        <f ca="1">IF(AND($AT1135&lt;3,OFFSET(DATA!$C$14,$AS1135,0)=BE$6),$AV1135,dNULL)</f>
        <v>-99</v>
      </c>
      <c r="BF1135">
        <f ca="1">IF(AND($AT1135&lt;3,OFFSET(DATA!$C$14,$AS1135,0)=BF$6),$AV1135,dNULL)</f>
        <v>-99</v>
      </c>
      <c r="BG1135">
        <f ca="1">IF(AND($AT1135&lt;3,OFFSET(DATA!$C$14,$AS1135,0)=BG$6),$AV1135,dNULL)</f>
        <v>-99</v>
      </c>
      <c r="BH1135">
        <f ca="1">IF(AND($AT1135&lt;3,OFFSET(DATA!$C$14,$AS1135,0)=BH$6),$AV1135,dNULL)</f>
        <v>-99</v>
      </c>
    </row>
    <row r="1136" spans="45:60" x14ac:dyDescent="0.25">
      <c r="AS1136">
        <f t="shared" si="156"/>
        <v>50</v>
      </c>
      <c r="AT1136">
        <f t="shared" si="157"/>
        <v>12</v>
      </c>
      <c r="AU1136">
        <f t="shared" ca="1" si="158"/>
        <v>-99</v>
      </c>
      <c r="AV1136">
        <f t="shared" ca="1" si="159"/>
        <v>-99</v>
      </c>
      <c r="AW1136">
        <f ca="1">IF(AND($AT1136&lt;3,OFFSET(DATA!$C$14,$AS1136,0)=AW$6),$AV1136,dNULL)</f>
        <v>-99</v>
      </c>
      <c r="AX1136">
        <f ca="1">IF(AND($AT1136&lt;3,OFFSET(DATA!$C$14,$AS1136,0)=AX$6),$AV1136,dNULL)</f>
        <v>-99</v>
      </c>
      <c r="AY1136">
        <f ca="1">IF(AND($AT1136&lt;3,OFFSET(DATA!$C$14,$AS1136,0)=AY$6),$AV1136,dNULL)</f>
        <v>-99</v>
      </c>
      <c r="AZ1136">
        <f ca="1">IF(AND($AT1136&lt;3,OFFSET(DATA!$C$14,$AS1136,0)=AZ$6),$AV1136,dNULL)</f>
        <v>-99</v>
      </c>
      <c r="BA1136">
        <f ca="1">IF(AND($AT1136&lt;3,OFFSET(DATA!$C$14,$AS1136,0)=BA$6),$AV1136,dNULL)</f>
        <v>-99</v>
      </c>
      <c r="BB1136">
        <f ca="1">IF(AND($AT1136&lt;3,OFFSET(DATA!$C$14,$AS1136,0)=BB$6),$AV1136,dNULL)</f>
        <v>-99</v>
      </c>
      <c r="BC1136">
        <f ca="1">IF(AND($AT1136&lt;3,OFFSET(DATA!$C$14,$AS1136,0)=BC$6),$AV1136,dNULL)</f>
        <v>-99</v>
      </c>
      <c r="BD1136">
        <f ca="1">IF(AND($AT1136&lt;3,OFFSET(DATA!$C$14,$AS1136,0)=BD$6),$AV1136,dNULL)</f>
        <v>-99</v>
      </c>
      <c r="BE1136">
        <f ca="1">IF(AND($AT1136&lt;3,OFFSET(DATA!$C$14,$AS1136,0)=BE$6),$AV1136,dNULL)</f>
        <v>-99</v>
      </c>
      <c r="BF1136">
        <f ca="1">IF(AND($AT1136&lt;3,OFFSET(DATA!$C$14,$AS1136,0)=BF$6),$AV1136,dNULL)</f>
        <v>-99</v>
      </c>
      <c r="BG1136">
        <f ca="1">IF(AND($AT1136&lt;3,OFFSET(DATA!$C$14,$AS1136,0)=BG$6),$AV1136,dNULL)</f>
        <v>-99</v>
      </c>
      <c r="BH1136">
        <f ca="1">IF(AND($AT1136&lt;3,OFFSET(DATA!$C$14,$AS1136,0)=BH$6),$AV1136,dNULL)</f>
        <v>-99</v>
      </c>
    </row>
    <row r="1137" spans="45:60" x14ac:dyDescent="0.25">
      <c r="AS1137">
        <f t="shared" si="156"/>
        <v>51</v>
      </c>
      <c r="AT1137">
        <f t="shared" si="157"/>
        <v>12</v>
      </c>
      <c r="AU1137">
        <f t="shared" ca="1" si="158"/>
        <v>-99</v>
      </c>
      <c r="AV1137">
        <f t="shared" ca="1" si="159"/>
        <v>-99</v>
      </c>
      <c r="AW1137">
        <f ca="1">IF(AND($AT1137&lt;3,OFFSET(DATA!$C$14,$AS1137,0)=AW$6),$AV1137,dNULL)</f>
        <v>-99</v>
      </c>
      <c r="AX1137">
        <f ca="1">IF(AND($AT1137&lt;3,OFFSET(DATA!$C$14,$AS1137,0)=AX$6),$AV1137,dNULL)</f>
        <v>-99</v>
      </c>
      <c r="AY1137">
        <f ca="1">IF(AND($AT1137&lt;3,OFFSET(DATA!$C$14,$AS1137,0)=AY$6),$AV1137,dNULL)</f>
        <v>-99</v>
      </c>
      <c r="AZ1137">
        <f ca="1">IF(AND($AT1137&lt;3,OFFSET(DATA!$C$14,$AS1137,0)=AZ$6),$AV1137,dNULL)</f>
        <v>-99</v>
      </c>
      <c r="BA1137">
        <f ca="1">IF(AND($AT1137&lt;3,OFFSET(DATA!$C$14,$AS1137,0)=BA$6),$AV1137,dNULL)</f>
        <v>-99</v>
      </c>
      <c r="BB1137">
        <f ca="1">IF(AND($AT1137&lt;3,OFFSET(DATA!$C$14,$AS1137,0)=BB$6),$AV1137,dNULL)</f>
        <v>-99</v>
      </c>
      <c r="BC1137">
        <f ca="1">IF(AND($AT1137&lt;3,OFFSET(DATA!$C$14,$AS1137,0)=BC$6),$AV1137,dNULL)</f>
        <v>-99</v>
      </c>
      <c r="BD1137">
        <f ca="1">IF(AND($AT1137&lt;3,OFFSET(DATA!$C$14,$AS1137,0)=BD$6),$AV1137,dNULL)</f>
        <v>-99</v>
      </c>
      <c r="BE1137">
        <f ca="1">IF(AND($AT1137&lt;3,OFFSET(DATA!$C$14,$AS1137,0)=BE$6),$AV1137,dNULL)</f>
        <v>-99</v>
      </c>
      <c r="BF1137">
        <f ca="1">IF(AND($AT1137&lt;3,OFFSET(DATA!$C$14,$AS1137,0)=BF$6),$AV1137,dNULL)</f>
        <v>-99</v>
      </c>
      <c r="BG1137">
        <f ca="1">IF(AND($AT1137&lt;3,OFFSET(DATA!$C$14,$AS1137,0)=BG$6),$AV1137,dNULL)</f>
        <v>-99</v>
      </c>
      <c r="BH1137">
        <f ca="1">IF(AND($AT1137&lt;3,OFFSET(DATA!$C$14,$AS1137,0)=BH$6),$AV1137,dNULL)</f>
        <v>-99</v>
      </c>
    </row>
    <row r="1138" spans="45:60" x14ac:dyDescent="0.25">
      <c r="AS1138">
        <f t="shared" si="156"/>
        <v>52</v>
      </c>
      <c r="AT1138">
        <f t="shared" si="157"/>
        <v>12</v>
      </c>
      <c r="AU1138">
        <f t="shared" ca="1" si="158"/>
        <v>-99</v>
      </c>
      <c r="AV1138">
        <f t="shared" ca="1" si="159"/>
        <v>-99</v>
      </c>
      <c r="AW1138">
        <f ca="1">IF(AND($AT1138&lt;3,OFFSET(DATA!$C$14,$AS1138,0)=AW$6),$AV1138,dNULL)</f>
        <v>-99</v>
      </c>
      <c r="AX1138">
        <f ca="1">IF(AND($AT1138&lt;3,OFFSET(DATA!$C$14,$AS1138,0)=AX$6),$AV1138,dNULL)</f>
        <v>-99</v>
      </c>
      <c r="AY1138">
        <f ca="1">IF(AND($AT1138&lt;3,OFFSET(DATA!$C$14,$AS1138,0)=AY$6),$AV1138,dNULL)</f>
        <v>-99</v>
      </c>
      <c r="AZ1138">
        <f ca="1">IF(AND($AT1138&lt;3,OFFSET(DATA!$C$14,$AS1138,0)=AZ$6),$AV1138,dNULL)</f>
        <v>-99</v>
      </c>
      <c r="BA1138">
        <f ca="1">IF(AND($AT1138&lt;3,OFFSET(DATA!$C$14,$AS1138,0)=BA$6),$AV1138,dNULL)</f>
        <v>-99</v>
      </c>
      <c r="BB1138">
        <f ca="1">IF(AND($AT1138&lt;3,OFFSET(DATA!$C$14,$AS1138,0)=BB$6),$AV1138,dNULL)</f>
        <v>-99</v>
      </c>
      <c r="BC1138">
        <f ca="1">IF(AND($AT1138&lt;3,OFFSET(DATA!$C$14,$AS1138,0)=BC$6),$AV1138,dNULL)</f>
        <v>-99</v>
      </c>
      <c r="BD1138">
        <f ca="1">IF(AND($AT1138&lt;3,OFFSET(DATA!$C$14,$AS1138,0)=BD$6),$AV1138,dNULL)</f>
        <v>-99</v>
      </c>
      <c r="BE1138">
        <f ca="1">IF(AND($AT1138&lt;3,OFFSET(DATA!$C$14,$AS1138,0)=BE$6),$AV1138,dNULL)</f>
        <v>-99</v>
      </c>
      <c r="BF1138">
        <f ca="1">IF(AND($AT1138&lt;3,OFFSET(DATA!$C$14,$AS1138,0)=BF$6),$AV1138,dNULL)</f>
        <v>-99</v>
      </c>
      <c r="BG1138">
        <f ca="1">IF(AND($AT1138&lt;3,OFFSET(DATA!$C$14,$AS1138,0)=BG$6),$AV1138,dNULL)</f>
        <v>-99</v>
      </c>
      <c r="BH1138">
        <f ca="1">IF(AND($AT1138&lt;3,OFFSET(DATA!$C$14,$AS1138,0)=BH$6),$AV1138,dNULL)</f>
        <v>-99</v>
      </c>
    </row>
    <row r="1139" spans="45:60" x14ac:dyDescent="0.25">
      <c r="AS1139">
        <f t="shared" si="156"/>
        <v>53</v>
      </c>
      <c r="AT1139">
        <f t="shared" si="157"/>
        <v>12</v>
      </c>
      <c r="AU1139">
        <f t="shared" ca="1" si="158"/>
        <v>-99</v>
      </c>
      <c r="AV1139">
        <f t="shared" ca="1" si="159"/>
        <v>-99</v>
      </c>
      <c r="AW1139">
        <f ca="1">IF(AND($AT1139&lt;3,OFFSET(DATA!$C$14,$AS1139,0)=AW$6),$AV1139,dNULL)</f>
        <v>-99</v>
      </c>
      <c r="AX1139">
        <f ca="1">IF(AND($AT1139&lt;3,OFFSET(DATA!$C$14,$AS1139,0)=AX$6),$AV1139,dNULL)</f>
        <v>-99</v>
      </c>
      <c r="AY1139">
        <f ca="1">IF(AND($AT1139&lt;3,OFFSET(DATA!$C$14,$AS1139,0)=AY$6),$AV1139,dNULL)</f>
        <v>-99</v>
      </c>
      <c r="AZ1139">
        <f ca="1">IF(AND($AT1139&lt;3,OFFSET(DATA!$C$14,$AS1139,0)=AZ$6),$AV1139,dNULL)</f>
        <v>-99</v>
      </c>
      <c r="BA1139">
        <f ca="1">IF(AND($AT1139&lt;3,OFFSET(DATA!$C$14,$AS1139,0)=BA$6),$AV1139,dNULL)</f>
        <v>-99</v>
      </c>
      <c r="BB1139">
        <f ca="1">IF(AND($AT1139&lt;3,OFFSET(DATA!$C$14,$AS1139,0)=BB$6),$AV1139,dNULL)</f>
        <v>-99</v>
      </c>
      <c r="BC1139">
        <f ca="1">IF(AND($AT1139&lt;3,OFFSET(DATA!$C$14,$AS1139,0)=BC$6),$AV1139,dNULL)</f>
        <v>-99</v>
      </c>
      <c r="BD1139">
        <f ca="1">IF(AND($AT1139&lt;3,OFFSET(DATA!$C$14,$AS1139,0)=BD$6),$AV1139,dNULL)</f>
        <v>-99</v>
      </c>
      <c r="BE1139">
        <f ca="1">IF(AND($AT1139&lt;3,OFFSET(DATA!$C$14,$AS1139,0)=BE$6),$AV1139,dNULL)</f>
        <v>-99</v>
      </c>
      <c r="BF1139">
        <f ca="1">IF(AND($AT1139&lt;3,OFFSET(DATA!$C$14,$AS1139,0)=BF$6),$AV1139,dNULL)</f>
        <v>-99</v>
      </c>
      <c r="BG1139">
        <f ca="1">IF(AND($AT1139&lt;3,OFFSET(DATA!$C$14,$AS1139,0)=BG$6),$AV1139,dNULL)</f>
        <v>-99</v>
      </c>
      <c r="BH1139">
        <f ca="1">IF(AND($AT1139&lt;3,OFFSET(DATA!$C$14,$AS1139,0)=BH$6),$AV1139,dNULL)</f>
        <v>-99</v>
      </c>
    </row>
    <row r="1140" spans="45:60" x14ac:dyDescent="0.25">
      <c r="AS1140">
        <f t="shared" si="156"/>
        <v>54</v>
      </c>
      <c r="AT1140">
        <f t="shared" si="157"/>
        <v>12</v>
      </c>
      <c r="AU1140">
        <f t="shared" ca="1" si="158"/>
        <v>-99</v>
      </c>
      <c r="AV1140">
        <f t="shared" ca="1" si="159"/>
        <v>-99</v>
      </c>
      <c r="AW1140">
        <f ca="1">IF(AND($AT1140&lt;3,OFFSET(DATA!$C$14,$AS1140,0)=AW$6),$AV1140,dNULL)</f>
        <v>-99</v>
      </c>
      <c r="AX1140">
        <f ca="1">IF(AND($AT1140&lt;3,OFFSET(DATA!$C$14,$AS1140,0)=AX$6),$AV1140,dNULL)</f>
        <v>-99</v>
      </c>
      <c r="AY1140">
        <f ca="1">IF(AND($AT1140&lt;3,OFFSET(DATA!$C$14,$AS1140,0)=AY$6),$AV1140,dNULL)</f>
        <v>-99</v>
      </c>
      <c r="AZ1140">
        <f ca="1">IF(AND($AT1140&lt;3,OFFSET(DATA!$C$14,$AS1140,0)=AZ$6),$AV1140,dNULL)</f>
        <v>-99</v>
      </c>
      <c r="BA1140">
        <f ca="1">IF(AND($AT1140&lt;3,OFFSET(DATA!$C$14,$AS1140,0)=BA$6),$AV1140,dNULL)</f>
        <v>-99</v>
      </c>
      <c r="BB1140">
        <f ca="1">IF(AND($AT1140&lt;3,OFFSET(DATA!$C$14,$AS1140,0)=BB$6),$AV1140,dNULL)</f>
        <v>-99</v>
      </c>
      <c r="BC1140">
        <f ca="1">IF(AND($AT1140&lt;3,OFFSET(DATA!$C$14,$AS1140,0)=BC$6),$AV1140,dNULL)</f>
        <v>-99</v>
      </c>
      <c r="BD1140">
        <f ca="1">IF(AND($AT1140&lt;3,OFFSET(DATA!$C$14,$AS1140,0)=BD$6),$AV1140,dNULL)</f>
        <v>-99</v>
      </c>
      <c r="BE1140">
        <f ca="1">IF(AND($AT1140&lt;3,OFFSET(DATA!$C$14,$AS1140,0)=BE$6),$AV1140,dNULL)</f>
        <v>-99</v>
      </c>
      <c r="BF1140">
        <f ca="1">IF(AND($AT1140&lt;3,OFFSET(DATA!$C$14,$AS1140,0)=BF$6),$AV1140,dNULL)</f>
        <v>-99</v>
      </c>
      <c r="BG1140">
        <f ca="1">IF(AND($AT1140&lt;3,OFFSET(DATA!$C$14,$AS1140,0)=BG$6),$AV1140,dNULL)</f>
        <v>-99</v>
      </c>
      <c r="BH1140">
        <f ca="1">IF(AND($AT1140&lt;3,OFFSET(DATA!$C$14,$AS1140,0)=BH$6),$AV1140,dNULL)</f>
        <v>-99</v>
      </c>
    </row>
    <row r="1141" spans="45:60" x14ac:dyDescent="0.25">
      <c r="AS1141">
        <f t="shared" si="156"/>
        <v>55</v>
      </c>
      <c r="AT1141">
        <f t="shared" si="157"/>
        <v>12</v>
      </c>
      <c r="AU1141">
        <f t="shared" ca="1" si="158"/>
        <v>-99</v>
      </c>
      <c r="AV1141">
        <f t="shared" ca="1" si="159"/>
        <v>-99</v>
      </c>
      <c r="AW1141">
        <f ca="1">IF(AND($AT1141&lt;3,OFFSET(DATA!$C$14,$AS1141,0)=AW$6),$AV1141,dNULL)</f>
        <v>-99</v>
      </c>
      <c r="AX1141">
        <f ca="1">IF(AND($AT1141&lt;3,OFFSET(DATA!$C$14,$AS1141,0)=AX$6),$AV1141,dNULL)</f>
        <v>-99</v>
      </c>
      <c r="AY1141">
        <f ca="1">IF(AND($AT1141&lt;3,OFFSET(DATA!$C$14,$AS1141,0)=AY$6),$AV1141,dNULL)</f>
        <v>-99</v>
      </c>
      <c r="AZ1141">
        <f ca="1">IF(AND($AT1141&lt;3,OFFSET(DATA!$C$14,$AS1141,0)=AZ$6),$AV1141,dNULL)</f>
        <v>-99</v>
      </c>
      <c r="BA1141">
        <f ca="1">IF(AND($AT1141&lt;3,OFFSET(DATA!$C$14,$AS1141,0)=BA$6),$AV1141,dNULL)</f>
        <v>-99</v>
      </c>
      <c r="BB1141">
        <f ca="1">IF(AND($AT1141&lt;3,OFFSET(DATA!$C$14,$AS1141,0)=BB$6),$AV1141,dNULL)</f>
        <v>-99</v>
      </c>
      <c r="BC1141">
        <f ca="1">IF(AND($AT1141&lt;3,OFFSET(DATA!$C$14,$AS1141,0)=BC$6),$AV1141,dNULL)</f>
        <v>-99</v>
      </c>
      <c r="BD1141">
        <f ca="1">IF(AND($AT1141&lt;3,OFFSET(DATA!$C$14,$AS1141,0)=BD$6),$AV1141,dNULL)</f>
        <v>-99</v>
      </c>
      <c r="BE1141">
        <f ca="1">IF(AND($AT1141&lt;3,OFFSET(DATA!$C$14,$AS1141,0)=BE$6),$AV1141,dNULL)</f>
        <v>-99</v>
      </c>
      <c r="BF1141">
        <f ca="1">IF(AND($AT1141&lt;3,OFFSET(DATA!$C$14,$AS1141,0)=BF$6),$AV1141,dNULL)</f>
        <v>-99</v>
      </c>
      <c r="BG1141">
        <f ca="1">IF(AND($AT1141&lt;3,OFFSET(DATA!$C$14,$AS1141,0)=BG$6),$AV1141,dNULL)</f>
        <v>-99</v>
      </c>
      <c r="BH1141">
        <f ca="1">IF(AND($AT1141&lt;3,OFFSET(DATA!$C$14,$AS1141,0)=BH$6),$AV1141,dNULL)</f>
        <v>-99</v>
      </c>
    </row>
    <row r="1142" spans="45:60" x14ac:dyDescent="0.25">
      <c r="AS1142">
        <f t="shared" si="156"/>
        <v>56</v>
      </c>
      <c r="AT1142">
        <f t="shared" si="157"/>
        <v>12</v>
      </c>
      <c r="AU1142">
        <f t="shared" ca="1" si="158"/>
        <v>-99</v>
      </c>
      <c r="AV1142">
        <f t="shared" ca="1" si="159"/>
        <v>-99</v>
      </c>
      <c r="AW1142">
        <f ca="1">IF(AND($AT1142&lt;3,OFFSET(DATA!$C$14,$AS1142,0)=AW$6),$AV1142,dNULL)</f>
        <v>-99</v>
      </c>
      <c r="AX1142">
        <f ca="1">IF(AND($AT1142&lt;3,OFFSET(DATA!$C$14,$AS1142,0)=AX$6),$AV1142,dNULL)</f>
        <v>-99</v>
      </c>
      <c r="AY1142">
        <f ca="1">IF(AND($AT1142&lt;3,OFFSET(DATA!$C$14,$AS1142,0)=AY$6),$AV1142,dNULL)</f>
        <v>-99</v>
      </c>
      <c r="AZ1142">
        <f ca="1">IF(AND($AT1142&lt;3,OFFSET(DATA!$C$14,$AS1142,0)=AZ$6),$AV1142,dNULL)</f>
        <v>-99</v>
      </c>
      <c r="BA1142">
        <f ca="1">IF(AND($AT1142&lt;3,OFFSET(DATA!$C$14,$AS1142,0)=BA$6),$AV1142,dNULL)</f>
        <v>-99</v>
      </c>
      <c r="BB1142">
        <f ca="1">IF(AND($AT1142&lt;3,OFFSET(DATA!$C$14,$AS1142,0)=BB$6),$AV1142,dNULL)</f>
        <v>-99</v>
      </c>
      <c r="BC1142">
        <f ca="1">IF(AND($AT1142&lt;3,OFFSET(DATA!$C$14,$AS1142,0)=BC$6),$AV1142,dNULL)</f>
        <v>-99</v>
      </c>
      <c r="BD1142">
        <f ca="1">IF(AND($AT1142&lt;3,OFFSET(DATA!$C$14,$AS1142,0)=BD$6),$AV1142,dNULL)</f>
        <v>-99</v>
      </c>
      <c r="BE1142">
        <f ca="1">IF(AND($AT1142&lt;3,OFFSET(DATA!$C$14,$AS1142,0)=BE$6),$AV1142,dNULL)</f>
        <v>-99</v>
      </c>
      <c r="BF1142">
        <f ca="1">IF(AND($AT1142&lt;3,OFFSET(DATA!$C$14,$AS1142,0)=BF$6),$AV1142,dNULL)</f>
        <v>-99</v>
      </c>
      <c r="BG1142">
        <f ca="1">IF(AND($AT1142&lt;3,OFFSET(DATA!$C$14,$AS1142,0)=BG$6),$AV1142,dNULL)</f>
        <v>-99</v>
      </c>
      <c r="BH1142">
        <f ca="1">IF(AND($AT1142&lt;3,OFFSET(DATA!$C$14,$AS1142,0)=BH$6),$AV1142,dNULL)</f>
        <v>-99</v>
      </c>
    </row>
    <row r="1143" spans="45:60" x14ac:dyDescent="0.25">
      <c r="AS1143">
        <f t="shared" si="156"/>
        <v>57</v>
      </c>
      <c r="AT1143">
        <f t="shared" si="157"/>
        <v>12</v>
      </c>
      <c r="AU1143">
        <f t="shared" ca="1" si="158"/>
        <v>-99</v>
      </c>
      <c r="AV1143">
        <f t="shared" ca="1" si="159"/>
        <v>-99</v>
      </c>
      <c r="AW1143">
        <f ca="1">IF(AND($AT1143&lt;3,OFFSET(DATA!$C$14,$AS1143,0)=AW$6),$AV1143,dNULL)</f>
        <v>-99</v>
      </c>
      <c r="AX1143">
        <f ca="1">IF(AND($AT1143&lt;3,OFFSET(DATA!$C$14,$AS1143,0)=AX$6),$AV1143,dNULL)</f>
        <v>-99</v>
      </c>
      <c r="AY1143">
        <f ca="1">IF(AND($AT1143&lt;3,OFFSET(DATA!$C$14,$AS1143,0)=AY$6),$AV1143,dNULL)</f>
        <v>-99</v>
      </c>
      <c r="AZ1143">
        <f ca="1">IF(AND($AT1143&lt;3,OFFSET(DATA!$C$14,$AS1143,0)=AZ$6),$AV1143,dNULL)</f>
        <v>-99</v>
      </c>
      <c r="BA1143">
        <f ca="1">IF(AND($AT1143&lt;3,OFFSET(DATA!$C$14,$AS1143,0)=BA$6),$AV1143,dNULL)</f>
        <v>-99</v>
      </c>
      <c r="BB1143">
        <f ca="1">IF(AND($AT1143&lt;3,OFFSET(DATA!$C$14,$AS1143,0)=BB$6),$AV1143,dNULL)</f>
        <v>-99</v>
      </c>
      <c r="BC1143">
        <f ca="1">IF(AND($AT1143&lt;3,OFFSET(DATA!$C$14,$AS1143,0)=BC$6),$AV1143,dNULL)</f>
        <v>-99</v>
      </c>
      <c r="BD1143">
        <f ca="1">IF(AND($AT1143&lt;3,OFFSET(DATA!$C$14,$AS1143,0)=BD$6),$AV1143,dNULL)</f>
        <v>-99</v>
      </c>
      <c r="BE1143">
        <f ca="1">IF(AND($AT1143&lt;3,OFFSET(DATA!$C$14,$AS1143,0)=BE$6),$AV1143,dNULL)</f>
        <v>-99</v>
      </c>
      <c r="BF1143">
        <f ca="1">IF(AND($AT1143&lt;3,OFFSET(DATA!$C$14,$AS1143,0)=BF$6),$AV1143,dNULL)</f>
        <v>-99</v>
      </c>
      <c r="BG1143">
        <f ca="1">IF(AND($AT1143&lt;3,OFFSET(DATA!$C$14,$AS1143,0)=BG$6),$AV1143,dNULL)</f>
        <v>-99</v>
      </c>
      <c r="BH1143">
        <f ca="1">IF(AND($AT1143&lt;3,OFFSET(DATA!$C$14,$AS1143,0)=BH$6),$AV1143,dNULL)</f>
        <v>-99</v>
      </c>
    </row>
    <row r="1144" spans="45:60" x14ac:dyDescent="0.25">
      <c r="AS1144">
        <f t="shared" si="156"/>
        <v>58</v>
      </c>
      <c r="AT1144">
        <f t="shared" si="157"/>
        <v>12</v>
      </c>
      <c r="AU1144">
        <f t="shared" ca="1" si="158"/>
        <v>-99</v>
      </c>
      <c r="AV1144">
        <f t="shared" ca="1" si="159"/>
        <v>-99</v>
      </c>
      <c r="AW1144">
        <f ca="1">IF(AND($AT1144&lt;3,OFFSET(DATA!$C$14,$AS1144,0)=AW$6),$AV1144,dNULL)</f>
        <v>-99</v>
      </c>
      <c r="AX1144">
        <f ca="1">IF(AND($AT1144&lt;3,OFFSET(DATA!$C$14,$AS1144,0)=AX$6),$AV1144,dNULL)</f>
        <v>-99</v>
      </c>
      <c r="AY1144">
        <f ca="1">IF(AND($AT1144&lt;3,OFFSET(DATA!$C$14,$AS1144,0)=AY$6),$AV1144,dNULL)</f>
        <v>-99</v>
      </c>
      <c r="AZ1144">
        <f ca="1">IF(AND($AT1144&lt;3,OFFSET(DATA!$C$14,$AS1144,0)=AZ$6),$AV1144,dNULL)</f>
        <v>-99</v>
      </c>
      <c r="BA1144">
        <f ca="1">IF(AND($AT1144&lt;3,OFFSET(DATA!$C$14,$AS1144,0)=BA$6),$AV1144,dNULL)</f>
        <v>-99</v>
      </c>
      <c r="BB1144">
        <f ca="1">IF(AND($AT1144&lt;3,OFFSET(DATA!$C$14,$AS1144,0)=BB$6),$AV1144,dNULL)</f>
        <v>-99</v>
      </c>
      <c r="BC1144">
        <f ca="1">IF(AND($AT1144&lt;3,OFFSET(DATA!$C$14,$AS1144,0)=BC$6),$AV1144,dNULL)</f>
        <v>-99</v>
      </c>
      <c r="BD1144">
        <f ca="1">IF(AND($AT1144&lt;3,OFFSET(DATA!$C$14,$AS1144,0)=BD$6),$AV1144,dNULL)</f>
        <v>-99</v>
      </c>
      <c r="BE1144">
        <f ca="1">IF(AND($AT1144&lt;3,OFFSET(DATA!$C$14,$AS1144,0)=BE$6),$AV1144,dNULL)</f>
        <v>-99</v>
      </c>
      <c r="BF1144">
        <f ca="1">IF(AND($AT1144&lt;3,OFFSET(DATA!$C$14,$AS1144,0)=BF$6),$AV1144,dNULL)</f>
        <v>-99</v>
      </c>
      <c r="BG1144">
        <f ca="1">IF(AND($AT1144&lt;3,OFFSET(DATA!$C$14,$AS1144,0)=BG$6),$AV1144,dNULL)</f>
        <v>-99</v>
      </c>
      <c r="BH1144">
        <f ca="1">IF(AND($AT1144&lt;3,OFFSET(DATA!$C$14,$AS1144,0)=BH$6),$AV1144,dNULL)</f>
        <v>-99</v>
      </c>
    </row>
    <row r="1145" spans="45:60" x14ac:dyDescent="0.25">
      <c r="AS1145">
        <f t="shared" si="156"/>
        <v>59</v>
      </c>
      <c r="AT1145">
        <f t="shared" si="157"/>
        <v>12</v>
      </c>
      <c r="AU1145">
        <f t="shared" ca="1" si="158"/>
        <v>-99</v>
      </c>
      <c r="AV1145">
        <f t="shared" ca="1" si="159"/>
        <v>-99</v>
      </c>
      <c r="AW1145">
        <f ca="1">IF(AND($AT1145&lt;3,OFFSET(DATA!$C$14,$AS1145,0)=AW$6),$AV1145,dNULL)</f>
        <v>-99</v>
      </c>
      <c r="AX1145">
        <f ca="1">IF(AND($AT1145&lt;3,OFFSET(DATA!$C$14,$AS1145,0)=AX$6),$AV1145,dNULL)</f>
        <v>-99</v>
      </c>
      <c r="AY1145">
        <f ca="1">IF(AND($AT1145&lt;3,OFFSET(DATA!$C$14,$AS1145,0)=AY$6),$AV1145,dNULL)</f>
        <v>-99</v>
      </c>
      <c r="AZ1145">
        <f ca="1">IF(AND($AT1145&lt;3,OFFSET(DATA!$C$14,$AS1145,0)=AZ$6),$AV1145,dNULL)</f>
        <v>-99</v>
      </c>
      <c r="BA1145">
        <f ca="1">IF(AND($AT1145&lt;3,OFFSET(DATA!$C$14,$AS1145,0)=BA$6),$AV1145,dNULL)</f>
        <v>-99</v>
      </c>
      <c r="BB1145">
        <f ca="1">IF(AND($AT1145&lt;3,OFFSET(DATA!$C$14,$AS1145,0)=BB$6),$AV1145,dNULL)</f>
        <v>-99</v>
      </c>
      <c r="BC1145">
        <f ca="1">IF(AND($AT1145&lt;3,OFFSET(DATA!$C$14,$AS1145,0)=BC$6),$AV1145,dNULL)</f>
        <v>-99</v>
      </c>
      <c r="BD1145">
        <f ca="1">IF(AND($AT1145&lt;3,OFFSET(DATA!$C$14,$AS1145,0)=BD$6),$AV1145,dNULL)</f>
        <v>-99</v>
      </c>
      <c r="BE1145">
        <f ca="1">IF(AND($AT1145&lt;3,OFFSET(DATA!$C$14,$AS1145,0)=BE$6),$AV1145,dNULL)</f>
        <v>-99</v>
      </c>
      <c r="BF1145">
        <f ca="1">IF(AND($AT1145&lt;3,OFFSET(DATA!$C$14,$AS1145,0)=BF$6),$AV1145,dNULL)</f>
        <v>-99</v>
      </c>
      <c r="BG1145">
        <f ca="1">IF(AND($AT1145&lt;3,OFFSET(DATA!$C$14,$AS1145,0)=BG$6),$AV1145,dNULL)</f>
        <v>-99</v>
      </c>
      <c r="BH1145">
        <f ca="1">IF(AND($AT1145&lt;3,OFFSET(DATA!$C$14,$AS1145,0)=BH$6),$AV1145,dNULL)</f>
        <v>-99</v>
      </c>
    </row>
    <row r="1146" spans="45:60" x14ac:dyDescent="0.25">
      <c r="AS1146">
        <f t="shared" si="156"/>
        <v>60</v>
      </c>
      <c r="AT1146">
        <f t="shared" si="157"/>
        <v>12</v>
      </c>
      <c r="AU1146">
        <f t="shared" ca="1" si="158"/>
        <v>-99</v>
      </c>
      <c r="AV1146">
        <f t="shared" ca="1" si="159"/>
        <v>-99</v>
      </c>
      <c r="AW1146">
        <f ca="1">IF(AND($AT1146&lt;3,OFFSET(DATA!$C$14,$AS1146,0)=AW$6),$AV1146,dNULL)</f>
        <v>-99</v>
      </c>
      <c r="AX1146">
        <f ca="1">IF(AND($AT1146&lt;3,OFFSET(DATA!$C$14,$AS1146,0)=AX$6),$AV1146,dNULL)</f>
        <v>-99</v>
      </c>
      <c r="AY1146">
        <f ca="1">IF(AND($AT1146&lt;3,OFFSET(DATA!$C$14,$AS1146,0)=AY$6),$AV1146,dNULL)</f>
        <v>-99</v>
      </c>
      <c r="AZ1146">
        <f ca="1">IF(AND($AT1146&lt;3,OFFSET(DATA!$C$14,$AS1146,0)=AZ$6),$AV1146,dNULL)</f>
        <v>-99</v>
      </c>
      <c r="BA1146">
        <f ca="1">IF(AND($AT1146&lt;3,OFFSET(DATA!$C$14,$AS1146,0)=BA$6),$AV1146,dNULL)</f>
        <v>-99</v>
      </c>
      <c r="BB1146">
        <f ca="1">IF(AND($AT1146&lt;3,OFFSET(DATA!$C$14,$AS1146,0)=BB$6),$AV1146,dNULL)</f>
        <v>-99</v>
      </c>
      <c r="BC1146">
        <f ca="1">IF(AND($AT1146&lt;3,OFFSET(DATA!$C$14,$AS1146,0)=BC$6),$AV1146,dNULL)</f>
        <v>-99</v>
      </c>
      <c r="BD1146">
        <f ca="1">IF(AND($AT1146&lt;3,OFFSET(DATA!$C$14,$AS1146,0)=BD$6),$AV1146,dNULL)</f>
        <v>-99</v>
      </c>
      <c r="BE1146">
        <f ca="1">IF(AND($AT1146&lt;3,OFFSET(DATA!$C$14,$AS1146,0)=BE$6),$AV1146,dNULL)</f>
        <v>-99</v>
      </c>
      <c r="BF1146">
        <f ca="1">IF(AND($AT1146&lt;3,OFFSET(DATA!$C$14,$AS1146,0)=BF$6),$AV1146,dNULL)</f>
        <v>-99</v>
      </c>
      <c r="BG1146">
        <f ca="1">IF(AND($AT1146&lt;3,OFFSET(DATA!$C$14,$AS1146,0)=BG$6),$AV1146,dNULL)</f>
        <v>-99</v>
      </c>
      <c r="BH1146">
        <f ca="1">IF(AND($AT1146&lt;3,OFFSET(DATA!$C$14,$AS1146,0)=BH$6),$AV1146,dNULL)</f>
        <v>-99</v>
      </c>
    </row>
    <row r="1147" spans="45:60" x14ac:dyDescent="0.25">
      <c r="AS1147">
        <f t="shared" si="156"/>
        <v>61</v>
      </c>
      <c r="AT1147">
        <f t="shared" si="157"/>
        <v>12</v>
      </c>
      <c r="AU1147">
        <f t="shared" ca="1" si="158"/>
        <v>-99</v>
      </c>
      <c r="AV1147">
        <f t="shared" ca="1" si="159"/>
        <v>-99</v>
      </c>
      <c r="AW1147">
        <f ca="1">IF(AND($AT1147&lt;3,OFFSET(DATA!$C$14,$AS1147,0)=AW$6),$AV1147,dNULL)</f>
        <v>-99</v>
      </c>
      <c r="AX1147">
        <f ca="1">IF(AND($AT1147&lt;3,OFFSET(DATA!$C$14,$AS1147,0)=AX$6),$AV1147,dNULL)</f>
        <v>-99</v>
      </c>
      <c r="AY1147">
        <f ca="1">IF(AND($AT1147&lt;3,OFFSET(DATA!$C$14,$AS1147,0)=AY$6),$AV1147,dNULL)</f>
        <v>-99</v>
      </c>
      <c r="AZ1147">
        <f ca="1">IF(AND($AT1147&lt;3,OFFSET(DATA!$C$14,$AS1147,0)=AZ$6),$AV1147,dNULL)</f>
        <v>-99</v>
      </c>
      <c r="BA1147">
        <f ca="1">IF(AND($AT1147&lt;3,OFFSET(DATA!$C$14,$AS1147,0)=BA$6),$AV1147,dNULL)</f>
        <v>-99</v>
      </c>
      <c r="BB1147">
        <f ca="1">IF(AND($AT1147&lt;3,OFFSET(DATA!$C$14,$AS1147,0)=BB$6),$AV1147,dNULL)</f>
        <v>-99</v>
      </c>
      <c r="BC1147">
        <f ca="1">IF(AND($AT1147&lt;3,OFFSET(DATA!$C$14,$AS1147,0)=BC$6),$AV1147,dNULL)</f>
        <v>-99</v>
      </c>
      <c r="BD1147">
        <f ca="1">IF(AND($AT1147&lt;3,OFFSET(DATA!$C$14,$AS1147,0)=BD$6),$AV1147,dNULL)</f>
        <v>-99</v>
      </c>
      <c r="BE1147">
        <f ca="1">IF(AND($AT1147&lt;3,OFFSET(DATA!$C$14,$AS1147,0)=BE$6),$AV1147,dNULL)</f>
        <v>-99</v>
      </c>
      <c r="BF1147">
        <f ca="1">IF(AND($AT1147&lt;3,OFFSET(DATA!$C$14,$AS1147,0)=BF$6),$AV1147,dNULL)</f>
        <v>-99</v>
      </c>
      <c r="BG1147">
        <f ca="1">IF(AND($AT1147&lt;3,OFFSET(DATA!$C$14,$AS1147,0)=BG$6),$AV1147,dNULL)</f>
        <v>-99</v>
      </c>
      <c r="BH1147">
        <f ca="1">IF(AND($AT1147&lt;3,OFFSET(DATA!$C$14,$AS1147,0)=BH$6),$AV1147,dNULL)</f>
        <v>-99</v>
      </c>
    </row>
    <row r="1148" spans="45:60" x14ac:dyDescent="0.25">
      <c r="AS1148">
        <f t="shared" si="156"/>
        <v>62</v>
      </c>
      <c r="AT1148">
        <f t="shared" si="157"/>
        <v>12</v>
      </c>
      <c r="AU1148">
        <f t="shared" ca="1" si="158"/>
        <v>-99</v>
      </c>
      <c r="AV1148">
        <f t="shared" ca="1" si="159"/>
        <v>-99</v>
      </c>
      <c r="AW1148">
        <f ca="1">IF(AND($AT1148&lt;3,OFFSET(DATA!$C$14,$AS1148,0)=AW$6),$AV1148,dNULL)</f>
        <v>-99</v>
      </c>
      <c r="AX1148">
        <f ca="1">IF(AND($AT1148&lt;3,OFFSET(DATA!$C$14,$AS1148,0)=AX$6),$AV1148,dNULL)</f>
        <v>-99</v>
      </c>
      <c r="AY1148">
        <f ca="1">IF(AND($AT1148&lt;3,OFFSET(DATA!$C$14,$AS1148,0)=AY$6),$AV1148,dNULL)</f>
        <v>-99</v>
      </c>
      <c r="AZ1148">
        <f ca="1">IF(AND($AT1148&lt;3,OFFSET(DATA!$C$14,$AS1148,0)=AZ$6),$AV1148,dNULL)</f>
        <v>-99</v>
      </c>
      <c r="BA1148">
        <f ca="1">IF(AND($AT1148&lt;3,OFFSET(DATA!$C$14,$AS1148,0)=BA$6),$AV1148,dNULL)</f>
        <v>-99</v>
      </c>
      <c r="BB1148">
        <f ca="1">IF(AND($AT1148&lt;3,OFFSET(DATA!$C$14,$AS1148,0)=BB$6),$AV1148,dNULL)</f>
        <v>-99</v>
      </c>
      <c r="BC1148">
        <f ca="1">IF(AND($AT1148&lt;3,OFFSET(DATA!$C$14,$AS1148,0)=BC$6),$AV1148,dNULL)</f>
        <v>-99</v>
      </c>
      <c r="BD1148">
        <f ca="1">IF(AND($AT1148&lt;3,OFFSET(DATA!$C$14,$AS1148,0)=BD$6),$AV1148,dNULL)</f>
        <v>-99</v>
      </c>
      <c r="BE1148">
        <f ca="1">IF(AND($AT1148&lt;3,OFFSET(DATA!$C$14,$AS1148,0)=BE$6),$AV1148,dNULL)</f>
        <v>-99</v>
      </c>
      <c r="BF1148">
        <f ca="1">IF(AND($AT1148&lt;3,OFFSET(DATA!$C$14,$AS1148,0)=BF$6),$AV1148,dNULL)</f>
        <v>-99</v>
      </c>
      <c r="BG1148">
        <f ca="1">IF(AND($AT1148&lt;3,OFFSET(DATA!$C$14,$AS1148,0)=BG$6),$AV1148,dNULL)</f>
        <v>-99</v>
      </c>
      <c r="BH1148">
        <f ca="1">IF(AND($AT1148&lt;3,OFFSET(DATA!$C$14,$AS1148,0)=BH$6),$AV1148,dNULL)</f>
        <v>-99</v>
      </c>
    </row>
    <row r="1149" spans="45:60" x14ac:dyDescent="0.25">
      <c r="AS1149">
        <f t="shared" si="156"/>
        <v>63</v>
      </c>
      <c r="AT1149">
        <f t="shared" si="157"/>
        <v>12</v>
      </c>
      <c r="AU1149">
        <f t="shared" ca="1" si="158"/>
        <v>-99</v>
      </c>
      <c r="AV1149">
        <f t="shared" ca="1" si="159"/>
        <v>-99</v>
      </c>
      <c r="AW1149">
        <f ca="1">IF(AND($AT1149&lt;3,OFFSET(DATA!$C$14,$AS1149,0)=AW$6),$AV1149,dNULL)</f>
        <v>-99</v>
      </c>
      <c r="AX1149">
        <f ca="1">IF(AND($AT1149&lt;3,OFFSET(DATA!$C$14,$AS1149,0)=AX$6),$AV1149,dNULL)</f>
        <v>-99</v>
      </c>
      <c r="AY1149">
        <f ca="1">IF(AND($AT1149&lt;3,OFFSET(DATA!$C$14,$AS1149,0)=AY$6),$AV1149,dNULL)</f>
        <v>-99</v>
      </c>
      <c r="AZ1149">
        <f ca="1">IF(AND($AT1149&lt;3,OFFSET(DATA!$C$14,$AS1149,0)=AZ$6),$AV1149,dNULL)</f>
        <v>-99</v>
      </c>
      <c r="BA1149">
        <f ca="1">IF(AND($AT1149&lt;3,OFFSET(DATA!$C$14,$AS1149,0)=BA$6),$AV1149,dNULL)</f>
        <v>-99</v>
      </c>
      <c r="BB1149">
        <f ca="1">IF(AND($AT1149&lt;3,OFFSET(DATA!$C$14,$AS1149,0)=BB$6),$AV1149,dNULL)</f>
        <v>-99</v>
      </c>
      <c r="BC1149">
        <f ca="1">IF(AND($AT1149&lt;3,OFFSET(DATA!$C$14,$AS1149,0)=BC$6),$AV1149,dNULL)</f>
        <v>-99</v>
      </c>
      <c r="BD1149">
        <f ca="1">IF(AND($AT1149&lt;3,OFFSET(DATA!$C$14,$AS1149,0)=BD$6),$AV1149,dNULL)</f>
        <v>-99</v>
      </c>
      <c r="BE1149">
        <f ca="1">IF(AND($AT1149&lt;3,OFFSET(DATA!$C$14,$AS1149,0)=BE$6),$AV1149,dNULL)</f>
        <v>-99</v>
      </c>
      <c r="BF1149">
        <f ca="1">IF(AND($AT1149&lt;3,OFFSET(DATA!$C$14,$AS1149,0)=BF$6),$AV1149,dNULL)</f>
        <v>-99</v>
      </c>
      <c r="BG1149">
        <f ca="1">IF(AND($AT1149&lt;3,OFFSET(DATA!$C$14,$AS1149,0)=BG$6),$AV1149,dNULL)</f>
        <v>-99</v>
      </c>
      <c r="BH1149">
        <f ca="1">IF(AND($AT1149&lt;3,OFFSET(DATA!$C$14,$AS1149,0)=BH$6),$AV1149,dNULL)</f>
        <v>-99</v>
      </c>
    </row>
    <row r="1150" spans="45:60" x14ac:dyDescent="0.25">
      <c r="AS1150">
        <f t="shared" si="156"/>
        <v>64</v>
      </c>
      <c r="AT1150">
        <f t="shared" si="157"/>
        <v>12</v>
      </c>
      <c r="AU1150">
        <f t="shared" ca="1" si="158"/>
        <v>-99</v>
      </c>
      <c r="AV1150">
        <f t="shared" ca="1" si="159"/>
        <v>-99</v>
      </c>
      <c r="AW1150">
        <f ca="1">IF(AND($AT1150&lt;3,OFFSET(DATA!$C$14,$AS1150,0)=AW$6),$AV1150,dNULL)</f>
        <v>-99</v>
      </c>
      <c r="AX1150">
        <f ca="1">IF(AND($AT1150&lt;3,OFFSET(DATA!$C$14,$AS1150,0)=AX$6),$AV1150,dNULL)</f>
        <v>-99</v>
      </c>
      <c r="AY1150">
        <f ca="1">IF(AND($AT1150&lt;3,OFFSET(DATA!$C$14,$AS1150,0)=AY$6),$AV1150,dNULL)</f>
        <v>-99</v>
      </c>
      <c r="AZ1150">
        <f ca="1">IF(AND($AT1150&lt;3,OFFSET(DATA!$C$14,$AS1150,0)=AZ$6),$AV1150,dNULL)</f>
        <v>-99</v>
      </c>
      <c r="BA1150">
        <f ca="1">IF(AND($AT1150&lt;3,OFFSET(DATA!$C$14,$AS1150,0)=BA$6),$AV1150,dNULL)</f>
        <v>-99</v>
      </c>
      <c r="BB1150">
        <f ca="1">IF(AND($AT1150&lt;3,OFFSET(DATA!$C$14,$AS1150,0)=BB$6),$AV1150,dNULL)</f>
        <v>-99</v>
      </c>
      <c r="BC1150">
        <f ca="1">IF(AND($AT1150&lt;3,OFFSET(DATA!$C$14,$AS1150,0)=BC$6),$AV1150,dNULL)</f>
        <v>-99</v>
      </c>
      <c r="BD1150">
        <f ca="1">IF(AND($AT1150&lt;3,OFFSET(DATA!$C$14,$AS1150,0)=BD$6),$AV1150,dNULL)</f>
        <v>-99</v>
      </c>
      <c r="BE1150">
        <f ca="1">IF(AND($AT1150&lt;3,OFFSET(DATA!$C$14,$AS1150,0)=BE$6),$AV1150,dNULL)</f>
        <v>-99</v>
      </c>
      <c r="BF1150">
        <f ca="1">IF(AND($AT1150&lt;3,OFFSET(DATA!$C$14,$AS1150,0)=BF$6),$AV1150,dNULL)</f>
        <v>-99</v>
      </c>
      <c r="BG1150">
        <f ca="1">IF(AND($AT1150&lt;3,OFFSET(DATA!$C$14,$AS1150,0)=BG$6),$AV1150,dNULL)</f>
        <v>-99</v>
      </c>
      <c r="BH1150">
        <f ca="1">IF(AND($AT1150&lt;3,OFFSET(DATA!$C$14,$AS1150,0)=BH$6),$AV1150,dNULL)</f>
        <v>-99</v>
      </c>
    </row>
    <row r="1151" spans="45:60" x14ac:dyDescent="0.25">
      <c r="AS1151">
        <f t="shared" si="156"/>
        <v>65</v>
      </c>
      <c r="AT1151">
        <f t="shared" si="157"/>
        <v>12</v>
      </c>
      <c r="AU1151">
        <f t="shared" ca="1" si="158"/>
        <v>-99</v>
      </c>
      <c r="AV1151">
        <f t="shared" ca="1" si="159"/>
        <v>-99</v>
      </c>
      <c r="AW1151">
        <f ca="1">IF(AND($AT1151&lt;3,OFFSET(DATA!$C$14,$AS1151,0)=AW$6),$AV1151,dNULL)</f>
        <v>-99</v>
      </c>
      <c r="AX1151">
        <f ca="1">IF(AND($AT1151&lt;3,OFFSET(DATA!$C$14,$AS1151,0)=AX$6),$AV1151,dNULL)</f>
        <v>-99</v>
      </c>
      <c r="AY1151">
        <f ca="1">IF(AND($AT1151&lt;3,OFFSET(DATA!$C$14,$AS1151,0)=AY$6),$AV1151,dNULL)</f>
        <v>-99</v>
      </c>
      <c r="AZ1151">
        <f ca="1">IF(AND($AT1151&lt;3,OFFSET(DATA!$C$14,$AS1151,0)=AZ$6),$AV1151,dNULL)</f>
        <v>-99</v>
      </c>
      <c r="BA1151">
        <f ca="1">IF(AND($AT1151&lt;3,OFFSET(DATA!$C$14,$AS1151,0)=BA$6),$AV1151,dNULL)</f>
        <v>-99</v>
      </c>
      <c r="BB1151">
        <f ca="1">IF(AND($AT1151&lt;3,OFFSET(DATA!$C$14,$AS1151,0)=BB$6),$AV1151,dNULL)</f>
        <v>-99</v>
      </c>
      <c r="BC1151">
        <f ca="1">IF(AND($AT1151&lt;3,OFFSET(DATA!$C$14,$AS1151,0)=BC$6),$AV1151,dNULL)</f>
        <v>-99</v>
      </c>
      <c r="BD1151">
        <f ca="1">IF(AND($AT1151&lt;3,OFFSET(DATA!$C$14,$AS1151,0)=BD$6),$AV1151,dNULL)</f>
        <v>-99</v>
      </c>
      <c r="BE1151">
        <f ca="1">IF(AND($AT1151&lt;3,OFFSET(DATA!$C$14,$AS1151,0)=BE$6),$AV1151,dNULL)</f>
        <v>-99</v>
      </c>
      <c r="BF1151">
        <f ca="1">IF(AND($AT1151&lt;3,OFFSET(DATA!$C$14,$AS1151,0)=BF$6),$AV1151,dNULL)</f>
        <v>-99</v>
      </c>
      <c r="BG1151">
        <f ca="1">IF(AND($AT1151&lt;3,OFFSET(DATA!$C$14,$AS1151,0)=BG$6),$AV1151,dNULL)</f>
        <v>-99</v>
      </c>
      <c r="BH1151">
        <f ca="1">IF(AND($AT1151&lt;3,OFFSET(DATA!$C$14,$AS1151,0)=BH$6),$AV1151,dNULL)</f>
        <v>-99</v>
      </c>
    </row>
    <row r="1152" spans="45:60" x14ac:dyDescent="0.25">
      <c r="AS1152">
        <f t="shared" si="156"/>
        <v>66</v>
      </c>
      <c r="AT1152">
        <f t="shared" si="157"/>
        <v>12</v>
      </c>
      <c r="AU1152">
        <f t="shared" ca="1" si="158"/>
        <v>-99</v>
      </c>
      <c r="AV1152">
        <f t="shared" ca="1" si="159"/>
        <v>-99</v>
      </c>
      <c r="AW1152">
        <f ca="1">IF(AND($AT1152&lt;3,OFFSET(DATA!$C$14,$AS1152,0)=AW$6),$AV1152,dNULL)</f>
        <v>-99</v>
      </c>
      <c r="AX1152">
        <f ca="1">IF(AND($AT1152&lt;3,OFFSET(DATA!$C$14,$AS1152,0)=AX$6),$AV1152,dNULL)</f>
        <v>-99</v>
      </c>
      <c r="AY1152">
        <f ca="1">IF(AND($AT1152&lt;3,OFFSET(DATA!$C$14,$AS1152,0)=AY$6),$AV1152,dNULL)</f>
        <v>-99</v>
      </c>
      <c r="AZ1152">
        <f ca="1">IF(AND($AT1152&lt;3,OFFSET(DATA!$C$14,$AS1152,0)=AZ$6),$AV1152,dNULL)</f>
        <v>-99</v>
      </c>
      <c r="BA1152">
        <f ca="1">IF(AND($AT1152&lt;3,OFFSET(DATA!$C$14,$AS1152,0)=BA$6),$AV1152,dNULL)</f>
        <v>-99</v>
      </c>
      <c r="BB1152">
        <f ca="1">IF(AND($AT1152&lt;3,OFFSET(DATA!$C$14,$AS1152,0)=BB$6),$AV1152,dNULL)</f>
        <v>-99</v>
      </c>
      <c r="BC1152">
        <f ca="1">IF(AND($AT1152&lt;3,OFFSET(DATA!$C$14,$AS1152,0)=BC$6),$AV1152,dNULL)</f>
        <v>-99</v>
      </c>
      <c r="BD1152">
        <f ca="1">IF(AND($AT1152&lt;3,OFFSET(DATA!$C$14,$AS1152,0)=BD$6),$AV1152,dNULL)</f>
        <v>-99</v>
      </c>
      <c r="BE1152">
        <f ca="1">IF(AND($AT1152&lt;3,OFFSET(DATA!$C$14,$AS1152,0)=BE$6),$AV1152,dNULL)</f>
        <v>-99</v>
      </c>
      <c r="BF1152">
        <f ca="1">IF(AND($AT1152&lt;3,OFFSET(DATA!$C$14,$AS1152,0)=BF$6),$AV1152,dNULL)</f>
        <v>-99</v>
      </c>
      <c r="BG1152">
        <f ca="1">IF(AND($AT1152&lt;3,OFFSET(DATA!$C$14,$AS1152,0)=BG$6),$AV1152,dNULL)</f>
        <v>-99</v>
      </c>
      <c r="BH1152">
        <f ca="1">IF(AND($AT1152&lt;3,OFFSET(DATA!$C$14,$AS1152,0)=BH$6),$AV1152,dNULL)</f>
        <v>-99</v>
      </c>
    </row>
    <row r="1153" spans="45:60" x14ac:dyDescent="0.25">
      <c r="AS1153">
        <f t="shared" si="156"/>
        <v>67</v>
      </c>
      <c r="AT1153">
        <f t="shared" si="157"/>
        <v>12</v>
      </c>
      <c r="AU1153">
        <f t="shared" ca="1" si="158"/>
        <v>-99</v>
      </c>
      <c r="AV1153">
        <f t="shared" ca="1" si="159"/>
        <v>-99</v>
      </c>
      <c r="AW1153">
        <f ca="1">IF(AND($AT1153&lt;3,OFFSET(DATA!$C$14,$AS1153,0)=AW$6),$AV1153,dNULL)</f>
        <v>-99</v>
      </c>
      <c r="AX1153">
        <f ca="1">IF(AND($AT1153&lt;3,OFFSET(DATA!$C$14,$AS1153,0)=AX$6),$AV1153,dNULL)</f>
        <v>-99</v>
      </c>
      <c r="AY1153">
        <f ca="1">IF(AND($AT1153&lt;3,OFFSET(DATA!$C$14,$AS1153,0)=AY$6),$AV1153,dNULL)</f>
        <v>-99</v>
      </c>
      <c r="AZ1153">
        <f ca="1">IF(AND($AT1153&lt;3,OFFSET(DATA!$C$14,$AS1153,0)=AZ$6),$AV1153,dNULL)</f>
        <v>-99</v>
      </c>
      <c r="BA1153">
        <f ca="1">IF(AND($AT1153&lt;3,OFFSET(DATA!$C$14,$AS1153,0)=BA$6),$AV1153,dNULL)</f>
        <v>-99</v>
      </c>
      <c r="BB1153">
        <f ca="1">IF(AND($AT1153&lt;3,OFFSET(DATA!$C$14,$AS1153,0)=BB$6),$AV1153,dNULL)</f>
        <v>-99</v>
      </c>
      <c r="BC1153">
        <f ca="1">IF(AND($AT1153&lt;3,OFFSET(DATA!$C$14,$AS1153,0)=BC$6),$AV1153,dNULL)</f>
        <v>-99</v>
      </c>
      <c r="BD1153">
        <f ca="1">IF(AND($AT1153&lt;3,OFFSET(DATA!$C$14,$AS1153,0)=BD$6),$AV1153,dNULL)</f>
        <v>-99</v>
      </c>
      <c r="BE1153">
        <f ca="1">IF(AND($AT1153&lt;3,OFFSET(DATA!$C$14,$AS1153,0)=BE$6),$AV1153,dNULL)</f>
        <v>-99</v>
      </c>
      <c r="BF1153">
        <f ca="1">IF(AND($AT1153&lt;3,OFFSET(DATA!$C$14,$AS1153,0)=BF$6),$AV1153,dNULL)</f>
        <v>-99</v>
      </c>
      <c r="BG1153">
        <f ca="1">IF(AND($AT1153&lt;3,OFFSET(DATA!$C$14,$AS1153,0)=BG$6),$AV1153,dNULL)</f>
        <v>-99</v>
      </c>
      <c r="BH1153">
        <f ca="1">IF(AND($AT1153&lt;3,OFFSET(DATA!$C$14,$AS1153,0)=BH$6),$AV1153,dNULL)</f>
        <v>-99</v>
      </c>
    </row>
    <row r="1154" spans="45:60" x14ac:dyDescent="0.25">
      <c r="AS1154">
        <f t="shared" si="156"/>
        <v>68</v>
      </c>
      <c r="AT1154">
        <f t="shared" si="157"/>
        <v>12</v>
      </c>
      <c r="AU1154">
        <f t="shared" ca="1" si="158"/>
        <v>-99</v>
      </c>
      <c r="AV1154">
        <f t="shared" ca="1" si="159"/>
        <v>-99</v>
      </c>
      <c r="AW1154">
        <f ca="1">IF(AND($AT1154&lt;3,OFFSET(DATA!$C$14,$AS1154,0)=AW$6),$AV1154,dNULL)</f>
        <v>-99</v>
      </c>
      <c r="AX1154">
        <f ca="1">IF(AND($AT1154&lt;3,OFFSET(DATA!$C$14,$AS1154,0)=AX$6),$AV1154,dNULL)</f>
        <v>-99</v>
      </c>
      <c r="AY1154">
        <f ca="1">IF(AND($AT1154&lt;3,OFFSET(DATA!$C$14,$AS1154,0)=AY$6),$AV1154,dNULL)</f>
        <v>-99</v>
      </c>
      <c r="AZ1154">
        <f ca="1">IF(AND($AT1154&lt;3,OFFSET(DATA!$C$14,$AS1154,0)=AZ$6),$AV1154,dNULL)</f>
        <v>-99</v>
      </c>
      <c r="BA1154">
        <f ca="1">IF(AND($AT1154&lt;3,OFFSET(DATA!$C$14,$AS1154,0)=BA$6),$AV1154,dNULL)</f>
        <v>-99</v>
      </c>
      <c r="BB1154">
        <f ca="1">IF(AND($AT1154&lt;3,OFFSET(DATA!$C$14,$AS1154,0)=BB$6),$AV1154,dNULL)</f>
        <v>-99</v>
      </c>
      <c r="BC1154">
        <f ca="1">IF(AND($AT1154&lt;3,OFFSET(DATA!$C$14,$AS1154,0)=BC$6),$AV1154,dNULL)</f>
        <v>-99</v>
      </c>
      <c r="BD1154">
        <f ca="1">IF(AND($AT1154&lt;3,OFFSET(DATA!$C$14,$AS1154,0)=BD$6),$AV1154,dNULL)</f>
        <v>-99</v>
      </c>
      <c r="BE1154">
        <f ca="1">IF(AND($AT1154&lt;3,OFFSET(DATA!$C$14,$AS1154,0)=BE$6),$AV1154,dNULL)</f>
        <v>-99</v>
      </c>
      <c r="BF1154">
        <f ca="1">IF(AND($AT1154&lt;3,OFFSET(DATA!$C$14,$AS1154,0)=BF$6),$AV1154,dNULL)</f>
        <v>-99</v>
      </c>
      <c r="BG1154">
        <f ca="1">IF(AND($AT1154&lt;3,OFFSET(DATA!$C$14,$AS1154,0)=BG$6),$AV1154,dNULL)</f>
        <v>-99</v>
      </c>
      <c r="BH1154">
        <f ca="1">IF(AND($AT1154&lt;3,OFFSET(DATA!$C$14,$AS1154,0)=BH$6),$AV1154,dNULL)</f>
        <v>-99</v>
      </c>
    </row>
    <row r="1155" spans="45:60" x14ac:dyDescent="0.25">
      <c r="AS1155">
        <f t="shared" si="156"/>
        <v>69</v>
      </c>
      <c r="AT1155">
        <f t="shared" si="157"/>
        <v>12</v>
      </c>
      <c r="AU1155">
        <f t="shared" ca="1" si="158"/>
        <v>-99</v>
      </c>
      <c r="AV1155">
        <f t="shared" ca="1" si="159"/>
        <v>-99</v>
      </c>
      <c r="AW1155">
        <f ca="1">IF(AND($AT1155&lt;3,OFFSET(DATA!$C$14,$AS1155,0)=AW$6),$AV1155,dNULL)</f>
        <v>-99</v>
      </c>
      <c r="AX1155">
        <f ca="1">IF(AND($AT1155&lt;3,OFFSET(DATA!$C$14,$AS1155,0)=AX$6),$AV1155,dNULL)</f>
        <v>-99</v>
      </c>
      <c r="AY1155">
        <f ca="1">IF(AND($AT1155&lt;3,OFFSET(DATA!$C$14,$AS1155,0)=AY$6),$AV1155,dNULL)</f>
        <v>-99</v>
      </c>
      <c r="AZ1155">
        <f ca="1">IF(AND($AT1155&lt;3,OFFSET(DATA!$C$14,$AS1155,0)=AZ$6),$AV1155,dNULL)</f>
        <v>-99</v>
      </c>
      <c r="BA1155">
        <f ca="1">IF(AND($AT1155&lt;3,OFFSET(DATA!$C$14,$AS1155,0)=BA$6),$AV1155,dNULL)</f>
        <v>-99</v>
      </c>
      <c r="BB1155">
        <f ca="1">IF(AND($AT1155&lt;3,OFFSET(DATA!$C$14,$AS1155,0)=BB$6),$AV1155,dNULL)</f>
        <v>-99</v>
      </c>
      <c r="BC1155">
        <f ca="1">IF(AND($AT1155&lt;3,OFFSET(DATA!$C$14,$AS1155,0)=BC$6),$AV1155,dNULL)</f>
        <v>-99</v>
      </c>
      <c r="BD1155">
        <f ca="1">IF(AND($AT1155&lt;3,OFFSET(DATA!$C$14,$AS1155,0)=BD$6),$AV1155,dNULL)</f>
        <v>-99</v>
      </c>
      <c r="BE1155">
        <f ca="1">IF(AND($AT1155&lt;3,OFFSET(DATA!$C$14,$AS1155,0)=BE$6),$AV1155,dNULL)</f>
        <v>-99</v>
      </c>
      <c r="BF1155">
        <f ca="1">IF(AND($AT1155&lt;3,OFFSET(DATA!$C$14,$AS1155,0)=BF$6),$AV1155,dNULL)</f>
        <v>-99</v>
      </c>
      <c r="BG1155">
        <f ca="1">IF(AND($AT1155&lt;3,OFFSET(DATA!$C$14,$AS1155,0)=BG$6),$AV1155,dNULL)</f>
        <v>-99</v>
      </c>
      <c r="BH1155">
        <f ca="1">IF(AND($AT1155&lt;3,OFFSET(DATA!$C$14,$AS1155,0)=BH$6),$AV1155,dNULL)</f>
        <v>-99</v>
      </c>
    </row>
    <row r="1156" spans="45:60" x14ac:dyDescent="0.25">
      <c r="AS1156">
        <f t="shared" si="156"/>
        <v>70</v>
      </c>
      <c r="AT1156">
        <f t="shared" si="157"/>
        <v>12</v>
      </c>
      <c r="AU1156">
        <f t="shared" ca="1" si="158"/>
        <v>-99</v>
      </c>
      <c r="AV1156">
        <f t="shared" ca="1" si="159"/>
        <v>-99</v>
      </c>
      <c r="AW1156">
        <f ca="1">IF(AND($AT1156&lt;3,OFFSET(DATA!$C$14,$AS1156,0)=AW$6),$AV1156,dNULL)</f>
        <v>-99</v>
      </c>
      <c r="AX1156">
        <f ca="1">IF(AND($AT1156&lt;3,OFFSET(DATA!$C$14,$AS1156,0)=AX$6),$AV1156,dNULL)</f>
        <v>-99</v>
      </c>
      <c r="AY1156">
        <f ca="1">IF(AND($AT1156&lt;3,OFFSET(DATA!$C$14,$AS1156,0)=AY$6),$AV1156,dNULL)</f>
        <v>-99</v>
      </c>
      <c r="AZ1156">
        <f ca="1">IF(AND($AT1156&lt;3,OFFSET(DATA!$C$14,$AS1156,0)=AZ$6),$AV1156,dNULL)</f>
        <v>-99</v>
      </c>
      <c r="BA1156">
        <f ca="1">IF(AND($AT1156&lt;3,OFFSET(DATA!$C$14,$AS1156,0)=BA$6),$AV1156,dNULL)</f>
        <v>-99</v>
      </c>
      <c r="BB1156">
        <f ca="1">IF(AND($AT1156&lt;3,OFFSET(DATA!$C$14,$AS1156,0)=BB$6),$AV1156,dNULL)</f>
        <v>-99</v>
      </c>
      <c r="BC1156">
        <f ca="1">IF(AND($AT1156&lt;3,OFFSET(DATA!$C$14,$AS1156,0)=BC$6),$AV1156,dNULL)</f>
        <v>-99</v>
      </c>
      <c r="BD1156">
        <f ca="1">IF(AND($AT1156&lt;3,OFFSET(DATA!$C$14,$AS1156,0)=BD$6),$AV1156,dNULL)</f>
        <v>-99</v>
      </c>
      <c r="BE1156">
        <f ca="1">IF(AND($AT1156&lt;3,OFFSET(DATA!$C$14,$AS1156,0)=BE$6),$AV1156,dNULL)</f>
        <v>-99</v>
      </c>
      <c r="BF1156">
        <f ca="1">IF(AND($AT1156&lt;3,OFFSET(DATA!$C$14,$AS1156,0)=BF$6),$AV1156,dNULL)</f>
        <v>-99</v>
      </c>
      <c r="BG1156">
        <f ca="1">IF(AND($AT1156&lt;3,OFFSET(DATA!$C$14,$AS1156,0)=BG$6),$AV1156,dNULL)</f>
        <v>-99</v>
      </c>
      <c r="BH1156">
        <f ca="1">IF(AND($AT1156&lt;3,OFFSET(DATA!$C$14,$AS1156,0)=BH$6),$AV1156,dNULL)</f>
        <v>-99</v>
      </c>
    </row>
    <row r="1157" spans="45:60" x14ac:dyDescent="0.25">
      <c r="AS1157">
        <f t="shared" si="156"/>
        <v>71</v>
      </c>
      <c r="AT1157">
        <f t="shared" si="157"/>
        <v>12</v>
      </c>
      <c r="AU1157">
        <f t="shared" ca="1" si="158"/>
        <v>-99</v>
      </c>
      <c r="AV1157">
        <f t="shared" ca="1" si="159"/>
        <v>-99</v>
      </c>
      <c r="AW1157">
        <f ca="1">IF(AND($AT1157&lt;3,OFFSET(DATA!$C$14,$AS1157,0)=AW$6),$AV1157,dNULL)</f>
        <v>-99</v>
      </c>
      <c r="AX1157">
        <f ca="1">IF(AND($AT1157&lt;3,OFFSET(DATA!$C$14,$AS1157,0)=AX$6),$AV1157,dNULL)</f>
        <v>-99</v>
      </c>
      <c r="AY1157">
        <f ca="1">IF(AND($AT1157&lt;3,OFFSET(DATA!$C$14,$AS1157,0)=AY$6),$AV1157,dNULL)</f>
        <v>-99</v>
      </c>
      <c r="AZ1157">
        <f ca="1">IF(AND($AT1157&lt;3,OFFSET(DATA!$C$14,$AS1157,0)=AZ$6),$AV1157,dNULL)</f>
        <v>-99</v>
      </c>
      <c r="BA1157">
        <f ca="1">IF(AND($AT1157&lt;3,OFFSET(DATA!$C$14,$AS1157,0)=BA$6),$AV1157,dNULL)</f>
        <v>-99</v>
      </c>
      <c r="BB1157">
        <f ca="1">IF(AND($AT1157&lt;3,OFFSET(DATA!$C$14,$AS1157,0)=BB$6),$AV1157,dNULL)</f>
        <v>-99</v>
      </c>
      <c r="BC1157">
        <f ca="1">IF(AND($AT1157&lt;3,OFFSET(DATA!$C$14,$AS1157,0)=BC$6),$AV1157,dNULL)</f>
        <v>-99</v>
      </c>
      <c r="BD1157">
        <f ca="1">IF(AND($AT1157&lt;3,OFFSET(DATA!$C$14,$AS1157,0)=BD$6),$AV1157,dNULL)</f>
        <v>-99</v>
      </c>
      <c r="BE1157">
        <f ca="1">IF(AND($AT1157&lt;3,OFFSET(DATA!$C$14,$AS1157,0)=BE$6),$AV1157,dNULL)</f>
        <v>-99</v>
      </c>
      <c r="BF1157">
        <f ca="1">IF(AND($AT1157&lt;3,OFFSET(DATA!$C$14,$AS1157,0)=BF$6),$AV1157,dNULL)</f>
        <v>-99</v>
      </c>
      <c r="BG1157">
        <f ca="1">IF(AND($AT1157&lt;3,OFFSET(DATA!$C$14,$AS1157,0)=BG$6),$AV1157,dNULL)</f>
        <v>-99</v>
      </c>
      <c r="BH1157">
        <f ca="1">IF(AND($AT1157&lt;3,OFFSET(DATA!$C$14,$AS1157,0)=BH$6),$AV1157,dNULL)</f>
        <v>-99</v>
      </c>
    </row>
    <row r="1158" spans="45:60" x14ac:dyDescent="0.25">
      <c r="AS1158">
        <f t="shared" si="156"/>
        <v>72</v>
      </c>
      <c r="AT1158">
        <f t="shared" si="157"/>
        <v>12</v>
      </c>
      <c r="AU1158">
        <f t="shared" ca="1" si="158"/>
        <v>-99</v>
      </c>
      <c r="AV1158">
        <f t="shared" ca="1" si="159"/>
        <v>-99</v>
      </c>
      <c r="AW1158">
        <f ca="1">IF(AND($AT1158&lt;3,OFFSET(DATA!$C$14,$AS1158,0)=AW$6),$AV1158,dNULL)</f>
        <v>-99</v>
      </c>
      <c r="AX1158">
        <f ca="1">IF(AND($AT1158&lt;3,OFFSET(DATA!$C$14,$AS1158,0)=AX$6),$AV1158,dNULL)</f>
        <v>-99</v>
      </c>
      <c r="AY1158">
        <f ca="1">IF(AND($AT1158&lt;3,OFFSET(DATA!$C$14,$AS1158,0)=AY$6),$AV1158,dNULL)</f>
        <v>-99</v>
      </c>
      <c r="AZ1158">
        <f ca="1">IF(AND($AT1158&lt;3,OFFSET(DATA!$C$14,$AS1158,0)=AZ$6),$AV1158,dNULL)</f>
        <v>-99</v>
      </c>
      <c r="BA1158">
        <f ca="1">IF(AND($AT1158&lt;3,OFFSET(DATA!$C$14,$AS1158,0)=BA$6),$AV1158,dNULL)</f>
        <v>-99</v>
      </c>
      <c r="BB1158">
        <f ca="1">IF(AND($AT1158&lt;3,OFFSET(DATA!$C$14,$AS1158,0)=BB$6),$AV1158,dNULL)</f>
        <v>-99</v>
      </c>
      <c r="BC1158">
        <f ca="1">IF(AND($AT1158&lt;3,OFFSET(DATA!$C$14,$AS1158,0)=BC$6),$AV1158,dNULL)</f>
        <v>-99</v>
      </c>
      <c r="BD1158">
        <f ca="1">IF(AND($AT1158&lt;3,OFFSET(DATA!$C$14,$AS1158,0)=BD$6),$AV1158,dNULL)</f>
        <v>-99</v>
      </c>
      <c r="BE1158">
        <f ca="1">IF(AND($AT1158&lt;3,OFFSET(DATA!$C$14,$AS1158,0)=BE$6),$AV1158,dNULL)</f>
        <v>-99</v>
      </c>
      <c r="BF1158">
        <f ca="1">IF(AND($AT1158&lt;3,OFFSET(DATA!$C$14,$AS1158,0)=BF$6),$AV1158,dNULL)</f>
        <v>-99</v>
      </c>
      <c r="BG1158">
        <f ca="1">IF(AND($AT1158&lt;3,OFFSET(DATA!$C$14,$AS1158,0)=BG$6),$AV1158,dNULL)</f>
        <v>-99</v>
      </c>
      <c r="BH1158">
        <f ca="1">IF(AND($AT1158&lt;3,OFFSET(DATA!$C$14,$AS1158,0)=BH$6),$AV1158,dNULL)</f>
        <v>-99</v>
      </c>
    </row>
    <row r="1159" spans="45:60" x14ac:dyDescent="0.25">
      <c r="AS1159">
        <f t="shared" ref="AS1159:AS1211" si="160">MOD(ROW(AT1159)-ROW($AT$7),lCNTsites)+1</f>
        <v>73</v>
      </c>
      <c r="AT1159">
        <f t="shared" ref="AT1159:AT1211" si="161">INT((ROW(AT1159)-ROW($AT$7))/lCNTsites)</f>
        <v>12</v>
      </c>
      <c r="AU1159">
        <f t="shared" ref="AU1159:AU1211" ca="1" si="162">IF($AT1159=0,(1-OFFSET($AL$6,$AS1159,$AT1159*2))-OFFSET($AL$6,$AS1159,$AT1159*2+1)*$K$8,IF($AT1159=1,dAnionOFF+1+OFFSET($AL$6,$AS1159,$AT1159*2)+OFFSET($AL$6,$AS1159,$AT1159*2+1)/2,IF($AT1159=2,$K$17-(1-OFFSET($AL$6,$AS1159,$AT1159*2))*0.5+(1-OFFSET($AL$6,$AS1159,$AT1159*2+1))*0.5,dNULL)))</f>
        <v>-99</v>
      </c>
      <c r="AV1159">
        <f t="shared" ref="AV1159:AV1211" ca="1" si="163">IF($AT1159=0,OFFSET($AL$6,$AS1159,$AT1159*2+1)*$L$8,IF($AT1159=1,OFFSET($AL$6,$AS1159,$AT1159*2+1)*3^0.5/2,IF($AT1159=2,$L$17+(2-OFFSET($AL$6,$AS1159,$AT1159*2)-OFFSET($AL$6,$AS1159,$AT1159*2+1))*$L$8,dNULL)))</f>
        <v>-99</v>
      </c>
      <c r="AW1159">
        <f ca="1">IF(AND($AT1159&lt;3,OFFSET(DATA!$C$14,$AS1159,0)=AW$6),$AV1159,dNULL)</f>
        <v>-99</v>
      </c>
      <c r="AX1159">
        <f ca="1">IF(AND($AT1159&lt;3,OFFSET(DATA!$C$14,$AS1159,0)=AX$6),$AV1159,dNULL)</f>
        <v>-99</v>
      </c>
      <c r="AY1159">
        <f ca="1">IF(AND($AT1159&lt;3,OFFSET(DATA!$C$14,$AS1159,0)=AY$6),$AV1159,dNULL)</f>
        <v>-99</v>
      </c>
      <c r="AZ1159">
        <f ca="1">IF(AND($AT1159&lt;3,OFFSET(DATA!$C$14,$AS1159,0)=AZ$6),$AV1159,dNULL)</f>
        <v>-99</v>
      </c>
      <c r="BA1159">
        <f ca="1">IF(AND($AT1159&lt;3,OFFSET(DATA!$C$14,$AS1159,0)=BA$6),$AV1159,dNULL)</f>
        <v>-99</v>
      </c>
      <c r="BB1159">
        <f ca="1">IF(AND($AT1159&lt;3,OFFSET(DATA!$C$14,$AS1159,0)=BB$6),$AV1159,dNULL)</f>
        <v>-99</v>
      </c>
      <c r="BC1159">
        <f ca="1">IF(AND($AT1159&lt;3,OFFSET(DATA!$C$14,$AS1159,0)=BC$6),$AV1159,dNULL)</f>
        <v>-99</v>
      </c>
      <c r="BD1159">
        <f ca="1">IF(AND($AT1159&lt;3,OFFSET(DATA!$C$14,$AS1159,0)=BD$6),$AV1159,dNULL)</f>
        <v>-99</v>
      </c>
      <c r="BE1159">
        <f ca="1">IF(AND($AT1159&lt;3,OFFSET(DATA!$C$14,$AS1159,0)=BE$6),$AV1159,dNULL)</f>
        <v>-99</v>
      </c>
      <c r="BF1159">
        <f ca="1">IF(AND($AT1159&lt;3,OFFSET(DATA!$C$14,$AS1159,0)=BF$6),$AV1159,dNULL)</f>
        <v>-99</v>
      </c>
      <c r="BG1159">
        <f ca="1">IF(AND($AT1159&lt;3,OFFSET(DATA!$C$14,$AS1159,0)=BG$6),$AV1159,dNULL)</f>
        <v>-99</v>
      </c>
      <c r="BH1159">
        <f ca="1">IF(AND($AT1159&lt;3,OFFSET(DATA!$C$14,$AS1159,0)=BH$6),$AV1159,dNULL)</f>
        <v>-99</v>
      </c>
    </row>
    <row r="1160" spans="45:60" x14ac:dyDescent="0.25">
      <c r="AS1160">
        <f t="shared" si="160"/>
        <v>74</v>
      </c>
      <c r="AT1160">
        <f t="shared" si="161"/>
        <v>12</v>
      </c>
      <c r="AU1160">
        <f t="shared" ca="1" si="162"/>
        <v>-99</v>
      </c>
      <c r="AV1160">
        <f t="shared" ca="1" si="163"/>
        <v>-99</v>
      </c>
      <c r="AW1160">
        <f ca="1">IF(AND($AT1160&lt;3,OFFSET(DATA!$C$14,$AS1160,0)=AW$6),$AV1160,dNULL)</f>
        <v>-99</v>
      </c>
      <c r="AX1160">
        <f ca="1">IF(AND($AT1160&lt;3,OFFSET(DATA!$C$14,$AS1160,0)=AX$6),$AV1160,dNULL)</f>
        <v>-99</v>
      </c>
      <c r="AY1160">
        <f ca="1">IF(AND($AT1160&lt;3,OFFSET(DATA!$C$14,$AS1160,0)=AY$6),$AV1160,dNULL)</f>
        <v>-99</v>
      </c>
      <c r="AZ1160">
        <f ca="1">IF(AND($AT1160&lt;3,OFFSET(DATA!$C$14,$AS1160,0)=AZ$6),$AV1160,dNULL)</f>
        <v>-99</v>
      </c>
      <c r="BA1160">
        <f ca="1">IF(AND($AT1160&lt;3,OFFSET(DATA!$C$14,$AS1160,0)=BA$6),$AV1160,dNULL)</f>
        <v>-99</v>
      </c>
      <c r="BB1160">
        <f ca="1">IF(AND($AT1160&lt;3,OFFSET(DATA!$C$14,$AS1160,0)=BB$6),$AV1160,dNULL)</f>
        <v>-99</v>
      </c>
      <c r="BC1160">
        <f ca="1">IF(AND($AT1160&lt;3,OFFSET(DATA!$C$14,$AS1160,0)=BC$6),$AV1160,dNULL)</f>
        <v>-99</v>
      </c>
      <c r="BD1160">
        <f ca="1">IF(AND($AT1160&lt;3,OFFSET(DATA!$C$14,$AS1160,0)=BD$6),$AV1160,dNULL)</f>
        <v>-99</v>
      </c>
      <c r="BE1160">
        <f ca="1">IF(AND($AT1160&lt;3,OFFSET(DATA!$C$14,$AS1160,0)=BE$6),$AV1160,dNULL)</f>
        <v>-99</v>
      </c>
      <c r="BF1160">
        <f ca="1">IF(AND($AT1160&lt;3,OFFSET(DATA!$C$14,$AS1160,0)=BF$6),$AV1160,dNULL)</f>
        <v>-99</v>
      </c>
      <c r="BG1160">
        <f ca="1">IF(AND($AT1160&lt;3,OFFSET(DATA!$C$14,$AS1160,0)=BG$6),$AV1160,dNULL)</f>
        <v>-99</v>
      </c>
      <c r="BH1160">
        <f ca="1">IF(AND($AT1160&lt;3,OFFSET(DATA!$C$14,$AS1160,0)=BH$6),$AV1160,dNULL)</f>
        <v>-99</v>
      </c>
    </row>
    <row r="1161" spans="45:60" x14ac:dyDescent="0.25">
      <c r="AS1161">
        <f t="shared" si="160"/>
        <v>75</v>
      </c>
      <c r="AT1161">
        <f t="shared" si="161"/>
        <v>12</v>
      </c>
      <c r="AU1161">
        <f t="shared" ca="1" si="162"/>
        <v>-99</v>
      </c>
      <c r="AV1161">
        <f t="shared" ca="1" si="163"/>
        <v>-99</v>
      </c>
      <c r="AW1161">
        <f ca="1">IF(AND($AT1161&lt;3,OFFSET(DATA!$C$14,$AS1161,0)=AW$6),$AV1161,dNULL)</f>
        <v>-99</v>
      </c>
      <c r="AX1161">
        <f ca="1">IF(AND($AT1161&lt;3,OFFSET(DATA!$C$14,$AS1161,0)=AX$6),$AV1161,dNULL)</f>
        <v>-99</v>
      </c>
      <c r="AY1161">
        <f ca="1">IF(AND($AT1161&lt;3,OFFSET(DATA!$C$14,$AS1161,0)=AY$6),$AV1161,dNULL)</f>
        <v>-99</v>
      </c>
      <c r="AZ1161">
        <f ca="1">IF(AND($AT1161&lt;3,OFFSET(DATA!$C$14,$AS1161,0)=AZ$6),$AV1161,dNULL)</f>
        <v>-99</v>
      </c>
      <c r="BA1161">
        <f ca="1">IF(AND($AT1161&lt;3,OFFSET(DATA!$C$14,$AS1161,0)=BA$6),$AV1161,dNULL)</f>
        <v>-99</v>
      </c>
      <c r="BB1161">
        <f ca="1">IF(AND($AT1161&lt;3,OFFSET(DATA!$C$14,$AS1161,0)=BB$6),$AV1161,dNULL)</f>
        <v>-99</v>
      </c>
      <c r="BC1161">
        <f ca="1">IF(AND($AT1161&lt;3,OFFSET(DATA!$C$14,$AS1161,0)=BC$6),$AV1161,dNULL)</f>
        <v>-99</v>
      </c>
      <c r="BD1161">
        <f ca="1">IF(AND($AT1161&lt;3,OFFSET(DATA!$C$14,$AS1161,0)=BD$6),$AV1161,dNULL)</f>
        <v>-99</v>
      </c>
      <c r="BE1161">
        <f ca="1">IF(AND($AT1161&lt;3,OFFSET(DATA!$C$14,$AS1161,0)=BE$6),$AV1161,dNULL)</f>
        <v>-99</v>
      </c>
      <c r="BF1161">
        <f ca="1">IF(AND($AT1161&lt;3,OFFSET(DATA!$C$14,$AS1161,0)=BF$6),$AV1161,dNULL)</f>
        <v>-99</v>
      </c>
      <c r="BG1161">
        <f ca="1">IF(AND($AT1161&lt;3,OFFSET(DATA!$C$14,$AS1161,0)=BG$6),$AV1161,dNULL)</f>
        <v>-99</v>
      </c>
      <c r="BH1161">
        <f ca="1">IF(AND($AT1161&lt;3,OFFSET(DATA!$C$14,$AS1161,0)=BH$6),$AV1161,dNULL)</f>
        <v>-99</v>
      </c>
    </row>
    <row r="1162" spans="45:60" x14ac:dyDescent="0.25">
      <c r="AS1162">
        <f t="shared" si="160"/>
        <v>76</v>
      </c>
      <c r="AT1162">
        <f t="shared" si="161"/>
        <v>12</v>
      </c>
      <c r="AU1162">
        <f t="shared" ca="1" si="162"/>
        <v>-99</v>
      </c>
      <c r="AV1162">
        <f t="shared" ca="1" si="163"/>
        <v>-99</v>
      </c>
      <c r="AW1162">
        <f ca="1">IF(AND($AT1162&lt;3,OFFSET(DATA!$C$14,$AS1162,0)=AW$6),$AV1162,dNULL)</f>
        <v>-99</v>
      </c>
      <c r="AX1162">
        <f ca="1">IF(AND($AT1162&lt;3,OFFSET(DATA!$C$14,$AS1162,0)=AX$6),$AV1162,dNULL)</f>
        <v>-99</v>
      </c>
      <c r="AY1162">
        <f ca="1">IF(AND($AT1162&lt;3,OFFSET(DATA!$C$14,$AS1162,0)=AY$6),$AV1162,dNULL)</f>
        <v>-99</v>
      </c>
      <c r="AZ1162">
        <f ca="1">IF(AND($AT1162&lt;3,OFFSET(DATA!$C$14,$AS1162,0)=AZ$6),$AV1162,dNULL)</f>
        <v>-99</v>
      </c>
      <c r="BA1162">
        <f ca="1">IF(AND($AT1162&lt;3,OFFSET(DATA!$C$14,$AS1162,0)=BA$6),$AV1162,dNULL)</f>
        <v>-99</v>
      </c>
      <c r="BB1162">
        <f ca="1">IF(AND($AT1162&lt;3,OFFSET(DATA!$C$14,$AS1162,0)=BB$6),$AV1162,dNULL)</f>
        <v>-99</v>
      </c>
      <c r="BC1162">
        <f ca="1">IF(AND($AT1162&lt;3,OFFSET(DATA!$C$14,$AS1162,0)=BC$6),$AV1162,dNULL)</f>
        <v>-99</v>
      </c>
      <c r="BD1162">
        <f ca="1">IF(AND($AT1162&lt;3,OFFSET(DATA!$C$14,$AS1162,0)=BD$6),$AV1162,dNULL)</f>
        <v>-99</v>
      </c>
      <c r="BE1162">
        <f ca="1">IF(AND($AT1162&lt;3,OFFSET(DATA!$C$14,$AS1162,0)=BE$6),$AV1162,dNULL)</f>
        <v>-99</v>
      </c>
      <c r="BF1162">
        <f ca="1">IF(AND($AT1162&lt;3,OFFSET(DATA!$C$14,$AS1162,0)=BF$6),$AV1162,dNULL)</f>
        <v>-99</v>
      </c>
      <c r="BG1162">
        <f ca="1">IF(AND($AT1162&lt;3,OFFSET(DATA!$C$14,$AS1162,0)=BG$6),$AV1162,dNULL)</f>
        <v>-99</v>
      </c>
      <c r="BH1162">
        <f ca="1">IF(AND($AT1162&lt;3,OFFSET(DATA!$C$14,$AS1162,0)=BH$6),$AV1162,dNULL)</f>
        <v>-99</v>
      </c>
    </row>
    <row r="1163" spans="45:60" x14ac:dyDescent="0.25">
      <c r="AS1163">
        <f t="shared" si="160"/>
        <v>77</v>
      </c>
      <c r="AT1163">
        <f t="shared" si="161"/>
        <v>12</v>
      </c>
      <c r="AU1163">
        <f t="shared" ca="1" si="162"/>
        <v>-99</v>
      </c>
      <c r="AV1163">
        <f t="shared" ca="1" si="163"/>
        <v>-99</v>
      </c>
      <c r="AW1163">
        <f ca="1">IF(AND($AT1163&lt;3,OFFSET(DATA!$C$14,$AS1163,0)=AW$6),$AV1163,dNULL)</f>
        <v>-99</v>
      </c>
      <c r="AX1163">
        <f ca="1">IF(AND($AT1163&lt;3,OFFSET(DATA!$C$14,$AS1163,0)=AX$6),$AV1163,dNULL)</f>
        <v>-99</v>
      </c>
      <c r="AY1163">
        <f ca="1">IF(AND($AT1163&lt;3,OFFSET(DATA!$C$14,$AS1163,0)=AY$6),$AV1163,dNULL)</f>
        <v>-99</v>
      </c>
      <c r="AZ1163">
        <f ca="1">IF(AND($AT1163&lt;3,OFFSET(DATA!$C$14,$AS1163,0)=AZ$6),$AV1163,dNULL)</f>
        <v>-99</v>
      </c>
      <c r="BA1163">
        <f ca="1">IF(AND($AT1163&lt;3,OFFSET(DATA!$C$14,$AS1163,0)=BA$6),$AV1163,dNULL)</f>
        <v>-99</v>
      </c>
      <c r="BB1163">
        <f ca="1">IF(AND($AT1163&lt;3,OFFSET(DATA!$C$14,$AS1163,0)=BB$6),$AV1163,dNULL)</f>
        <v>-99</v>
      </c>
      <c r="BC1163">
        <f ca="1">IF(AND($AT1163&lt;3,OFFSET(DATA!$C$14,$AS1163,0)=BC$6),$AV1163,dNULL)</f>
        <v>-99</v>
      </c>
      <c r="BD1163">
        <f ca="1">IF(AND($AT1163&lt;3,OFFSET(DATA!$C$14,$AS1163,0)=BD$6),$AV1163,dNULL)</f>
        <v>-99</v>
      </c>
      <c r="BE1163">
        <f ca="1">IF(AND($AT1163&lt;3,OFFSET(DATA!$C$14,$AS1163,0)=BE$6),$AV1163,dNULL)</f>
        <v>-99</v>
      </c>
      <c r="BF1163">
        <f ca="1">IF(AND($AT1163&lt;3,OFFSET(DATA!$C$14,$AS1163,0)=BF$6),$AV1163,dNULL)</f>
        <v>-99</v>
      </c>
      <c r="BG1163">
        <f ca="1">IF(AND($AT1163&lt;3,OFFSET(DATA!$C$14,$AS1163,0)=BG$6),$AV1163,dNULL)</f>
        <v>-99</v>
      </c>
      <c r="BH1163">
        <f ca="1">IF(AND($AT1163&lt;3,OFFSET(DATA!$C$14,$AS1163,0)=BH$6),$AV1163,dNULL)</f>
        <v>-99</v>
      </c>
    </row>
    <row r="1164" spans="45:60" x14ac:dyDescent="0.25">
      <c r="AS1164">
        <f t="shared" si="160"/>
        <v>78</v>
      </c>
      <c r="AT1164">
        <f t="shared" si="161"/>
        <v>12</v>
      </c>
      <c r="AU1164">
        <f t="shared" ca="1" si="162"/>
        <v>-99</v>
      </c>
      <c r="AV1164">
        <f t="shared" ca="1" si="163"/>
        <v>-99</v>
      </c>
      <c r="AW1164">
        <f ca="1">IF(AND($AT1164&lt;3,OFFSET(DATA!$C$14,$AS1164,0)=AW$6),$AV1164,dNULL)</f>
        <v>-99</v>
      </c>
      <c r="AX1164">
        <f ca="1">IF(AND($AT1164&lt;3,OFFSET(DATA!$C$14,$AS1164,0)=AX$6),$AV1164,dNULL)</f>
        <v>-99</v>
      </c>
      <c r="AY1164">
        <f ca="1">IF(AND($AT1164&lt;3,OFFSET(DATA!$C$14,$AS1164,0)=AY$6),$AV1164,dNULL)</f>
        <v>-99</v>
      </c>
      <c r="AZ1164">
        <f ca="1">IF(AND($AT1164&lt;3,OFFSET(DATA!$C$14,$AS1164,0)=AZ$6),$AV1164,dNULL)</f>
        <v>-99</v>
      </c>
      <c r="BA1164">
        <f ca="1">IF(AND($AT1164&lt;3,OFFSET(DATA!$C$14,$AS1164,0)=BA$6),$AV1164,dNULL)</f>
        <v>-99</v>
      </c>
      <c r="BB1164">
        <f ca="1">IF(AND($AT1164&lt;3,OFFSET(DATA!$C$14,$AS1164,0)=BB$6),$AV1164,dNULL)</f>
        <v>-99</v>
      </c>
      <c r="BC1164">
        <f ca="1">IF(AND($AT1164&lt;3,OFFSET(DATA!$C$14,$AS1164,0)=BC$6),$AV1164,dNULL)</f>
        <v>-99</v>
      </c>
      <c r="BD1164">
        <f ca="1">IF(AND($AT1164&lt;3,OFFSET(DATA!$C$14,$AS1164,0)=BD$6),$AV1164,dNULL)</f>
        <v>-99</v>
      </c>
      <c r="BE1164">
        <f ca="1">IF(AND($AT1164&lt;3,OFFSET(DATA!$C$14,$AS1164,0)=BE$6),$AV1164,dNULL)</f>
        <v>-99</v>
      </c>
      <c r="BF1164">
        <f ca="1">IF(AND($AT1164&lt;3,OFFSET(DATA!$C$14,$AS1164,0)=BF$6),$AV1164,dNULL)</f>
        <v>-99</v>
      </c>
      <c r="BG1164">
        <f ca="1">IF(AND($AT1164&lt;3,OFFSET(DATA!$C$14,$AS1164,0)=BG$6),$AV1164,dNULL)</f>
        <v>-99</v>
      </c>
      <c r="BH1164">
        <f ca="1">IF(AND($AT1164&lt;3,OFFSET(DATA!$C$14,$AS1164,0)=BH$6),$AV1164,dNULL)</f>
        <v>-99</v>
      </c>
    </row>
    <row r="1165" spans="45:60" x14ac:dyDescent="0.25">
      <c r="AS1165">
        <f t="shared" si="160"/>
        <v>79</v>
      </c>
      <c r="AT1165">
        <f t="shared" si="161"/>
        <v>12</v>
      </c>
      <c r="AU1165">
        <f t="shared" ca="1" si="162"/>
        <v>-99</v>
      </c>
      <c r="AV1165">
        <f t="shared" ca="1" si="163"/>
        <v>-99</v>
      </c>
      <c r="AW1165">
        <f ca="1">IF(AND($AT1165&lt;3,OFFSET(DATA!$C$14,$AS1165,0)=AW$6),$AV1165,dNULL)</f>
        <v>-99</v>
      </c>
      <c r="AX1165">
        <f ca="1">IF(AND($AT1165&lt;3,OFFSET(DATA!$C$14,$AS1165,0)=AX$6),$AV1165,dNULL)</f>
        <v>-99</v>
      </c>
      <c r="AY1165">
        <f ca="1">IF(AND($AT1165&lt;3,OFFSET(DATA!$C$14,$AS1165,0)=AY$6),$AV1165,dNULL)</f>
        <v>-99</v>
      </c>
      <c r="AZ1165">
        <f ca="1">IF(AND($AT1165&lt;3,OFFSET(DATA!$C$14,$AS1165,0)=AZ$6),$AV1165,dNULL)</f>
        <v>-99</v>
      </c>
      <c r="BA1165">
        <f ca="1">IF(AND($AT1165&lt;3,OFFSET(DATA!$C$14,$AS1165,0)=BA$6),$AV1165,dNULL)</f>
        <v>-99</v>
      </c>
      <c r="BB1165">
        <f ca="1">IF(AND($AT1165&lt;3,OFFSET(DATA!$C$14,$AS1165,0)=BB$6),$AV1165,dNULL)</f>
        <v>-99</v>
      </c>
      <c r="BC1165">
        <f ca="1">IF(AND($AT1165&lt;3,OFFSET(DATA!$C$14,$AS1165,0)=BC$6),$AV1165,dNULL)</f>
        <v>-99</v>
      </c>
      <c r="BD1165">
        <f ca="1">IF(AND($AT1165&lt;3,OFFSET(DATA!$C$14,$AS1165,0)=BD$6),$AV1165,dNULL)</f>
        <v>-99</v>
      </c>
      <c r="BE1165">
        <f ca="1">IF(AND($AT1165&lt;3,OFFSET(DATA!$C$14,$AS1165,0)=BE$6),$AV1165,dNULL)</f>
        <v>-99</v>
      </c>
      <c r="BF1165">
        <f ca="1">IF(AND($AT1165&lt;3,OFFSET(DATA!$C$14,$AS1165,0)=BF$6),$AV1165,dNULL)</f>
        <v>-99</v>
      </c>
      <c r="BG1165">
        <f ca="1">IF(AND($AT1165&lt;3,OFFSET(DATA!$C$14,$AS1165,0)=BG$6),$AV1165,dNULL)</f>
        <v>-99</v>
      </c>
      <c r="BH1165">
        <f ca="1">IF(AND($AT1165&lt;3,OFFSET(DATA!$C$14,$AS1165,0)=BH$6),$AV1165,dNULL)</f>
        <v>-99</v>
      </c>
    </row>
    <row r="1166" spans="45:60" x14ac:dyDescent="0.25">
      <c r="AS1166">
        <f t="shared" si="160"/>
        <v>80</v>
      </c>
      <c r="AT1166">
        <f t="shared" si="161"/>
        <v>12</v>
      </c>
      <c r="AU1166">
        <f t="shared" ca="1" si="162"/>
        <v>-99</v>
      </c>
      <c r="AV1166">
        <f t="shared" ca="1" si="163"/>
        <v>-99</v>
      </c>
      <c r="AW1166">
        <f ca="1">IF(AND($AT1166&lt;3,OFFSET(DATA!$C$14,$AS1166,0)=AW$6),$AV1166,dNULL)</f>
        <v>-99</v>
      </c>
      <c r="AX1166">
        <f ca="1">IF(AND($AT1166&lt;3,OFFSET(DATA!$C$14,$AS1166,0)=AX$6),$AV1166,dNULL)</f>
        <v>-99</v>
      </c>
      <c r="AY1166">
        <f ca="1">IF(AND($AT1166&lt;3,OFFSET(DATA!$C$14,$AS1166,0)=AY$6),$AV1166,dNULL)</f>
        <v>-99</v>
      </c>
      <c r="AZ1166">
        <f ca="1">IF(AND($AT1166&lt;3,OFFSET(DATA!$C$14,$AS1166,0)=AZ$6),$AV1166,dNULL)</f>
        <v>-99</v>
      </c>
      <c r="BA1166">
        <f ca="1">IF(AND($AT1166&lt;3,OFFSET(DATA!$C$14,$AS1166,0)=BA$6),$AV1166,dNULL)</f>
        <v>-99</v>
      </c>
      <c r="BB1166">
        <f ca="1">IF(AND($AT1166&lt;3,OFFSET(DATA!$C$14,$AS1166,0)=BB$6),$AV1166,dNULL)</f>
        <v>-99</v>
      </c>
      <c r="BC1166">
        <f ca="1">IF(AND($AT1166&lt;3,OFFSET(DATA!$C$14,$AS1166,0)=BC$6),$AV1166,dNULL)</f>
        <v>-99</v>
      </c>
      <c r="BD1166">
        <f ca="1">IF(AND($AT1166&lt;3,OFFSET(DATA!$C$14,$AS1166,0)=BD$6),$AV1166,dNULL)</f>
        <v>-99</v>
      </c>
      <c r="BE1166">
        <f ca="1">IF(AND($AT1166&lt;3,OFFSET(DATA!$C$14,$AS1166,0)=BE$6),$AV1166,dNULL)</f>
        <v>-99</v>
      </c>
      <c r="BF1166">
        <f ca="1">IF(AND($AT1166&lt;3,OFFSET(DATA!$C$14,$AS1166,0)=BF$6),$AV1166,dNULL)</f>
        <v>-99</v>
      </c>
      <c r="BG1166">
        <f ca="1">IF(AND($AT1166&lt;3,OFFSET(DATA!$C$14,$AS1166,0)=BG$6),$AV1166,dNULL)</f>
        <v>-99</v>
      </c>
      <c r="BH1166">
        <f ca="1">IF(AND($AT1166&lt;3,OFFSET(DATA!$C$14,$AS1166,0)=BH$6),$AV1166,dNULL)</f>
        <v>-99</v>
      </c>
    </row>
    <row r="1167" spans="45:60" x14ac:dyDescent="0.25">
      <c r="AS1167">
        <f t="shared" si="160"/>
        <v>81</v>
      </c>
      <c r="AT1167">
        <f t="shared" si="161"/>
        <v>12</v>
      </c>
      <c r="AU1167">
        <f t="shared" ca="1" si="162"/>
        <v>-99</v>
      </c>
      <c r="AV1167">
        <f t="shared" ca="1" si="163"/>
        <v>-99</v>
      </c>
      <c r="AW1167">
        <f ca="1">IF(AND($AT1167&lt;3,OFFSET(DATA!$C$14,$AS1167,0)=AW$6),$AV1167,dNULL)</f>
        <v>-99</v>
      </c>
      <c r="AX1167">
        <f ca="1">IF(AND($AT1167&lt;3,OFFSET(DATA!$C$14,$AS1167,0)=AX$6),$AV1167,dNULL)</f>
        <v>-99</v>
      </c>
      <c r="AY1167">
        <f ca="1">IF(AND($AT1167&lt;3,OFFSET(DATA!$C$14,$AS1167,0)=AY$6),$AV1167,dNULL)</f>
        <v>-99</v>
      </c>
      <c r="AZ1167">
        <f ca="1">IF(AND($AT1167&lt;3,OFFSET(DATA!$C$14,$AS1167,0)=AZ$6),$AV1167,dNULL)</f>
        <v>-99</v>
      </c>
      <c r="BA1167">
        <f ca="1">IF(AND($AT1167&lt;3,OFFSET(DATA!$C$14,$AS1167,0)=BA$6),$AV1167,dNULL)</f>
        <v>-99</v>
      </c>
      <c r="BB1167">
        <f ca="1">IF(AND($AT1167&lt;3,OFFSET(DATA!$C$14,$AS1167,0)=BB$6),$AV1167,dNULL)</f>
        <v>-99</v>
      </c>
      <c r="BC1167">
        <f ca="1">IF(AND($AT1167&lt;3,OFFSET(DATA!$C$14,$AS1167,0)=BC$6),$AV1167,dNULL)</f>
        <v>-99</v>
      </c>
      <c r="BD1167">
        <f ca="1">IF(AND($AT1167&lt;3,OFFSET(DATA!$C$14,$AS1167,0)=BD$6),$AV1167,dNULL)</f>
        <v>-99</v>
      </c>
      <c r="BE1167">
        <f ca="1">IF(AND($AT1167&lt;3,OFFSET(DATA!$C$14,$AS1167,0)=BE$6),$AV1167,dNULL)</f>
        <v>-99</v>
      </c>
      <c r="BF1167">
        <f ca="1">IF(AND($AT1167&lt;3,OFFSET(DATA!$C$14,$AS1167,0)=BF$6),$AV1167,dNULL)</f>
        <v>-99</v>
      </c>
      <c r="BG1167">
        <f ca="1">IF(AND($AT1167&lt;3,OFFSET(DATA!$C$14,$AS1167,0)=BG$6),$AV1167,dNULL)</f>
        <v>-99</v>
      </c>
      <c r="BH1167">
        <f ca="1">IF(AND($AT1167&lt;3,OFFSET(DATA!$C$14,$AS1167,0)=BH$6),$AV1167,dNULL)</f>
        <v>-99</v>
      </c>
    </row>
    <row r="1168" spans="45:60" x14ac:dyDescent="0.25">
      <c r="AS1168">
        <f t="shared" si="160"/>
        <v>82</v>
      </c>
      <c r="AT1168">
        <f t="shared" si="161"/>
        <v>12</v>
      </c>
      <c r="AU1168">
        <f t="shared" ca="1" si="162"/>
        <v>-99</v>
      </c>
      <c r="AV1168">
        <f t="shared" ca="1" si="163"/>
        <v>-99</v>
      </c>
      <c r="AW1168">
        <f ca="1">IF(AND($AT1168&lt;3,OFFSET(DATA!$C$14,$AS1168,0)=AW$6),$AV1168,dNULL)</f>
        <v>-99</v>
      </c>
      <c r="AX1168">
        <f ca="1">IF(AND($AT1168&lt;3,OFFSET(DATA!$C$14,$AS1168,0)=AX$6),$AV1168,dNULL)</f>
        <v>-99</v>
      </c>
      <c r="AY1168">
        <f ca="1">IF(AND($AT1168&lt;3,OFFSET(DATA!$C$14,$AS1168,0)=AY$6),$AV1168,dNULL)</f>
        <v>-99</v>
      </c>
      <c r="AZ1168">
        <f ca="1">IF(AND($AT1168&lt;3,OFFSET(DATA!$C$14,$AS1168,0)=AZ$6),$AV1168,dNULL)</f>
        <v>-99</v>
      </c>
      <c r="BA1168">
        <f ca="1">IF(AND($AT1168&lt;3,OFFSET(DATA!$C$14,$AS1168,0)=BA$6),$AV1168,dNULL)</f>
        <v>-99</v>
      </c>
      <c r="BB1168">
        <f ca="1">IF(AND($AT1168&lt;3,OFFSET(DATA!$C$14,$AS1168,0)=BB$6),$AV1168,dNULL)</f>
        <v>-99</v>
      </c>
      <c r="BC1168">
        <f ca="1">IF(AND($AT1168&lt;3,OFFSET(DATA!$C$14,$AS1168,0)=BC$6),$AV1168,dNULL)</f>
        <v>-99</v>
      </c>
      <c r="BD1168">
        <f ca="1">IF(AND($AT1168&lt;3,OFFSET(DATA!$C$14,$AS1168,0)=BD$6),$AV1168,dNULL)</f>
        <v>-99</v>
      </c>
      <c r="BE1168">
        <f ca="1">IF(AND($AT1168&lt;3,OFFSET(DATA!$C$14,$AS1168,0)=BE$6),$AV1168,dNULL)</f>
        <v>-99</v>
      </c>
      <c r="BF1168">
        <f ca="1">IF(AND($AT1168&lt;3,OFFSET(DATA!$C$14,$AS1168,0)=BF$6),$AV1168,dNULL)</f>
        <v>-99</v>
      </c>
      <c r="BG1168">
        <f ca="1">IF(AND($AT1168&lt;3,OFFSET(DATA!$C$14,$AS1168,0)=BG$6),$AV1168,dNULL)</f>
        <v>-99</v>
      </c>
      <c r="BH1168">
        <f ca="1">IF(AND($AT1168&lt;3,OFFSET(DATA!$C$14,$AS1168,0)=BH$6),$AV1168,dNULL)</f>
        <v>-99</v>
      </c>
    </row>
    <row r="1169" spans="45:60" x14ac:dyDescent="0.25">
      <c r="AS1169">
        <f t="shared" si="160"/>
        <v>83</v>
      </c>
      <c r="AT1169">
        <f t="shared" si="161"/>
        <v>12</v>
      </c>
      <c r="AU1169">
        <f t="shared" ca="1" si="162"/>
        <v>-99</v>
      </c>
      <c r="AV1169">
        <f t="shared" ca="1" si="163"/>
        <v>-99</v>
      </c>
      <c r="AW1169">
        <f ca="1">IF(AND($AT1169&lt;3,OFFSET(DATA!$C$14,$AS1169,0)=AW$6),$AV1169,dNULL)</f>
        <v>-99</v>
      </c>
      <c r="AX1169">
        <f ca="1">IF(AND($AT1169&lt;3,OFFSET(DATA!$C$14,$AS1169,0)=AX$6),$AV1169,dNULL)</f>
        <v>-99</v>
      </c>
      <c r="AY1169">
        <f ca="1">IF(AND($AT1169&lt;3,OFFSET(DATA!$C$14,$AS1169,0)=AY$6),$AV1169,dNULL)</f>
        <v>-99</v>
      </c>
      <c r="AZ1169">
        <f ca="1">IF(AND($AT1169&lt;3,OFFSET(DATA!$C$14,$AS1169,0)=AZ$6),$AV1169,dNULL)</f>
        <v>-99</v>
      </c>
      <c r="BA1169">
        <f ca="1">IF(AND($AT1169&lt;3,OFFSET(DATA!$C$14,$AS1169,0)=BA$6),$AV1169,dNULL)</f>
        <v>-99</v>
      </c>
      <c r="BB1169">
        <f ca="1">IF(AND($AT1169&lt;3,OFFSET(DATA!$C$14,$AS1169,0)=BB$6),$AV1169,dNULL)</f>
        <v>-99</v>
      </c>
      <c r="BC1169">
        <f ca="1">IF(AND($AT1169&lt;3,OFFSET(DATA!$C$14,$AS1169,0)=BC$6),$AV1169,dNULL)</f>
        <v>-99</v>
      </c>
      <c r="BD1169">
        <f ca="1">IF(AND($AT1169&lt;3,OFFSET(DATA!$C$14,$AS1169,0)=BD$6),$AV1169,dNULL)</f>
        <v>-99</v>
      </c>
      <c r="BE1169">
        <f ca="1">IF(AND($AT1169&lt;3,OFFSET(DATA!$C$14,$AS1169,0)=BE$6),$AV1169,dNULL)</f>
        <v>-99</v>
      </c>
      <c r="BF1169">
        <f ca="1">IF(AND($AT1169&lt;3,OFFSET(DATA!$C$14,$AS1169,0)=BF$6),$AV1169,dNULL)</f>
        <v>-99</v>
      </c>
      <c r="BG1169">
        <f ca="1">IF(AND($AT1169&lt;3,OFFSET(DATA!$C$14,$AS1169,0)=BG$6),$AV1169,dNULL)</f>
        <v>-99</v>
      </c>
      <c r="BH1169">
        <f ca="1">IF(AND($AT1169&lt;3,OFFSET(DATA!$C$14,$AS1169,0)=BH$6),$AV1169,dNULL)</f>
        <v>-99</v>
      </c>
    </row>
    <row r="1170" spans="45:60" x14ac:dyDescent="0.25">
      <c r="AS1170">
        <f t="shared" si="160"/>
        <v>84</v>
      </c>
      <c r="AT1170">
        <f t="shared" si="161"/>
        <v>12</v>
      </c>
      <c r="AU1170">
        <f t="shared" ca="1" si="162"/>
        <v>-99</v>
      </c>
      <c r="AV1170">
        <f t="shared" ca="1" si="163"/>
        <v>-99</v>
      </c>
      <c r="AW1170">
        <f ca="1">IF(AND($AT1170&lt;3,OFFSET(DATA!$C$14,$AS1170,0)=AW$6),$AV1170,dNULL)</f>
        <v>-99</v>
      </c>
      <c r="AX1170">
        <f ca="1">IF(AND($AT1170&lt;3,OFFSET(DATA!$C$14,$AS1170,0)=AX$6),$AV1170,dNULL)</f>
        <v>-99</v>
      </c>
      <c r="AY1170">
        <f ca="1">IF(AND($AT1170&lt;3,OFFSET(DATA!$C$14,$AS1170,0)=AY$6),$AV1170,dNULL)</f>
        <v>-99</v>
      </c>
      <c r="AZ1170">
        <f ca="1">IF(AND($AT1170&lt;3,OFFSET(DATA!$C$14,$AS1170,0)=AZ$6),$AV1170,dNULL)</f>
        <v>-99</v>
      </c>
      <c r="BA1170">
        <f ca="1">IF(AND($AT1170&lt;3,OFFSET(DATA!$C$14,$AS1170,0)=BA$6),$AV1170,dNULL)</f>
        <v>-99</v>
      </c>
      <c r="BB1170">
        <f ca="1">IF(AND($AT1170&lt;3,OFFSET(DATA!$C$14,$AS1170,0)=BB$6),$AV1170,dNULL)</f>
        <v>-99</v>
      </c>
      <c r="BC1170">
        <f ca="1">IF(AND($AT1170&lt;3,OFFSET(DATA!$C$14,$AS1170,0)=BC$6),$AV1170,dNULL)</f>
        <v>-99</v>
      </c>
      <c r="BD1170">
        <f ca="1">IF(AND($AT1170&lt;3,OFFSET(DATA!$C$14,$AS1170,0)=BD$6),$AV1170,dNULL)</f>
        <v>-99</v>
      </c>
      <c r="BE1170">
        <f ca="1">IF(AND($AT1170&lt;3,OFFSET(DATA!$C$14,$AS1170,0)=BE$6),$AV1170,dNULL)</f>
        <v>-99</v>
      </c>
      <c r="BF1170">
        <f ca="1">IF(AND($AT1170&lt;3,OFFSET(DATA!$C$14,$AS1170,0)=BF$6),$AV1170,dNULL)</f>
        <v>-99</v>
      </c>
      <c r="BG1170">
        <f ca="1">IF(AND($AT1170&lt;3,OFFSET(DATA!$C$14,$AS1170,0)=BG$6),$AV1170,dNULL)</f>
        <v>-99</v>
      </c>
      <c r="BH1170">
        <f ca="1">IF(AND($AT1170&lt;3,OFFSET(DATA!$C$14,$AS1170,0)=BH$6),$AV1170,dNULL)</f>
        <v>-99</v>
      </c>
    </row>
    <row r="1171" spans="45:60" x14ac:dyDescent="0.25">
      <c r="AS1171">
        <f t="shared" si="160"/>
        <v>85</v>
      </c>
      <c r="AT1171">
        <f t="shared" si="161"/>
        <v>12</v>
      </c>
      <c r="AU1171">
        <f t="shared" ca="1" si="162"/>
        <v>-99</v>
      </c>
      <c r="AV1171">
        <f t="shared" ca="1" si="163"/>
        <v>-99</v>
      </c>
      <c r="AW1171">
        <f ca="1">IF(AND($AT1171&lt;3,OFFSET(DATA!$C$14,$AS1171,0)=AW$6),$AV1171,dNULL)</f>
        <v>-99</v>
      </c>
      <c r="AX1171">
        <f ca="1">IF(AND($AT1171&lt;3,OFFSET(DATA!$C$14,$AS1171,0)=AX$6),$AV1171,dNULL)</f>
        <v>-99</v>
      </c>
      <c r="AY1171">
        <f ca="1">IF(AND($AT1171&lt;3,OFFSET(DATA!$C$14,$AS1171,0)=AY$6),$AV1171,dNULL)</f>
        <v>-99</v>
      </c>
      <c r="AZ1171">
        <f ca="1">IF(AND($AT1171&lt;3,OFFSET(DATA!$C$14,$AS1171,0)=AZ$6),$AV1171,dNULL)</f>
        <v>-99</v>
      </c>
      <c r="BA1171">
        <f ca="1">IF(AND($AT1171&lt;3,OFFSET(DATA!$C$14,$AS1171,0)=BA$6),$AV1171,dNULL)</f>
        <v>-99</v>
      </c>
      <c r="BB1171">
        <f ca="1">IF(AND($AT1171&lt;3,OFFSET(DATA!$C$14,$AS1171,0)=BB$6),$AV1171,dNULL)</f>
        <v>-99</v>
      </c>
      <c r="BC1171">
        <f ca="1">IF(AND($AT1171&lt;3,OFFSET(DATA!$C$14,$AS1171,0)=BC$6),$AV1171,dNULL)</f>
        <v>-99</v>
      </c>
      <c r="BD1171">
        <f ca="1">IF(AND($AT1171&lt;3,OFFSET(DATA!$C$14,$AS1171,0)=BD$6),$AV1171,dNULL)</f>
        <v>-99</v>
      </c>
      <c r="BE1171">
        <f ca="1">IF(AND($AT1171&lt;3,OFFSET(DATA!$C$14,$AS1171,0)=BE$6),$AV1171,dNULL)</f>
        <v>-99</v>
      </c>
      <c r="BF1171">
        <f ca="1">IF(AND($AT1171&lt;3,OFFSET(DATA!$C$14,$AS1171,0)=BF$6),$AV1171,dNULL)</f>
        <v>-99</v>
      </c>
      <c r="BG1171">
        <f ca="1">IF(AND($AT1171&lt;3,OFFSET(DATA!$C$14,$AS1171,0)=BG$6),$AV1171,dNULL)</f>
        <v>-99</v>
      </c>
      <c r="BH1171">
        <f ca="1">IF(AND($AT1171&lt;3,OFFSET(DATA!$C$14,$AS1171,0)=BH$6),$AV1171,dNULL)</f>
        <v>-99</v>
      </c>
    </row>
    <row r="1172" spans="45:60" x14ac:dyDescent="0.25">
      <c r="AS1172">
        <f t="shared" si="160"/>
        <v>86</v>
      </c>
      <c r="AT1172">
        <f t="shared" si="161"/>
        <v>12</v>
      </c>
      <c r="AU1172">
        <f t="shared" ca="1" si="162"/>
        <v>-99</v>
      </c>
      <c r="AV1172">
        <f t="shared" ca="1" si="163"/>
        <v>-99</v>
      </c>
      <c r="AW1172">
        <f ca="1">IF(AND($AT1172&lt;3,OFFSET(DATA!$C$14,$AS1172,0)=AW$6),$AV1172,dNULL)</f>
        <v>-99</v>
      </c>
      <c r="AX1172">
        <f ca="1">IF(AND($AT1172&lt;3,OFFSET(DATA!$C$14,$AS1172,0)=AX$6),$AV1172,dNULL)</f>
        <v>-99</v>
      </c>
      <c r="AY1172">
        <f ca="1">IF(AND($AT1172&lt;3,OFFSET(DATA!$C$14,$AS1172,0)=AY$6),$AV1172,dNULL)</f>
        <v>-99</v>
      </c>
      <c r="AZ1172">
        <f ca="1">IF(AND($AT1172&lt;3,OFFSET(DATA!$C$14,$AS1172,0)=AZ$6),$AV1172,dNULL)</f>
        <v>-99</v>
      </c>
      <c r="BA1172">
        <f ca="1">IF(AND($AT1172&lt;3,OFFSET(DATA!$C$14,$AS1172,0)=BA$6),$AV1172,dNULL)</f>
        <v>-99</v>
      </c>
      <c r="BB1172">
        <f ca="1">IF(AND($AT1172&lt;3,OFFSET(DATA!$C$14,$AS1172,0)=BB$6),$AV1172,dNULL)</f>
        <v>-99</v>
      </c>
      <c r="BC1172">
        <f ca="1">IF(AND($AT1172&lt;3,OFFSET(DATA!$C$14,$AS1172,0)=BC$6),$AV1172,dNULL)</f>
        <v>-99</v>
      </c>
      <c r="BD1172">
        <f ca="1">IF(AND($AT1172&lt;3,OFFSET(DATA!$C$14,$AS1172,0)=BD$6),$AV1172,dNULL)</f>
        <v>-99</v>
      </c>
      <c r="BE1172">
        <f ca="1">IF(AND($AT1172&lt;3,OFFSET(DATA!$C$14,$AS1172,0)=BE$6),$AV1172,dNULL)</f>
        <v>-99</v>
      </c>
      <c r="BF1172">
        <f ca="1">IF(AND($AT1172&lt;3,OFFSET(DATA!$C$14,$AS1172,0)=BF$6),$AV1172,dNULL)</f>
        <v>-99</v>
      </c>
      <c r="BG1172">
        <f ca="1">IF(AND($AT1172&lt;3,OFFSET(DATA!$C$14,$AS1172,0)=BG$6),$AV1172,dNULL)</f>
        <v>-99</v>
      </c>
      <c r="BH1172">
        <f ca="1">IF(AND($AT1172&lt;3,OFFSET(DATA!$C$14,$AS1172,0)=BH$6),$AV1172,dNULL)</f>
        <v>-99</v>
      </c>
    </row>
    <row r="1173" spans="45:60" x14ac:dyDescent="0.25">
      <c r="AS1173">
        <f t="shared" si="160"/>
        <v>87</v>
      </c>
      <c r="AT1173">
        <f t="shared" si="161"/>
        <v>12</v>
      </c>
      <c r="AU1173">
        <f t="shared" ca="1" si="162"/>
        <v>-99</v>
      </c>
      <c r="AV1173">
        <f t="shared" ca="1" si="163"/>
        <v>-99</v>
      </c>
      <c r="AW1173">
        <f ca="1">IF(AND($AT1173&lt;3,OFFSET(DATA!$C$14,$AS1173,0)=AW$6),$AV1173,dNULL)</f>
        <v>-99</v>
      </c>
      <c r="AX1173">
        <f ca="1">IF(AND($AT1173&lt;3,OFFSET(DATA!$C$14,$AS1173,0)=AX$6),$AV1173,dNULL)</f>
        <v>-99</v>
      </c>
      <c r="AY1173">
        <f ca="1">IF(AND($AT1173&lt;3,OFFSET(DATA!$C$14,$AS1173,0)=AY$6),$AV1173,dNULL)</f>
        <v>-99</v>
      </c>
      <c r="AZ1173">
        <f ca="1">IF(AND($AT1173&lt;3,OFFSET(DATA!$C$14,$AS1173,0)=AZ$6),$AV1173,dNULL)</f>
        <v>-99</v>
      </c>
      <c r="BA1173">
        <f ca="1">IF(AND($AT1173&lt;3,OFFSET(DATA!$C$14,$AS1173,0)=BA$6),$AV1173,dNULL)</f>
        <v>-99</v>
      </c>
      <c r="BB1173">
        <f ca="1">IF(AND($AT1173&lt;3,OFFSET(DATA!$C$14,$AS1173,0)=BB$6),$AV1173,dNULL)</f>
        <v>-99</v>
      </c>
      <c r="BC1173">
        <f ca="1">IF(AND($AT1173&lt;3,OFFSET(DATA!$C$14,$AS1173,0)=BC$6),$AV1173,dNULL)</f>
        <v>-99</v>
      </c>
      <c r="BD1173">
        <f ca="1">IF(AND($AT1173&lt;3,OFFSET(DATA!$C$14,$AS1173,0)=BD$6),$AV1173,dNULL)</f>
        <v>-99</v>
      </c>
      <c r="BE1173">
        <f ca="1">IF(AND($AT1173&lt;3,OFFSET(DATA!$C$14,$AS1173,0)=BE$6),$AV1173,dNULL)</f>
        <v>-99</v>
      </c>
      <c r="BF1173">
        <f ca="1">IF(AND($AT1173&lt;3,OFFSET(DATA!$C$14,$AS1173,0)=BF$6),$AV1173,dNULL)</f>
        <v>-99</v>
      </c>
      <c r="BG1173">
        <f ca="1">IF(AND($AT1173&lt;3,OFFSET(DATA!$C$14,$AS1173,0)=BG$6),$AV1173,dNULL)</f>
        <v>-99</v>
      </c>
      <c r="BH1173">
        <f ca="1">IF(AND($AT1173&lt;3,OFFSET(DATA!$C$14,$AS1173,0)=BH$6),$AV1173,dNULL)</f>
        <v>-99</v>
      </c>
    </row>
    <row r="1174" spans="45:60" x14ac:dyDescent="0.25">
      <c r="AS1174">
        <f t="shared" si="160"/>
        <v>88</v>
      </c>
      <c r="AT1174">
        <f t="shared" si="161"/>
        <v>12</v>
      </c>
      <c r="AU1174">
        <f t="shared" ca="1" si="162"/>
        <v>-99</v>
      </c>
      <c r="AV1174">
        <f t="shared" ca="1" si="163"/>
        <v>-99</v>
      </c>
      <c r="AW1174">
        <f ca="1">IF(AND($AT1174&lt;3,OFFSET(DATA!$C$14,$AS1174,0)=AW$6),$AV1174,dNULL)</f>
        <v>-99</v>
      </c>
      <c r="AX1174">
        <f ca="1">IF(AND($AT1174&lt;3,OFFSET(DATA!$C$14,$AS1174,0)=AX$6),$AV1174,dNULL)</f>
        <v>-99</v>
      </c>
      <c r="AY1174">
        <f ca="1">IF(AND($AT1174&lt;3,OFFSET(DATA!$C$14,$AS1174,0)=AY$6),$AV1174,dNULL)</f>
        <v>-99</v>
      </c>
      <c r="AZ1174">
        <f ca="1">IF(AND($AT1174&lt;3,OFFSET(DATA!$C$14,$AS1174,0)=AZ$6),$AV1174,dNULL)</f>
        <v>-99</v>
      </c>
      <c r="BA1174">
        <f ca="1">IF(AND($AT1174&lt;3,OFFSET(DATA!$C$14,$AS1174,0)=BA$6),$AV1174,dNULL)</f>
        <v>-99</v>
      </c>
      <c r="BB1174">
        <f ca="1">IF(AND($AT1174&lt;3,OFFSET(DATA!$C$14,$AS1174,0)=BB$6),$AV1174,dNULL)</f>
        <v>-99</v>
      </c>
      <c r="BC1174">
        <f ca="1">IF(AND($AT1174&lt;3,OFFSET(DATA!$C$14,$AS1174,0)=BC$6),$AV1174,dNULL)</f>
        <v>-99</v>
      </c>
      <c r="BD1174">
        <f ca="1">IF(AND($AT1174&lt;3,OFFSET(DATA!$C$14,$AS1174,0)=BD$6),$AV1174,dNULL)</f>
        <v>-99</v>
      </c>
      <c r="BE1174">
        <f ca="1">IF(AND($AT1174&lt;3,OFFSET(DATA!$C$14,$AS1174,0)=BE$6),$AV1174,dNULL)</f>
        <v>-99</v>
      </c>
      <c r="BF1174">
        <f ca="1">IF(AND($AT1174&lt;3,OFFSET(DATA!$C$14,$AS1174,0)=BF$6),$AV1174,dNULL)</f>
        <v>-99</v>
      </c>
      <c r="BG1174">
        <f ca="1">IF(AND($AT1174&lt;3,OFFSET(DATA!$C$14,$AS1174,0)=BG$6),$AV1174,dNULL)</f>
        <v>-99</v>
      </c>
      <c r="BH1174">
        <f ca="1">IF(AND($AT1174&lt;3,OFFSET(DATA!$C$14,$AS1174,0)=BH$6),$AV1174,dNULL)</f>
        <v>-99</v>
      </c>
    </row>
    <row r="1175" spans="45:60" x14ac:dyDescent="0.25">
      <c r="AS1175">
        <f t="shared" si="160"/>
        <v>89</v>
      </c>
      <c r="AT1175">
        <f t="shared" si="161"/>
        <v>12</v>
      </c>
      <c r="AU1175">
        <f t="shared" ca="1" si="162"/>
        <v>-99</v>
      </c>
      <c r="AV1175">
        <f t="shared" ca="1" si="163"/>
        <v>-99</v>
      </c>
      <c r="AW1175">
        <f ca="1">IF(AND($AT1175&lt;3,OFFSET(DATA!$C$14,$AS1175,0)=AW$6),$AV1175,dNULL)</f>
        <v>-99</v>
      </c>
      <c r="AX1175">
        <f ca="1">IF(AND($AT1175&lt;3,OFFSET(DATA!$C$14,$AS1175,0)=AX$6),$AV1175,dNULL)</f>
        <v>-99</v>
      </c>
      <c r="AY1175">
        <f ca="1">IF(AND($AT1175&lt;3,OFFSET(DATA!$C$14,$AS1175,0)=AY$6),$AV1175,dNULL)</f>
        <v>-99</v>
      </c>
      <c r="AZ1175">
        <f ca="1">IF(AND($AT1175&lt;3,OFFSET(DATA!$C$14,$AS1175,0)=AZ$6),$AV1175,dNULL)</f>
        <v>-99</v>
      </c>
      <c r="BA1175">
        <f ca="1">IF(AND($AT1175&lt;3,OFFSET(DATA!$C$14,$AS1175,0)=BA$6),$AV1175,dNULL)</f>
        <v>-99</v>
      </c>
      <c r="BB1175">
        <f ca="1">IF(AND($AT1175&lt;3,OFFSET(DATA!$C$14,$AS1175,0)=BB$6),$AV1175,dNULL)</f>
        <v>-99</v>
      </c>
      <c r="BC1175">
        <f ca="1">IF(AND($AT1175&lt;3,OFFSET(DATA!$C$14,$AS1175,0)=BC$6),$AV1175,dNULL)</f>
        <v>-99</v>
      </c>
      <c r="BD1175">
        <f ca="1">IF(AND($AT1175&lt;3,OFFSET(DATA!$C$14,$AS1175,0)=BD$6),$AV1175,dNULL)</f>
        <v>-99</v>
      </c>
      <c r="BE1175">
        <f ca="1">IF(AND($AT1175&lt;3,OFFSET(DATA!$C$14,$AS1175,0)=BE$6),$AV1175,dNULL)</f>
        <v>-99</v>
      </c>
      <c r="BF1175">
        <f ca="1">IF(AND($AT1175&lt;3,OFFSET(DATA!$C$14,$AS1175,0)=BF$6),$AV1175,dNULL)</f>
        <v>-99</v>
      </c>
      <c r="BG1175">
        <f ca="1">IF(AND($AT1175&lt;3,OFFSET(DATA!$C$14,$AS1175,0)=BG$6),$AV1175,dNULL)</f>
        <v>-99</v>
      </c>
      <c r="BH1175">
        <f ca="1">IF(AND($AT1175&lt;3,OFFSET(DATA!$C$14,$AS1175,0)=BH$6),$AV1175,dNULL)</f>
        <v>-99</v>
      </c>
    </row>
    <row r="1176" spans="45:60" x14ac:dyDescent="0.25">
      <c r="AS1176">
        <f t="shared" si="160"/>
        <v>90</v>
      </c>
      <c r="AT1176">
        <f t="shared" si="161"/>
        <v>12</v>
      </c>
      <c r="AU1176">
        <f t="shared" ca="1" si="162"/>
        <v>-99</v>
      </c>
      <c r="AV1176">
        <f t="shared" ca="1" si="163"/>
        <v>-99</v>
      </c>
      <c r="AW1176">
        <f ca="1">IF(AND($AT1176&lt;3,OFFSET(DATA!$C$14,$AS1176,0)=AW$6),$AV1176,dNULL)</f>
        <v>-99</v>
      </c>
      <c r="AX1176">
        <f ca="1">IF(AND($AT1176&lt;3,OFFSET(DATA!$C$14,$AS1176,0)=AX$6),$AV1176,dNULL)</f>
        <v>-99</v>
      </c>
      <c r="AY1176">
        <f ca="1">IF(AND($AT1176&lt;3,OFFSET(DATA!$C$14,$AS1176,0)=AY$6),$AV1176,dNULL)</f>
        <v>-99</v>
      </c>
      <c r="AZ1176">
        <f ca="1">IF(AND($AT1176&lt;3,OFFSET(DATA!$C$14,$AS1176,0)=AZ$6),$AV1176,dNULL)</f>
        <v>-99</v>
      </c>
      <c r="BA1176">
        <f ca="1">IF(AND($AT1176&lt;3,OFFSET(DATA!$C$14,$AS1176,0)=BA$6),$AV1176,dNULL)</f>
        <v>-99</v>
      </c>
      <c r="BB1176">
        <f ca="1">IF(AND($AT1176&lt;3,OFFSET(DATA!$C$14,$AS1176,0)=BB$6),$AV1176,dNULL)</f>
        <v>-99</v>
      </c>
      <c r="BC1176">
        <f ca="1">IF(AND($AT1176&lt;3,OFFSET(DATA!$C$14,$AS1176,0)=BC$6),$AV1176,dNULL)</f>
        <v>-99</v>
      </c>
      <c r="BD1176">
        <f ca="1">IF(AND($AT1176&lt;3,OFFSET(DATA!$C$14,$AS1176,0)=BD$6),$AV1176,dNULL)</f>
        <v>-99</v>
      </c>
      <c r="BE1176">
        <f ca="1">IF(AND($AT1176&lt;3,OFFSET(DATA!$C$14,$AS1176,0)=BE$6),$AV1176,dNULL)</f>
        <v>-99</v>
      </c>
      <c r="BF1176">
        <f ca="1">IF(AND($AT1176&lt;3,OFFSET(DATA!$C$14,$AS1176,0)=BF$6),$AV1176,dNULL)</f>
        <v>-99</v>
      </c>
      <c r="BG1176">
        <f ca="1">IF(AND($AT1176&lt;3,OFFSET(DATA!$C$14,$AS1176,0)=BG$6),$AV1176,dNULL)</f>
        <v>-99</v>
      </c>
      <c r="BH1176">
        <f ca="1">IF(AND($AT1176&lt;3,OFFSET(DATA!$C$14,$AS1176,0)=BH$6),$AV1176,dNULL)</f>
        <v>-99</v>
      </c>
    </row>
    <row r="1177" spans="45:60" x14ac:dyDescent="0.25">
      <c r="AS1177">
        <f t="shared" si="160"/>
        <v>1</v>
      </c>
      <c r="AT1177">
        <f t="shared" si="161"/>
        <v>13</v>
      </c>
      <c r="AU1177">
        <f t="shared" ca="1" si="162"/>
        <v>-99</v>
      </c>
      <c r="AV1177">
        <f t="shared" ca="1" si="163"/>
        <v>-99</v>
      </c>
      <c r="AW1177">
        <f ca="1">IF(AND($AT1177&lt;3,OFFSET(DATA!$C$14,$AS1177,0)=AW$6),$AV1177,dNULL)</f>
        <v>-99</v>
      </c>
      <c r="AX1177">
        <f ca="1">IF(AND($AT1177&lt;3,OFFSET(DATA!$C$14,$AS1177,0)=AX$6),$AV1177,dNULL)</f>
        <v>-99</v>
      </c>
      <c r="AY1177">
        <f ca="1">IF(AND($AT1177&lt;3,OFFSET(DATA!$C$14,$AS1177,0)=AY$6),$AV1177,dNULL)</f>
        <v>-99</v>
      </c>
      <c r="AZ1177">
        <f ca="1">IF(AND($AT1177&lt;3,OFFSET(DATA!$C$14,$AS1177,0)=AZ$6),$AV1177,dNULL)</f>
        <v>-99</v>
      </c>
      <c r="BA1177">
        <f ca="1">IF(AND($AT1177&lt;3,OFFSET(DATA!$C$14,$AS1177,0)=BA$6),$AV1177,dNULL)</f>
        <v>-99</v>
      </c>
      <c r="BB1177">
        <f ca="1">IF(AND($AT1177&lt;3,OFFSET(DATA!$C$14,$AS1177,0)=BB$6),$AV1177,dNULL)</f>
        <v>-99</v>
      </c>
      <c r="BC1177">
        <f ca="1">IF(AND($AT1177&lt;3,OFFSET(DATA!$C$14,$AS1177,0)=BC$6),$AV1177,dNULL)</f>
        <v>-99</v>
      </c>
      <c r="BD1177">
        <f ca="1">IF(AND($AT1177&lt;3,OFFSET(DATA!$C$14,$AS1177,0)=BD$6),$AV1177,dNULL)</f>
        <v>-99</v>
      </c>
      <c r="BE1177">
        <f ca="1">IF(AND($AT1177&lt;3,OFFSET(DATA!$C$14,$AS1177,0)=BE$6),$AV1177,dNULL)</f>
        <v>-99</v>
      </c>
      <c r="BF1177">
        <f ca="1">IF(AND($AT1177&lt;3,OFFSET(DATA!$C$14,$AS1177,0)=BF$6),$AV1177,dNULL)</f>
        <v>-99</v>
      </c>
      <c r="BG1177">
        <f ca="1">IF(AND($AT1177&lt;3,OFFSET(DATA!$C$14,$AS1177,0)=BG$6),$AV1177,dNULL)</f>
        <v>-99</v>
      </c>
      <c r="BH1177">
        <f ca="1">IF(AND($AT1177&lt;3,OFFSET(DATA!$C$14,$AS1177,0)=BH$6),$AV1177,dNULL)</f>
        <v>-99</v>
      </c>
    </row>
    <row r="1178" spans="45:60" x14ac:dyDescent="0.25">
      <c r="AS1178">
        <f t="shared" si="160"/>
        <v>2</v>
      </c>
      <c r="AT1178">
        <f t="shared" si="161"/>
        <v>13</v>
      </c>
      <c r="AU1178">
        <f t="shared" ca="1" si="162"/>
        <v>-99</v>
      </c>
      <c r="AV1178">
        <f t="shared" ca="1" si="163"/>
        <v>-99</v>
      </c>
      <c r="AW1178">
        <f ca="1">IF(AND($AT1178&lt;3,OFFSET(DATA!$C$14,$AS1178,0)=AW$6),$AV1178,dNULL)</f>
        <v>-99</v>
      </c>
      <c r="AX1178">
        <f ca="1">IF(AND($AT1178&lt;3,OFFSET(DATA!$C$14,$AS1178,0)=AX$6),$AV1178,dNULL)</f>
        <v>-99</v>
      </c>
      <c r="AY1178">
        <f ca="1">IF(AND($AT1178&lt;3,OFFSET(DATA!$C$14,$AS1178,0)=AY$6),$AV1178,dNULL)</f>
        <v>-99</v>
      </c>
      <c r="AZ1178">
        <f ca="1">IF(AND($AT1178&lt;3,OFFSET(DATA!$C$14,$AS1178,0)=AZ$6),$AV1178,dNULL)</f>
        <v>-99</v>
      </c>
      <c r="BA1178">
        <f ca="1">IF(AND($AT1178&lt;3,OFFSET(DATA!$C$14,$AS1178,0)=BA$6),$AV1178,dNULL)</f>
        <v>-99</v>
      </c>
      <c r="BB1178">
        <f ca="1">IF(AND($AT1178&lt;3,OFFSET(DATA!$C$14,$AS1178,0)=BB$6),$AV1178,dNULL)</f>
        <v>-99</v>
      </c>
      <c r="BC1178">
        <f ca="1">IF(AND($AT1178&lt;3,OFFSET(DATA!$C$14,$AS1178,0)=BC$6),$AV1178,dNULL)</f>
        <v>-99</v>
      </c>
      <c r="BD1178">
        <f ca="1">IF(AND($AT1178&lt;3,OFFSET(DATA!$C$14,$AS1178,0)=BD$6),$AV1178,dNULL)</f>
        <v>-99</v>
      </c>
      <c r="BE1178">
        <f ca="1">IF(AND($AT1178&lt;3,OFFSET(DATA!$C$14,$AS1178,0)=BE$6),$AV1178,dNULL)</f>
        <v>-99</v>
      </c>
      <c r="BF1178">
        <f ca="1">IF(AND($AT1178&lt;3,OFFSET(DATA!$C$14,$AS1178,0)=BF$6),$AV1178,dNULL)</f>
        <v>-99</v>
      </c>
      <c r="BG1178">
        <f ca="1">IF(AND($AT1178&lt;3,OFFSET(DATA!$C$14,$AS1178,0)=BG$6),$AV1178,dNULL)</f>
        <v>-99</v>
      </c>
      <c r="BH1178">
        <f ca="1">IF(AND($AT1178&lt;3,OFFSET(DATA!$C$14,$AS1178,0)=BH$6),$AV1178,dNULL)</f>
        <v>-99</v>
      </c>
    </row>
    <row r="1179" spans="45:60" x14ac:dyDescent="0.25">
      <c r="AS1179">
        <f t="shared" si="160"/>
        <v>3</v>
      </c>
      <c r="AT1179">
        <f t="shared" si="161"/>
        <v>13</v>
      </c>
      <c r="AU1179">
        <f t="shared" ca="1" si="162"/>
        <v>-99</v>
      </c>
      <c r="AV1179">
        <f t="shared" ca="1" si="163"/>
        <v>-99</v>
      </c>
      <c r="AW1179">
        <f ca="1">IF(AND($AT1179&lt;3,OFFSET(DATA!$C$14,$AS1179,0)=AW$6),$AV1179,dNULL)</f>
        <v>-99</v>
      </c>
      <c r="AX1179">
        <f ca="1">IF(AND($AT1179&lt;3,OFFSET(DATA!$C$14,$AS1179,0)=AX$6),$AV1179,dNULL)</f>
        <v>-99</v>
      </c>
      <c r="AY1179">
        <f ca="1">IF(AND($AT1179&lt;3,OFFSET(DATA!$C$14,$AS1179,0)=AY$6),$AV1179,dNULL)</f>
        <v>-99</v>
      </c>
      <c r="AZ1179">
        <f ca="1">IF(AND($AT1179&lt;3,OFFSET(DATA!$C$14,$AS1179,0)=AZ$6),$AV1179,dNULL)</f>
        <v>-99</v>
      </c>
      <c r="BA1179">
        <f ca="1">IF(AND($AT1179&lt;3,OFFSET(DATA!$C$14,$AS1179,0)=BA$6),$AV1179,dNULL)</f>
        <v>-99</v>
      </c>
      <c r="BB1179">
        <f ca="1">IF(AND($AT1179&lt;3,OFFSET(DATA!$C$14,$AS1179,0)=BB$6),$AV1179,dNULL)</f>
        <v>-99</v>
      </c>
      <c r="BC1179">
        <f ca="1">IF(AND($AT1179&lt;3,OFFSET(DATA!$C$14,$AS1179,0)=BC$6),$AV1179,dNULL)</f>
        <v>-99</v>
      </c>
      <c r="BD1179">
        <f ca="1">IF(AND($AT1179&lt;3,OFFSET(DATA!$C$14,$AS1179,0)=BD$6),$AV1179,dNULL)</f>
        <v>-99</v>
      </c>
      <c r="BE1179">
        <f ca="1">IF(AND($AT1179&lt;3,OFFSET(DATA!$C$14,$AS1179,0)=BE$6),$AV1179,dNULL)</f>
        <v>-99</v>
      </c>
      <c r="BF1179">
        <f ca="1">IF(AND($AT1179&lt;3,OFFSET(DATA!$C$14,$AS1179,0)=BF$6),$AV1179,dNULL)</f>
        <v>-99</v>
      </c>
      <c r="BG1179">
        <f ca="1">IF(AND($AT1179&lt;3,OFFSET(DATA!$C$14,$AS1179,0)=BG$6),$AV1179,dNULL)</f>
        <v>-99</v>
      </c>
      <c r="BH1179">
        <f ca="1">IF(AND($AT1179&lt;3,OFFSET(DATA!$C$14,$AS1179,0)=BH$6),$AV1179,dNULL)</f>
        <v>-99</v>
      </c>
    </row>
    <row r="1180" spans="45:60" x14ac:dyDescent="0.25">
      <c r="AS1180">
        <f t="shared" si="160"/>
        <v>4</v>
      </c>
      <c r="AT1180">
        <f t="shared" si="161"/>
        <v>13</v>
      </c>
      <c r="AU1180">
        <f t="shared" ca="1" si="162"/>
        <v>-99</v>
      </c>
      <c r="AV1180">
        <f t="shared" ca="1" si="163"/>
        <v>-99</v>
      </c>
      <c r="AW1180">
        <f ca="1">IF(AND($AT1180&lt;3,OFFSET(DATA!$C$14,$AS1180,0)=AW$6),$AV1180,dNULL)</f>
        <v>-99</v>
      </c>
      <c r="AX1180">
        <f ca="1">IF(AND($AT1180&lt;3,OFFSET(DATA!$C$14,$AS1180,0)=AX$6),$AV1180,dNULL)</f>
        <v>-99</v>
      </c>
      <c r="AY1180">
        <f ca="1">IF(AND($AT1180&lt;3,OFFSET(DATA!$C$14,$AS1180,0)=AY$6),$AV1180,dNULL)</f>
        <v>-99</v>
      </c>
      <c r="AZ1180">
        <f ca="1">IF(AND($AT1180&lt;3,OFFSET(DATA!$C$14,$AS1180,0)=AZ$6),$AV1180,dNULL)</f>
        <v>-99</v>
      </c>
      <c r="BA1180">
        <f ca="1">IF(AND($AT1180&lt;3,OFFSET(DATA!$C$14,$AS1180,0)=BA$6),$AV1180,dNULL)</f>
        <v>-99</v>
      </c>
      <c r="BB1180">
        <f ca="1">IF(AND($AT1180&lt;3,OFFSET(DATA!$C$14,$AS1180,0)=BB$6),$AV1180,dNULL)</f>
        <v>-99</v>
      </c>
      <c r="BC1180">
        <f ca="1">IF(AND($AT1180&lt;3,OFFSET(DATA!$C$14,$AS1180,0)=BC$6),$AV1180,dNULL)</f>
        <v>-99</v>
      </c>
      <c r="BD1180">
        <f ca="1">IF(AND($AT1180&lt;3,OFFSET(DATA!$C$14,$AS1180,0)=BD$6),$AV1180,dNULL)</f>
        <v>-99</v>
      </c>
      <c r="BE1180">
        <f ca="1">IF(AND($AT1180&lt;3,OFFSET(DATA!$C$14,$AS1180,0)=BE$6),$AV1180,dNULL)</f>
        <v>-99</v>
      </c>
      <c r="BF1180">
        <f ca="1">IF(AND($AT1180&lt;3,OFFSET(DATA!$C$14,$AS1180,0)=BF$6),$AV1180,dNULL)</f>
        <v>-99</v>
      </c>
      <c r="BG1180">
        <f ca="1">IF(AND($AT1180&lt;3,OFFSET(DATA!$C$14,$AS1180,0)=BG$6),$AV1180,dNULL)</f>
        <v>-99</v>
      </c>
      <c r="BH1180">
        <f ca="1">IF(AND($AT1180&lt;3,OFFSET(DATA!$C$14,$AS1180,0)=BH$6),$AV1180,dNULL)</f>
        <v>-99</v>
      </c>
    </row>
    <row r="1181" spans="45:60" x14ac:dyDescent="0.25">
      <c r="AS1181">
        <f t="shared" si="160"/>
        <v>5</v>
      </c>
      <c r="AT1181">
        <f t="shared" si="161"/>
        <v>13</v>
      </c>
      <c r="AU1181">
        <f t="shared" ca="1" si="162"/>
        <v>-99</v>
      </c>
      <c r="AV1181">
        <f t="shared" ca="1" si="163"/>
        <v>-99</v>
      </c>
      <c r="AW1181">
        <f ca="1">IF(AND($AT1181&lt;3,OFFSET(DATA!$C$14,$AS1181,0)=AW$6),$AV1181,dNULL)</f>
        <v>-99</v>
      </c>
      <c r="AX1181">
        <f ca="1">IF(AND($AT1181&lt;3,OFFSET(DATA!$C$14,$AS1181,0)=AX$6),$AV1181,dNULL)</f>
        <v>-99</v>
      </c>
      <c r="AY1181">
        <f ca="1">IF(AND($AT1181&lt;3,OFFSET(DATA!$C$14,$AS1181,0)=AY$6),$AV1181,dNULL)</f>
        <v>-99</v>
      </c>
      <c r="AZ1181">
        <f ca="1">IF(AND($AT1181&lt;3,OFFSET(DATA!$C$14,$AS1181,0)=AZ$6),$AV1181,dNULL)</f>
        <v>-99</v>
      </c>
      <c r="BA1181">
        <f ca="1">IF(AND($AT1181&lt;3,OFFSET(DATA!$C$14,$AS1181,0)=BA$6),$AV1181,dNULL)</f>
        <v>-99</v>
      </c>
      <c r="BB1181">
        <f ca="1">IF(AND($AT1181&lt;3,OFFSET(DATA!$C$14,$AS1181,0)=BB$6),$AV1181,dNULL)</f>
        <v>-99</v>
      </c>
      <c r="BC1181">
        <f ca="1">IF(AND($AT1181&lt;3,OFFSET(DATA!$C$14,$AS1181,0)=BC$6),$AV1181,dNULL)</f>
        <v>-99</v>
      </c>
      <c r="BD1181">
        <f ca="1">IF(AND($AT1181&lt;3,OFFSET(DATA!$C$14,$AS1181,0)=BD$6),$AV1181,dNULL)</f>
        <v>-99</v>
      </c>
      <c r="BE1181">
        <f ca="1">IF(AND($AT1181&lt;3,OFFSET(DATA!$C$14,$AS1181,0)=BE$6),$AV1181,dNULL)</f>
        <v>-99</v>
      </c>
      <c r="BF1181">
        <f ca="1">IF(AND($AT1181&lt;3,OFFSET(DATA!$C$14,$AS1181,0)=BF$6),$AV1181,dNULL)</f>
        <v>-99</v>
      </c>
      <c r="BG1181">
        <f ca="1">IF(AND($AT1181&lt;3,OFFSET(DATA!$C$14,$AS1181,0)=BG$6),$AV1181,dNULL)</f>
        <v>-99</v>
      </c>
      <c r="BH1181">
        <f ca="1">IF(AND($AT1181&lt;3,OFFSET(DATA!$C$14,$AS1181,0)=BH$6),$AV1181,dNULL)</f>
        <v>-99</v>
      </c>
    </row>
    <row r="1182" spans="45:60" x14ac:dyDescent="0.25">
      <c r="AS1182">
        <f t="shared" si="160"/>
        <v>6</v>
      </c>
      <c r="AT1182">
        <f t="shared" si="161"/>
        <v>13</v>
      </c>
      <c r="AU1182">
        <f t="shared" ca="1" si="162"/>
        <v>-99</v>
      </c>
      <c r="AV1182">
        <f t="shared" ca="1" si="163"/>
        <v>-99</v>
      </c>
      <c r="AW1182">
        <f ca="1">IF(AND($AT1182&lt;3,OFFSET(DATA!$C$14,$AS1182,0)=AW$6),$AV1182,dNULL)</f>
        <v>-99</v>
      </c>
      <c r="AX1182">
        <f ca="1">IF(AND($AT1182&lt;3,OFFSET(DATA!$C$14,$AS1182,0)=AX$6),$AV1182,dNULL)</f>
        <v>-99</v>
      </c>
      <c r="AY1182">
        <f ca="1">IF(AND($AT1182&lt;3,OFFSET(DATA!$C$14,$AS1182,0)=AY$6),$AV1182,dNULL)</f>
        <v>-99</v>
      </c>
      <c r="AZ1182">
        <f ca="1">IF(AND($AT1182&lt;3,OFFSET(DATA!$C$14,$AS1182,0)=AZ$6),$AV1182,dNULL)</f>
        <v>-99</v>
      </c>
      <c r="BA1182">
        <f ca="1">IF(AND($AT1182&lt;3,OFFSET(DATA!$C$14,$AS1182,0)=BA$6),$AV1182,dNULL)</f>
        <v>-99</v>
      </c>
      <c r="BB1182">
        <f ca="1">IF(AND($AT1182&lt;3,OFFSET(DATA!$C$14,$AS1182,0)=BB$6),$AV1182,dNULL)</f>
        <v>-99</v>
      </c>
      <c r="BC1182">
        <f ca="1">IF(AND($AT1182&lt;3,OFFSET(DATA!$C$14,$AS1182,0)=BC$6),$AV1182,dNULL)</f>
        <v>-99</v>
      </c>
      <c r="BD1182">
        <f ca="1">IF(AND($AT1182&lt;3,OFFSET(DATA!$C$14,$AS1182,0)=BD$6),$AV1182,dNULL)</f>
        <v>-99</v>
      </c>
      <c r="BE1182">
        <f ca="1">IF(AND($AT1182&lt;3,OFFSET(DATA!$C$14,$AS1182,0)=BE$6),$AV1182,dNULL)</f>
        <v>-99</v>
      </c>
      <c r="BF1182">
        <f ca="1">IF(AND($AT1182&lt;3,OFFSET(DATA!$C$14,$AS1182,0)=BF$6),$AV1182,dNULL)</f>
        <v>-99</v>
      </c>
      <c r="BG1182">
        <f ca="1">IF(AND($AT1182&lt;3,OFFSET(DATA!$C$14,$AS1182,0)=BG$6),$AV1182,dNULL)</f>
        <v>-99</v>
      </c>
      <c r="BH1182">
        <f ca="1">IF(AND($AT1182&lt;3,OFFSET(DATA!$C$14,$AS1182,0)=BH$6),$AV1182,dNULL)</f>
        <v>-99</v>
      </c>
    </row>
    <row r="1183" spans="45:60" x14ac:dyDescent="0.25">
      <c r="AS1183">
        <f t="shared" si="160"/>
        <v>7</v>
      </c>
      <c r="AT1183">
        <f t="shared" si="161"/>
        <v>13</v>
      </c>
      <c r="AU1183">
        <f t="shared" ca="1" si="162"/>
        <v>-99</v>
      </c>
      <c r="AV1183">
        <f t="shared" ca="1" si="163"/>
        <v>-99</v>
      </c>
      <c r="AW1183">
        <f ca="1">IF(AND($AT1183&lt;3,OFFSET(DATA!$C$14,$AS1183,0)=AW$6),$AV1183,dNULL)</f>
        <v>-99</v>
      </c>
      <c r="AX1183">
        <f ca="1">IF(AND($AT1183&lt;3,OFFSET(DATA!$C$14,$AS1183,0)=AX$6),$AV1183,dNULL)</f>
        <v>-99</v>
      </c>
      <c r="AY1183">
        <f ca="1">IF(AND($AT1183&lt;3,OFFSET(DATA!$C$14,$AS1183,0)=AY$6),$AV1183,dNULL)</f>
        <v>-99</v>
      </c>
      <c r="AZ1183">
        <f ca="1">IF(AND($AT1183&lt;3,OFFSET(DATA!$C$14,$AS1183,0)=AZ$6),$AV1183,dNULL)</f>
        <v>-99</v>
      </c>
      <c r="BA1183">
        <f ca="1">IF(AND($AT1183&lt;3,OFFSET(DATA!$C$14,$AS1183,0)=BA$6),$AV1183,dNULL)</f>
        <v>-99</v>
      </c>
      <c r="BB1183">
        <f ca="1">IF(AND($AT1183&lt;3,OFFSET(DATA!$C$14,$AS1183,0)=BB$6),$AV1183,dNULL)</f>
        <v>-99</v>
      </c>
      <c r="BC1183">
        <f ca="1">IF(AND($AT1183&lt;3,OFFSET(DATA!$C$14,$AS1183,0)=BC$6),$AV1183,dNULL)</f>
        <v>-99</v>
      </c>
      <c r="BD1183">
        <f ca="1">IF(AND($AT1183&lt;3,OFFSET(DATA!$C$14,$AS1183,0)=BD$6),$AV1183,dNULL)</f>
        <v>-99</v>
      </c>
      <c r="BE1183">
        <f ca="1">IF(AND($AT1183&lt;3,OFFSET(DATA!$C$14,$AS1183,0)=BE$6),$AV1183,dNULL)</f>
        <v>-99</v>
      </c>
      <c r="BF1183">
        <f ca="1">IF(AND($AT1183&lt;3,OFFSET(DATA!$C$14,$AS1183,0)=BF$6),$AV1183,dNULL)</f>
        <v>-99</v>
      </c>
      <c r="BG1183">
        <f ca="1">IF(AND($AT1183&lt;3,OFFSET(DATA!$C$14,$AS1183,0)=BG$6),$AV1183,dNULL)</f>
        <v>-99</v>
      </c>
      <c r="BH1183">
        <f ca="1">IF(AND($AT1183&lt;3,OFFSET(DATA!$C$14,$AS1183,0)=BH$6),$AV1183,dNULL)</f>
        <v>-99</v>
      </c>
    </row>
    <row r="1184" spans="45:60" x14ac:dyDescent="0.25">
      <c r="AS1184">
        <f t="shared" si="160"/>
        <v>8</v>
      </c>
      <c r="AT1184">
        <f t="shared" si="161"/>
        <v>13</v>
      </c>
      <c r="AU1184">
        <f t="shared" ca="1" si="162"/>
        <v>-99</v>
      </c>
      <c r="AV1184">
        <f t="shared" ca="1" si="163"/>
        <v>-99</v>
      </c>
      <c r="AW1184">
        <f ca="1">IF(AND($AT1184&lt;3,OFFSET(DATA!$C$14,$AS1184,0)=AW$6),$AV1184,dNULL)</f>
        <v>-99</v>
      </c>
      <c r="AX1184">
        <f ca="1">IF(AND($AT1184&lt;3,OFFSET(DATA!$C$14,$AS1184,0)=AX$6),$AV1184,dNULL)</f>
        <v>-99</v>
      </c>
      <c r="AY1184">
        <f ca="1">IF(AND($AT1184&lt;3,OFFSET(DATA!$C$14,$AS1184,0)=AY$6),$AV1184,dNULL)</f>
        <v>-99</v>
      </c>
      <c r="AZ1184">
        <f ca="1">IF(AND($AT1184&lt;3,OFFSET(DATA!$C$14,$AS1184,0)=AZ$6),$AV1184,dNULL)</f>
        <v>-99</v>
      </c>
      <c r="BA1184">
        <f ca="1">IF(AND($AT1184&lt;3,OFFSET(DATA!$C$14,$AS1184,0)=BA$6),$AV1184,dNULL)</f>
        <v>-99</v>
      </c>
      <c r="BB1184">
        <f ca="1">IF(AND($AT1184&lt;3,OFFSET(DATA!$C$14,$AS1184,0)=BB$6),$AV1184,dNULL)</f>
        <v>-99</v>
      </c>
      <c r="BC1184">
        <f ca="1">IF(AND($AT1184&lt;3,OFFSET(DATA!$C$14,$AS1184,0)=BC$6),$AV1184,dNULL)</f>
        <v>-99</v>
      </c>
      <c r="BD1184">
        <f ca="1">IF(AND($AT1184&lt;3,OFFSET(DATA!$C$14,$AS1184,0)=BD$6),$AV1184,dNULL)</f>
        <v>-99</v>
      </c>
      <c r="BE1184">
        <f ca="1">IF(AND($AT1184&lt;3,OFFSET(DATA!$C$14,$AS1184,0)=BE$6),$AV1184,dNULL)</f>
        <v>-99</v>
      </c>
      <c r="BF1184">
        <f ca="1">IF(AND($AT1184&lt;3,OFFSET(DATA!$C$14,$AS1184,0)=BF$6),$AV1184,dNULL)</f>
        <v>-99</v>
      </c>
      <c r="BG1184">
        <f ca="1">IF(AND($AT1184&lt;3,OFFSET(DATA!$C$14,$AS1184,0)=BG$6),$AV1184,dNULL)</f>
        <v>-99</v>
      </c>
      <c r="BH1184">
        <f ca="1">IF(AND($AT1184&lt;3,OFFSET(DATA!$C$14,$AS1184,0)=BH$6),$AV1184,dNULL)</f>
        <v>-99</v>
      </c>
    </row>
    <row r="1185" spans="45:60" x14ac:dyDescent="0.25">
      <c r="AS1185">
        <f t="shared" si="160"/>
        <v>9</v>
      </c>
      <c r="AT1185">
        <f t="shared" si="161"/>
        <v>13</v>
      </c>
      <c r="AU1185">
        <f t="shared" ca="1" si="162"/>
        <v>-99</v>
      </c>
      <c r="AV1185">
        <f t="shared" ca="1" si="163"/>
        <v>-99</v>
      </c>
      <c r="AW1185">
        <f ca="1">IF(AND($AT1185&lt;3,OFFSET(DATA!$C$14,$AS1185,0)=AW$6),$AV1185,dNULL)</f>
        <v>-99</v>
      </c>
      <c r="AX1185">
        <f ca="1">IF(AND($AT1185&lt;3,OFFSET(DATA!$C$14,$AS1185,0)=AX$6),$AV1185,dNULL)</f>
        <v>-99</v>
      </c>
      <c r="AY1185">
        <f ca="1">IF(AND($AT1185&lt;3,OFFSET(DATA!$C$14,$AS1185,0)=AY$6),$AV1185,dNULL)</f>
        <v>-99</v>
      </c>
      <c r="AZ1185">
        <f ca="1">IF(AND($AT1185&lt;3,OFFSET(DATA!$C$14,$AS1185,0)=AZ$6),$AV1185,dNULL)</f>
        <v>-99</v>
      </c>
      <c r="BA1185">
        <f ca="1">IF(AND($AT1185&lt;3,OFFSET(DATA!$C$14,$AS1185,0)=BA$6),$AV1185,dNULL)</f>
        <v>-99</v>
      </c>
      <c r="BB1185">
        <f ca="1">IF(AND($AT1185&lt;3,OFFSET(DATA!$C$14,$AS1185,0)=BB$6),$AV1185,dNULL)</f>
        <v>-99</v>
      </c>
      <c r="BC1185">
        <f ca="1">IF(AND($AT1185&lt;3,OFFSET(DATA!$C$14,$AS1185,0)=BC$6),$AV1185,dNULL)</f>
        <v>-99</v>
      </c>
      <c r="BD1185">
        <f ca="1">IF(AND($AT1185&lt;3,OFFSET(DATA!$C$14,$AS1185,0)=BD$6),$AV1185,dNULL)</f>
        <v>-99</v>
      </c>
      <c r="BE1185">
        <f ca="1">IF(AND($AT1185&lt;3,OFFSET(DATA!$C$14,$AS1185,0)=BE$6),$AV1185,dNULL)</f>
        <v>-99</v>
      </c>
      <c r="BF1185">
        <f ca="1">IF(AND($AT1185&lt;3,OFFSET(DATA!$C$14,$AS1185,0)=BF$6),$AV1185,dNULL)</f>
        <v>-99</v>
      </c>
      <c r="BG1185">
        <f ca="1">IF(AND($AT1185&lt;3,OFFSET(DATA!$C$14,$AS1185,0)=BG$6),$AV1185,dNULL)</f>
        <v>-99</v>
      </c>
      <c r="BH1185">
        <f ca="1">IF(AND($AT1185&lt;3,OFFSET(DATA!$C$14,$AS1185,0)=BH$6),$AV1185,dNULL)</f>
        <v>-99</v>
      </c>
    </row>
    <row r="1186" spans="45:60" x14ac:dyDescent="0.25">
      <c r="AS1186">
        <f t="shared" si="160"/>
        <v>10</v>
      </c>
      <c r="AT1186">
        <f t="shared" si="161"/>
        <v>13</v>
      </c>
      <c r="AU1186">
        <f t="shared" ca="1" si="162"/>
        <v>-99</v>
      </c>
      <c r="AV1186">
        <f t="shared" ca="1" si="163"/>
        <v>-99</v>
      </c>
      <c r="AW1186">
        <f ca="1">IF(AND($AT1186&lt;3,OFFSET(DATA!$C$14,$AS1186,0)=AW$6),$AV1186,dNULL)</f>
        <v>-99</v>
      </c>
      <c r="AX1186">
        <f ca="1">IF(AND($AT1186&lt;3,OFFSET(DATA!$C$14,$AS1186,0)=AX$6),$AV1186,dNULL)</f>
        <v>-99</v>
      </c>
      <c r="AY1186">
        <f ca="1">IF(AND($AT1186&lt;3,OFFSET(DATA!$C$14,$AS1186,0)=AY$6),$AV1186,dNULL)</f>
        <v>-99</v>
      </c>
      <c r="AZ1186">
        <f ca="1">IF(AND($AT1186&lt;3,OFFSET(DATA!$C$14,$AS1186,0)=AZ$6),$AV1186,dNULL)</f>
        <v>-99</v>
      </c>
      <c r="BA1186">
        <f ca="1">IF(AND($AT1186&lt;3,OFFSET(DATA!$C$14,$AS1186,0)=BA$6),$AV1186,dNULL)</f>
        <v>-99</v>
      </c>
      <c r="BB1186">
        <f ca="1">IF(AND($AT1186&lt;3,OFFSET(DATA!$C$14,$AS1186,0)=BB$6),$AV1186,dNULL)</f>
        <v>-99</v>
      </c>
      <c r="BC1186">
        <f ca="1">IF(AND($AT1186&lt;3,OFFSET(DATA!$C$14,$AS1186,0)=BC$6),$AV1186,dNULL)</f>
        <v>-99</v>
      </c>
      <c r="BD1186">
        <f ca="1">IF(AND($AT1186&lt;3,OFFSET(DATA!$C$14,$AS1186,0)=BD$6),$AV1186,dNULL)</f>
        <v>-99</v>
      </c>
      <c r="BE1186">
        <f ca="1">IF(AND($AT1186&lt;3,OFFSET(DATA!$C$14,$AS1186,0)=BE$6),$AV1186,dNULL)</f>
        <v>-99</v>
      </c>
      <c r="BF1186">
        <f ca="1">IF(AND($AT1186&lt;3,OFFSET(DATA!$C$14,$AS1186,0)=BF$6),$AV1186,dNULL)</f>
        <v>-99</v>
      </c>
      <c r="BG1186">
        <f ca="1">IF(AND($AT1186&lt;3,OFFSET(DATA!$C$14,$AS1186,0)=BG$6),$AV1186,dNULL)</f>
        <v>-99</v>
      </c>
      <c r="BH1186">
        <f ca="1">IF(AND($AT1186&lt;3,OFFSET(DATA!$C$14,$AS1186,0)=BH$6),$AV1186,dNULL)</f>
        <v>-99</v>
      </c>
    </row>
    <row r="1187" spans="45:60" x14ac:dyDescent="0.25">
      <c r="AS1187">
        <f t="shared" si="160"/>
        <v>11</v>
      </c>
      <c r="AT1187">
        <f t="shared" si="161"/>
        <v>13</v>
      </c>
      <c r="AU1187">
        <f t="shared" ca="1" si="162"/>
        <v>-99</v>
      </c>
      <c r="AV1187">
        <f t="shared" ca="1" si="163"/>
        <v>-99</v>
      </c>
      <c r="AW1187">
        <f ca="1">IF(AND($AT1187&lt;3,OFFSET(DATA!$C$14,$AS1187,0)=AW$6),$AV1187,dNULL)</f>
        <v>-99</v>
      </c>
      <c r="AX1187">
        <f ca="1">IF(AND($AT1187&lt;3,OFFSET(DATA!$C$14,$AS1187,0)=AX$6),$AV1187,dNULL)</f>
        <v>-99</v>
      </c>
      <c r="AY1187">
        <f ca="1">IF(AND($AT1187&lt;3,OFFSET(DATA!$C$14,$AS1187,0)=AY$6),$AV1187,dNULL)</f>
        <v>-99</v>
      </c>
      <c r="AZ1187">
        <f ca="1">IF(AND($AT1187&lt;3,OFFSET(DATA!$C$14,$AS1187,0)=AZ$6),$AV1187,dNULL)</f>
        <v>-99</v>
      </c>
      <c r="BA1187">
        <f ca="1">IF(AND($AT1187&lt;3,OFFSET(DATA!$C$14,$AS1187,0)=BA$6),$AV1187,dNULL)</f>
        <v>-99</v>
      </c>
      <c r="BB1187">
        <f ca="1">IF(AND($AT1187&lt;3,OFFSET(DATA!$C$14,$AS1187,0)=BB$6),$AV1187,dNULL)</f>
        <v>-99</v>
      </c>
      <c r="BC1187">
        <f ca="1">IF(AND($AT1187&lt;3,OFFSET(DATA!$C$14,$AS1187,0)=BC$6),$AV1187,dNULL)</f>
        <v>-99</v>
      </c>
      <c r="BD1187">
        <f ca="1">IF(AND($AT1187&lt;3,OFFSET(DATA!$C$14,$AS1187,0)=BD$6),$AV1187,dNULL)</f>
        <v>-99</v>
      </c>
      <c r="BE1187">
        <f ca="1">IF(AND($AT1187&lt;3,OFFSET(DATA!$C$14,$AS1187,0)=BE$6),$AV1187,dNULL)</f>
        <v>-99</v>
      </c>
      <c r="BF1187">
        <f ca="1">IF(AND($AT1187&lt;3,OFFSET(DATA!$C$14,$AS1187,0)=BF$6),$AV1187,dNULL)</f>
        <v>-99</v>
      </c>
      <c r="BG1187">
        <f ca="1">IF(AND($AT1187&lt;3,OFFSET(DATA!$C$14,$AS1187,0)=BG$6),$AV1187,dNULL)</f>
        <v>-99</v>
      </c>
      <c r="BH1187">
        <f ca="1">IF(AND($AT1187&lt;3,OFFSET(DATA!$C$14,$AS1187,0)=BH$6),$AV1187,dNULL)</f>
        <v>-99</v>
      </c>
    </row>
    <row r="1188" spans="45:60" x14ac:dyDescent="0.25">
      <c r="AS1188">
        <f t="shared" si="160"/>
        <v>12</v>
      </c>
      <c r="AT1188">
        <f t="shared" si="161"/>
        <v>13</v>
      </c>
      <c r="AU1188">
        <f t="shared" ca="1" si="162"/>
        <v>-99</v>
      </c>
      <c r="AV1188">
        <f t="shared" ca="1" si="163"/>
        <v>-99</v>
      </c>
      <c r="AW1188">
        <f ca="1">IF(AND($AT1188&lt;3,OFFSET(DATA!$C$14,$AS1188,0)=AW$6),$AV1188,dNULL)</f>
        <v>-99</v>
      </c>
      <c r="AX1188">
        <f ca="1">IF(AND($AT1188&lt;3,OFFSET(DATA!$C$14,$AS1188,0)=AX$6),$AV1188,dNULL)</f>
        <v>-99</v>
      </c>
      <c r="AY1188">
        <f ca="1">IF(AND($AT1188&lt;3,OFFSET(DATA!$C$14,$AS1188,0)=AY$6),$AV1188,dNULL)</f>
        <v>-99</v>
      </c>
      <c r="AZ1188">
        <f ca="1">IF(AND($AT1188&lt;3,OFFSET(DATA!$C$14,$AS1188,0)=AZ$6),$AV1188,dNULL)</f>
        <v>-99</v>
      </c>
      <c r="BA1188">
        <f ca="1">IF(AND($AT1188&lt;3,OFFSET(DATA!$C$14,$AS1188,0)=BA$6),$AV1188,dNULL)</f>
        <v>-99</v>
      </c>
      <c r="BB1188">
        <f ca="1">IF(AND($AT1188&lt;3,OFFSET(DATA!$C$14,$AS1188,0)=BB$6),$AV1188,dNULL)</f>
        <v>-99</v>
      </c>
      <c r="BC1188">
        <f ca="1">IF(AND($AT1188&lt;3,OFFSET(DATA!$C$14,$AS1188,0)=BC$6),$AV1188,dNULL)</f>
        <v>-99</v>
      </c>
      <c r="BD1188">
        <f ca="1">IF(AND($AT1188&lt;3,OFFSET(DATA!$C$14,$AS1188,0)=BD$6),$AV1188,dNULL)</f>
        <v>-99</v>
      </c>
      <c r="BE1188">
        <f ca="1">IF(AND($AT1188&lt;3,OFFSET(DATA!$C$14,$AS1188,0)=BE$6),$AV1188,dNULL)</f>
        <v>-99</v>
      </c>
      <c r="BF1188">
        <f ca="1">IF(AND($AT1188&lt;3,OFFSET(DATA!$C$14,$AS1188,0)=BF$6),$AV1188,dNULL)</f>
        <v>-99</v>
      </c>
      <c r="BG1188">
        <f ca="1">IF(AND($AT1188&lt;3,OFFSET(DATA!$C$14,$AS1188,0)=BG$6),$AV1188,dNULL)</f>
        <v>-99</v>
      </c>
      <c r="BH1188">
        <f ca="1">IF(AND($AT1188&lt;3,OFFSET(DATA!$C$14,$AS1188,0)=BH$6),$AV1188,dNULL)</f>
        <v>-99</v>
      </c>
    </row>
    <row r="1189" spans="45:60" x14ac:dyDescent="0.25">
      <c r="AS1189">
        <f t="shared" si="160"/>
        <v>13</v>
      </c>
      <c r="AT1189">
        <f t="shared" si="161"/>
        <v>13</v>
      </c>
      <c r="AU1189">
        <f t="shared" ca="1" si="162"/>
        <v>-99</v>
      </c>
      <c r="AV1189">
        <f t="shared" ca="1" si="163"/>
        <v>-99</v>
      </c>
      <c r="AW1189">
        <f ca="1">IF(AND($AT1189&lt;3,OFFSET(DATA!$C$14,$AS1189,0)=AW$6),$AV1189,dNULL)</f>
        <v>-99</v>
      </c>
      <c r="AX1189">
        <f ca="1">IF(AND($AT1189&lt;3,OFFSET(DATA!$C$14,$AS1189,0)=AX$6),$AV1189,dNULL)</f>
        <v>-99</v>
      </c>
      <c r="AY1189">
        <f ca="1">IF(AND($AT1189&lt;3,OFFSET(DATA!$C$14,$AS1189,0)=AY$6),$AV1189,dNULL)</f>
        <v>-99</v>
      </c>
      <c r="AZ1189">
        <f ca="1">IF(AND($AT1189&lt;3,OFFSET(DATA!$C$14,$AS1189,0)=AZ$6),$AV1189,dNULL)</f>
        <v>-99</v>
      </c>
      <c r="BA1189">
        <f ca="1">IF(AND($AT1189&lt;3,OFFSET(DATA!$C$14,$AS1189,0)=BA$6),$AV1189,dNULL)</f>
        <v>-99</v>
      </c>
      <c r="BB1189">
        <f ca="1">IF(AND($AT1189&lt;3,OFFSET(DATA!$C$14,$AS1189,0)=BB$6),$AV1189,dNULL)</f>
        <v>-99</v>
      </c>
      <c r="BC1189">
        <f ca="1">IF(AND($AT1189&lt;3,OFFSET(DATA!$C$14,$AS1189,0)=BC$6),$AV1189,dNULL)</f>
        <v>-99</v>
      </c>
      <c r="BD1189">
        <f ca="1">IF(AND($AT1189&lt;3,OFFSET(DATA!$C$14,$AS1189,0)=BD$6),$AV1189,dNULL)</f>
        <v>-99</v>
      </c>
      <c r="BE1189">
        <f ca="1">IF(AND($AT1189&lt;3,OFFSET(DATA!$C$14,$AS1189,0)=BE$6),$AV1189,dNULL)</f>
        <v>-99</v>
      </c>
      <c r="BF1189">
        <f ca="1">IF(AND($AT1189&lt;3,OFFSET(DATA!$C$14,$AS1189,0)=BF$6),$AV1189,dNULL)</f>
        <v>-99</v>
      </c>
      <c r="BG1189">
        <f ca="1">IF(AND($AT1189&lt;3,OFFSET(DATA!$C$14,$AS1189,0)=BG$6),$AV1189,dNULL)</f>
        <v>-99</v>
      </c>
      <c r="BH1189">
        <f ca="1">IF(AND($AT1189&lt;3,OFFSET(DATA!$C$14,$AS1189,0)=BH$6),$AV1189,dNULL)</f>
        <v>-99</v>
      </c>
    </row>
    <row r="1190" spans="45:60" x14ac:dyDescent="0.25">
      <c r="AS1190">
        <f t="shared" si="160"/>
        <v>14</v>
      </c>
      <c r="AT1190">
        <f t="shared" si="161"/>
        <v>13</v>
      </c>
      <c r="AU1190">
        <f t="shared" ca="1" si="162"/>
        <v>-99</v>
      </c>
      <c r="AV1190">
        <f t="shared" ca="1" si="163"/>
        <v>-99</v>
      </c>
      <c r="AW1190">
        <f ca="1">IF(AND($AT1190&lt;3,OFFSET(DATA!$C$14,$AS1190,0)=AW$6),$AV1190,dNULL)</f>
        <v>-99</v>
      </c>
      <c r="AX1190">
        <f ca="1">IF(AND($AT1190&lt;3,OFFSET(DATA!$C$14,$AS1190,0)=AX$6),$AV1190,dNULL)</f>
        <v>-99</v>
      </c>
      <c r="AY1190">
        <f ca="1">IF(AND($AT1190&lt;3,OFFSET(DATA!$C$14,$AS1190,0)=AY$6),$AV1190,dNULL)</f>
        <v>-99</v>
      </c>
      <c r="AZ1190">
        <f ca="1">IF(AND($AT1190&lt;3,OFFSET(DATA!$C$14,$AS1190,0)=AZ$6),$AV1190,dNULL)</f>
        <v>-99</v>
      </c>
      <c r="BA1190">
        <f ca="1">IF(AND($AT1190&lt;3,OFFSET(DATA!$C$14,$AS1190,0)=BA$6),$AV1190,dNULL)</f>
        <v>-99</v>
      </c>
      <c r="BB1190">
        <f ca="1">IF(AND($AT1190&lt;3,OFFSET(DATA!$C$14,$AS1190,0)=BB$6),$AV1190,dNULL)</f>
        <v>-99</v>
      </c>
      <c r="BC1190">
        <f ca="1">IF(AND($AT1190&lt;3,OFFSET(DATA!$C$14,$AS1190,0)=BC$6),$AV1190,dNULL)</f>
        <v>-99</v>
      </c>
      <c r="BD1190">
        <f ca="1">IF(AND($AT1190&lt;3,OFFSET(DATA!$C$14,$AS1190,0)=BD$6),$AV1190,dNULL)</f>
        <v>-99</v>
      </c>
      <c r="BE1190">
        <f ca="1">IF(AND($AT1190&lt;3,OFFSET(DATA!$C$14,$AS1190,0)=BE$6),$AV1190,dNULL)</f>
        <v>-99</v>
      </c>
      <c r="BF1190">
        <f ca="1">IF(AND($AT1190&lt;3,OFFSET(DATA!$C$14,$AS1190,0)=BF$6),$AV1190,dNULL)</f>
        <v>-99</v>
      </c>
      <c r="BG1190">
        <f ca="1">IF(AND($AT1190&lt;3,OFFSET(DATA!$C$14,$AS1190,0)=BG$6),$AV1190,dNULL)</f>
        <v>-99</v>
      </c>
      <c r="BH1190">
        <f ca="1">IF(AND($AT1190&lt;3,OFFSET(DATA!$C$14,$AS1190,0)=BH$6),$AV1190,dNULL)</f>
        <v>-99</v>
      </c>
    </row>
    <row r="1191" spans="45:60" x14ac:dyDescent="0.25">
      <c r="AS1191">
        <f t="shared" si="160"/>
        <v>15</v>
      </c>
      <c r="AT1191">
        <f t="shared" si="161"/>
        <v>13</v>
      </c>
      <c r="AU1191">
        <f t="shared" ca="1" si="162"/>
        <v>-99</v>
      </c>
      <c r="AV1191">
        <f t="shared" ca="1" si="163"/>
        <v>-99</v>
      </c>
      <c r="AW1191">
        <f ca="1">IF(AND($AT1191&lt;3,OFFSET(DATA!$C$14,$AS1191,0)=AW$6),$AV1191,dNULL)</f>
        <v>-99</v>
      </c>
      <c r="AX1191">
        <f ca="1">IF(AND($AT1191&lt;3,OFFSET(DATA!$C$14,$AS1191,0)=AX$6),$AV1191,dNULL)</f>
        <v>-99</v>
      </c>
      <c r="AY1191">
        <f ca="1">IF(AND($AT1191&lt;3,OFFSET(DATA!$C$14,$AS1191,0)=AY$6),$AV1191,dNULL)</f>
        <v>-99</v>
      </c>
      <c r="AZ1191">
        <f ca="1">IF(AND($AT1191&lt;3,OFFSET(DATA!$C$14,$AS1191,0)=AZ$6),$AV1191,dNULL)</f>
        <v>-99</v>
      </c>
      <c r="BA1191">
        <f ca="1">IF(AND($AT1191&lt;3,OFFSET(DATA!$C$14,$AS1191,0)=BA$6),$AV1191,dNULL)</f>
        <v>-99</v>
      </c>
      <c r="BB1191">
        <f ca="1">IF(AND($AT1191&lt;3,OFFSET(DATA!$C$14,$AS1191,0)=BB$6),$AV1191,dNULL)</f>
        <v>-99</v>
      </c>
      <c r="BC1191">
        <f ca="1">IF(AND($AT1191&lt;3,OFFSET(DATA!$C$14,$AS1191,0)=BC$6),$AV1191,dNULL)</f>
        <v>-99</v>
      </c>
      <c r="BD1191">
        <f ca="1">IF(AND($AT1191&lt;3,OFFSET(DATA!$C$14,$AS1191,0)=BD$6),$AV1191,dNULL)</f>
        <v>-99</v>
      </c>
      <c r="BE1191">
        <f ca="1">IF(AND($AT1191&lt;3,OFFSET(DATA!$C$14,$AS1191,0)=BE$6),$AV1191,dNULL)</f>
        <v>-99</v>
      </c>
      <c r="BF1191">
        <f ca="1">IF(AND($AT1191&lt;3,OFFSET(DATA!$C$14,$AS1191,0)=BF$6),$AV1191,dNULL)</f>
        <v>-99</v>
      </c>
      <c r="BG1191">
        <f ca="1">IF(AND($AT1191&lt;3,OFFSET(DATA!$C$14,$AS1191,0)=BG$6),$AV1191,dNULL)</f>
        <v>-99</v>
      </c>
      <c r="BH1191">
        <f ca="1">IF(AND($AT1191&lt;3,OFFSET(DATA!$C$14,$AS1191,0)=BH$6),$AV1191,dNULL)</f>
        <v>-99</v>
      </c>
    </row>
    <row r="1192" spans="45:60" x14ac:dyDescent="0.25">
      <c r="AS1192">
        <f t="shared" si="160"/>
        <v>16</v>
      </c>
      <c r="AT1192">
        <f t="shared" si="161"/>
        <v>13</v>
      </c>
      <c r="AU1192">
        <f t="shared" ca="1" si="162"/>
        <v>-99</v>
      </c>
      <c r="AV1192">
        <f t="shared" ca="1" si="163"/>
        <v>-99</v>
      </c>
      <c r="AW1192">
        <f ca="1">IF(AND($AT1192&lt;3,OFFSET(DATA!$C$14,$AS1192,0)=AW$6),$AV1192,dNULL)</f>
        <v>-99</v>
      </c>
      <c r="AX1192">
        <f ca="1">IF(AND($AT1192&lt;3,OFFSET(DATA!$C$14,$AS1192,0)=AX$6),$AV1192,dNULL)</f>
        <v>-99</v>
      </c>
      <c r="AY1192">
        <f ca="1">IF(AND($AT1192&lt;3,OFFSET(DATA!$C$14,$AS1192,0)=AY$6),$AV1192,dNULL)</f>
        <v>-99</v>
      </c>
      <c r="AZ1192">
        <f ca="1">IF(AND($AT1192&lt;3,OFFSET(DATA!$C$14,$AS1192,0)=AZ$6),$AV1192,dNULL)</f>
        <v>-99</v>
      </c>
      <c r="BA1192">
        <f ca="1">IF(AND($AT1192&lt;3,OFFSET(DATA!$C$14,$AS1192,0)=BA$6),$AV1192,dNULL)</f>
        <v>-99</v>
      </c>
      <c r="BB1192">
        <f ca="1">IF(AND($AT1192&lt;3,OFFSET(DATA!$C$14,$AS1192,0)=BB$6),$AV1192,dNULL)</f>
        <v>-99</v>
      </c>
      <c r="BC1192">
        <f ca="1">IF(AND($AT1192&lt;3,OFFSET(DATA!$C$14,$AS1192,0)=BC$6),$AV1192,dNULL)</f>
        <v>-99</v>
      </c>
      <c r="BD1192">
        <f ca="1">IF(AND($AT1192&lt;3,OFFSET(DATA!$C$14,$AS1192,0)=BD$6),$AV1192,dNULL)</f>
        <v>-99</v>
      </c>
      <c r="BE1192">
        <f ca="1">IF(AND($AT1192&lt;3,OFFSET(DATA!$C$14,$AS1192,0)=BE$6),$AV1192,dNULL)</f>
        <v>-99</v>
      </c>
      <c r="BF1192">
        <f ca="1">IF(AND($AT1192&lt;3,OFFSET(DATA!$C$14,$AS1192,0)=BF$6),$AV1192,dNULL)</f>
        <v>-99</v>
      </c>
      <c r="BG1192">
        <f ca="1">IF(AND($AT1192&lt;3,OFFSET(DATA!$C$14,$AS1192,0)=BG$6),$AV1192,dNULL)</f>
        <v>-99</v>
      </c>
      <c r="BH1192">
        <f ca="1">IF(AND($AT1192&lt;3,OFFSET(DATA!$C$14,$AS1192,0)=BH$6),$AV1192,dNULL)</f>
        <v>-99</v>
      </c>
    </row>
    <row r="1193" spans="45:60" x14ac:dyDescent="0.25">
      <c r="AS1193">
        <f t="shared" si="160"/>
        <v>17</v>
      </c>
      <c r="AT1193">
        <f t="shared" si="161"/>
        <v>13</v>
      </c>
      <c r="AU1193">
        <f t="shared" ca="1" si="162"/>
        <v>-99</v>
      </c>
      <c r="AV1193">
        <f t="shared" ca="1" si="163"/>
        <v>-99</v>
      </c>
      <c r="AW1193">
        <f ca="1">IF(AND($AT1193&lt;3,OFFSET(DATA!$C$14,$AS1193,0)=AW$6),$AV1193,dNULL)</f>
        <v>-99</v>
      </c>
      <c r="AX1193">
        <f ca="1">IF(AND($AT1193&lt;3,OFFSET(DATA!$C$14,$AS1193,0)=AX$6),$AV1193,dNULL)</f>
        <v>-99</v>
      </c>
      <c r="AY1193">
        <f ca="1">IF(AND($AT1193&lt;3,OFFSET(DATA!$C$14,$AS1193,0)=AY$6),$AV1193,dNULL)</f>
        <v>-99</v>
      </c>
      <c r="AZ1193">
        <f ca="1">IF(AND($AT1193&lt;3,OFFSET(DATA!$C$14,$AS1193,0)=AZ$6),$AV1193,dNULL)</f>
        <v>-99</v>
      </c>
      <c r="BA1193">
        <f ca="1">IF(AND($AT1193&lt;3,OFFSET(DATA!$C$14,$AS1193,0)=BA$6),$AV1193,dNULL)</f>
        <v>-99</v>
      </c>
      <c r="BB1193">
        <f ca="1">IF(AND($AT1193&lt;3,OFFSET(DATA!$C$14,$AS1193,0)=BB$6),$AV1193,dNULL)</f>
        <v>-99</v>
      </c>
      <c r="BC1193">
        <f ca="1">IF(AND($AT1193&lt;3,OFFSET(DATA!$C$14,$AS1193,0)=BC$6),$AV1193,dNULL)</f>
        <v>-99</v>
      </c>
      <c r="BD1193">
        <f ca="1">IF(AND($AT1193&lt;3,OFFSET(DATA!$C$14,$AS1193,0)=BD$6),$AV1193,dNULL)</f>
        <v>-99</v>
      </c>
      <c r="BE1193">
        <f ca="1">IF(AND($AT1193&lt;3,OFFSET(DATA!$C$14,$AS1193,0)=BE$6),$AV1193,dNULL)</f>
        <v>-99</v>
      </c>
      <c r="BF1193">
        <f ca="1">IF(AND($AT1193&lt;3,OFFSET(DATA!$C$14,$AS1193,0)=BF$6),$AV1193,dNULL)</f>
        <v>-99</v>
      </c>
      <c r="BG1193">
        <f ca="1">IF(AND($AT1193&lt;3,OFFSET(DATA!$C$14,$AS1193,0)=BG$6),$AV1193,dNULL)</f>
        <v>-99</v>
      </c>
      <c r="BH1193">
        <f ca="1">IF(AND($AT1193&lt;3,OFFSET(DATA!$C$14,$AS1193,0)=BH$6),$AV1193,dNULL)</f>
        <v>-99</v>
      </c>
    </row>
    <row r="1194" spans="45:60" x14ac:dyDescent="0.25">
      <c r="AS1194">
        <f t="shared" si="160"/>
        <v>18</v>
      </c>
      <c r="AT1194">
        <f t="shared" si="161"/>
        <v>13</v>
      </c>
      <c r="AU1194">
        <f t="shared" ca="1" si="162"/>
        <v>-99</v>
      </c>
      <c r="AV1194">
        <f t="shared" ca="1" si="163"/>
        <v>-99</v>
      </c>
      <c r="AW1194">
        <f ca="1">IF(AND($AT1194&lt;3,OFFSET(DATA!$C$14,$AS1194,0)=AW$6),$AV1194,dNULL)</f>
        <v>-99</v>
      </c>
      <c r="AX1194">
        <f ca="1">IF(AND($AT1194&lt;3,OFFSET(DATA!$C$14,$AS1194,0)=AX$6),$AV1194,dNULL)</f>
        <v>-99</v>
      </c>
      <c r="AY1194">
        <f ca="1">IF(AND($AT1194&lt;3,OFFSET(DATA!$C$14,$AS1194,0)=AY$6),$AV1194,dNULL)</f>
        <v>-99</v>
      </c>
      <c r="AZ1194">
        <f ca="1">IF(AND($AT1194&lt;3,OFFSET(DATA!$C$14,$AS1194,0)=AZ$6),$AV1194,dNULL)</f>
        <v>-99</v>
      </c>
      <c r="BA1194">
        <f ca="1">IF(AND($AT1194&lt;3,OFFSET(DATA!$C$14,$AS1194,0)=BA$6),$AV1194,dNULL)</f>
        <v>-99</v>
      </c>
      <c r="BB1194">
        <f ca="1">IF(AND($AT1194&lt;3,OFFSET(DATA!$C$14,$AS1194,0)=BB$6),$AV1194,dNULL)</f>
        <v>-99</v>
      </c>
      <c r="BC1194">
        <f ca="1">IF(AND($AT1194&lt;3,OFFSET(DATA!$C$14,$AS1194,0)=BC$6),$AV1194,dNULL)</f>
        <v>-99</v>
      </c>
      <c r="BD1194">
        <f ca="1">IF(AND($AT1194&lt;3,OFFSET(DATA!$C$14,$AS1194,0)=BD$6),$AV1194,dNULL)</f>
        <v>-99</v>
      </c>
      <c r="BE1194">
        <f ca="1">IF(AND($AT1194&lt;3,OFFSET(DATA!$C$14,$AS1194,0)=BE$6),$AV1194,dNULL)</f>
        <v>-99</v>
      </c>
      <c r="BF1194">
        <f ca="1">IF(AND($AT1194&lt;3,OFFSET(DATA!$C$14,$AS1194,0)=BF$6),$AV1194,dNULL)</f>
        <v>-99</v>
      </c>
      <c r="BG1194">
        <f ca="1">IF(AND($AT1194&lt;3,OFFSET(DATA!$C$14,$AS1194,0)=BG$6),$AV1194,dNULL)</f>
        <v>-99</v>
      </c>
      <c r="BH1194">
        <f ca="1">IF(AND($AT1194&lt;3,OFFSET(DATA!$C$14,$AS1194,0)=BH$6),$AV1194,dNULL)</f>
        <v>-99</v>
      </c>
    </row>
    <row r="1195" spans="45:60" x14ac:dyDescent="0.25">
      <c r="AS1195">
        <f t="shared" si="160"/>
        <v>19</v>
      </c>
      <c r="AT1195">
        <f t="shared" si="161"/>
        <v>13</v>
      </c>
      <c r="AU1195">
        <f t="shared" ca="1" si="162"/>
        <v>-99</v>
      </c>
      <c r="AV1195">
        <f t="shared" ca="1" si="163"/>
        <v>-99</v>
      </c>
      <c r="AW1195">
        <f ca="1">IF(AND($AT1195&lt;3,OFFSET(DATA!$C$14,$AS1195,0)=AW$6),$AV1195,dNULL)</f>
        <v>-99</v>
      </c>
      <c r="AX1195">
        <f ca="1">IF(AND($AT1195&lt;3,OFFSET(DATA!$C$14,$AS1195,0)=AX$6),$AV1195,dNULL)</f>
        <v>-99</v>
      </c>
      <c r="AY1195">
        <f ca="1">IF(AND($AT1195&lt;3,OFFSET(DATA!$C$14,$AS1195,0)=AY$6),$AV1195,dNULL)</f>
        <v>-99</v>
      </c>
      <c r="AZ1195">
        <f ca="1">IF(AND($AT1195&lt;3,OFFSET(DATA!$C$14,$AS1195,0)=AZ$6),$AV1195,dNULL)</f>
        <v>-99</v>
      </c>
      <c r="BA1195">
        <f ca="1">IF(AND($AT1195&lt;3,OFFSET(DATA!$C$14,$AS1195,0)=BA$6),$AV1195,dNULL)</f>
        <v>-99</v>
      </c>
      <c r="BB1195">
        <f ca="1">IF(AND($AT1195&lt;3,OFFSET(DATA!$C$14,$AS1195,0)=BB$6),$AV1195,dNULL)</f>
        <v>-99</v>
      </c>
      <c r="BC1195">
        <f ca="1">IF(AND($AT1195&lt;3,OFFSET(DATA!$C$14,$AS1195,0)=BC$6),$AV1195,dNULL)</f>
        <v>-99</v>
      </c>
      <c r="BD1195">
        <f ca="1">IF(AND($AT1195&lt;3,OFFSET(DATA!$C$14,$AS1195,0)=BD$6),$AV1195,dNULL)</f>
        <v>-99</v>
      </c>
      <c r="BE1195">
        <f ca="1">IF(AND($AT1195&lt;3,OFFSET(DATA!$C$14,$AS1195,0)=BE$6),$AV1195,dNULL)</f>
        <v>-99</v>
      </c>
      <c r="BF1195">
        <f ca="1">IF(AND($AT1195&lt;3,OFFSET(DATA!$C$14,$AS1195,0)=BF$6),$AV1195,dNULL)</f>
        <v>-99</v>
      </c>
      <c r="BG1195">
        <f ca="1">IF(AND($AT1195&lt;3,OFFSET(DATA!$C$14,$AS1195,0)=BG$6),$AV1195,dNULL)</f>
        <v>-99</v>
      </c>
      <c r="BH1195">
        <f ca="1">IF(AND($AT1195&lt;3,OFFSET(DATA!$C$14,$AS1195,0)=BH$6),$AV1195,dNULL)</f>
        <v>-99</v>
      </c>
    </row>
    <row r="1196" spans="45:60" x14ac:dyDescent="0.25">
      <c r="AS1196">
        <f t="shared" si="160"/>
        <v>20</v>
      </c>
      <c r="AT1196">
        <f t="shared" si="161"/>
        <v>13</v>
      </c>
      <c r="AU1196">
        <f t="shared" ca="1" si="162"/>
        <v>-99</v>
      </c>
      <c r="AV1196">
        <f t="shared" ca="1" si="163"/>
        <v>-99</v>
      </c>
      <c r="AW1196">
        <f ca="1">IF(AND($AT1196&lt;3,OFFSET(DATA!$C$14,$AS1196,0)=AW$6),$AV1196,dNULL)</f>
        <v>-99</v>
      </c>
      <c r="AX1196">
        <f ca="1">IF(AND($AT1196&lt;3,OFFSET(DATA!$C$14,$AS1196,0)=AX$6),$AV1196,dNULL)</f>
        <v>-99</v>
      </c>
      <c r="AY1196">
        <f ca="1">IF(AND($AT1196&lt;3,OFFSET(DATA!$C$14,$AS1196,0)=AY$6),$AV1196,dNULL)</f>
        <v>-99</v>
      </c>
      <c r="AZ1196">
        <f ca="1">IF(AND($AT1196&lt;3,OFFSET(DATA!$C$14,$AS1196,0)=AZ$6),$AV1196,dNULL)</f>
        <v>-99</v>
      </c>
      <c r="BA1196">
        <f ca="1">IF(AND($AT1196&lt;3,OFFSET(DATA!$C$14,$AS1196,0)=BA$6),$AV1196,dNULL)</f>
        <v>-99</v>
      </c>
      <c r="BB1196">
        <f ca="1">IF(AND($AT1196&lt;3,OFFSET(DATA!$C$14,$AS1196,0)=BB$6),$AV1196,dNULL)</f>
        <v>-99</v>
      </c>
      <c r="BC1196">
        <f ca="1">IF(AND($AT1196&lt;3,OFFSET(DATA!$C$14,$AS1196,0)=BC$6),$AV1196,dNULL)</f>
        <v>-99</v>
      </c>
      <c r="BD1196">
        <f ca="1">IF(AND($AT1196&lt;3,OFFSET(DATA!$C$14,$AS1196,0)=BD$6),$AV1196,dNULL)</f>
        <v>-99</v>
      </c>
      <c r="BE1196">
        <f ca="1">IF(AND($AT1196&lt;3,OFFSET(DATA!$C$14,$AS1196,0)=BE$6),$AV1196,dNULL)</f>
        <v>-99</v>
      </c>
      <c r="BF1196">
        <f ca="1">IF(AND($AT1196&lt;3,OFFSET(DATA!$C$14,$AS1196,0)=BF$6),$AV1196,dNULL)</f>
        <v>-99</v>
      </c>
      <c r="BG1196">
        <f ca="1">IF(AND($AT1196&lt;3,OFFSET(DATA!$C$14,$AS1196,0)=BG$6),$AV1196,dNULL)</f>
        <v>-99</v>
      </c>
      <c r="BH1196">
        <f ca="1">IF(AND($AT1196&lt;3,OFFSET(DATA!$C$14,$AS1196,0)=BH$6),$AV1196,dNULL)</f>
        <v>-99</v>
      </c>
    </row>
    <row r="1197" spans="45:60" x14ac:dyDescent="0.25">
      <c r="AS1197">
        <f t="shared" si="160"/>
        <v>21</v>
      </c>
      <c r="AT1197">
        <f t="shared" si="161"/>
        <v>13</v>
      </c>
      <c r="AU1197">
        <f t="shared" ca="1" si="162"/>
        <v>-99</v>
      </c>
      <c r="AV1197">
        <f t="shared" ca="1" si="163"/>
        <v>-99</v>
      </c>
      <c r="AW1197">
        <f ca="1">IF(AND($AT1197&lt;3,OFFSET(DATA!$C$14,$AS1197,0)=AW$6),$AV1197,dNULL)</f>
        <v>-99</v>
      </c>
      <c r="AX1197">
        <f ca="1">IF(AND($AT1197&lt;3,OFFSET(DATA!$C$14,$AS1197,0)=AX$6),$AV1197,dNULL)</f>
        <v>-99</v>
      </c>
      <c r="AY1197">
        <f ca="1">IF(AND($AT1197&lt;3,OFFSET(DATA!$C$14,$AS1197,0)=AY$6),$AV1197,dNULL)</f>
        <v>-99</v>
      </c>
      <c r="AZ1197">
        <f ca="1">IF(AND($AT1197&lt;3,OFFSET(DATA!$C$14,$AS1197,0)=AZ$6),$AV1197,dNULL)</f>
        <v>-99</v>
      </c>
      <c r="BA1197">
        <f ca="1">IF(AND($AT1197&lt;3,OFFSET(DATA!$C$14,$AS1197,0)=BA$6),$AV1197,dNULL)</f>
        <v>-99</v>
      </c>
      <c r="BB1197">
        <f ca="1">IF(AND($AT1197&lt;3,OFFSET(DATA!$C$14,$AS1197,0)=BB$6),$AV1197,dNULL)</f>
        <v>-99</v>
      </c>
      <c r="BC1197">
        <f ca="1">IF(AND($AT1197&lt;3,OFFSET(DATA!$C$14,$AS1197,0)=BC$6),$AV1197,dNULL)</f>
        <v>-99</v>
      </c>
      <c r="BD1197">
        <f ca="1">IF(AND($AT1197&lt;3,OFFSET(DATA!$C$14,$AS1197,0)=BD$6),$AV1197,dNULL)</f>
        <v>-99</v>
      </c>
      <c r="BE1197">
        <f ca="1">IF(AND($AT1197&lt;3,OFFSET(DATA!$C$14,$AS1197,0)=BE$6),$AV1197,dNULL)</f>
        <v>-99</v>
      </c>
      <c r="BF1197">
        <f ca="1">IF(AND($AT1197&lt;3,OFFSET(DATA!$C$14,$AS1197,0)=BF$6),$AV1197,dNULL)</f>
        <v>-99</v>
      </c>
      <c r="BG1197">
        <f ca="1">IF(AND($AT1197&lt;3,OFFSET(DATA!$C$14,$AS1197,0)=BG$6),$AV1197,dNULL)</f>
        <v>-99</v>
      </c>
      <c r="BH1197">
        <f ca="1">IF(AND($AT1197&lt;3,OFFSET(DATA!$C$14,$AS1197,0)=BH$6),$AV1197,dNULL)</f>
        <v>-99</v>
      </c>
    </row>
    <row r="1198" spans="45:60" x14ac:dyDescent="0.25">
      <c r="AS1198">
        <f t="shared" si="160"/>
        <v>22</v>
      </c>
      <c r="AT1198">
        <f t="shared" si="161"/>
        <v>13</v>
      </c>
      <c r="AU1198">
        <f t="shared" ca="1" si="162"/>
        <v>-99</v>
      </c>
      <c r="AV1198">
        <f t="shared" ca="1" si="163"/>
        <v>-99</v>
      </c>
      <c r="AW1198">
        <f ca="1">IF(AND($AT1198&lt;3,OFFSET(DATA!$C$14,$AS1198,0)=AW$6),$AV1198,dNULL)</f>
        <v>-99</v>
      </c>
      <c r="AX1198">
        <f ca="1">IF(AND($AT1198&lt;3,OFFSET(DATA!$C$14,$AS1198,0)=AX$6),$AV1198,dNULL)</f>
        <v>-99</v>
      </c>
      <c r="AY1198">
        <f ca="1">IF(AND($AT1198&lt;3,OFFSET(DATA!$C$14,$AS1198,0)=AY$6),$AV1198,dNULL)</f>
        <v>-99</v>
      </c>
      <c r="AZ1198">
        <f ca="1">IF(AND($AT1198&lt;3,OFFSET(DATA!$C$14,$AS1198,0)=AZ$6),$AV1198,dNULL)</f>
        <v>-99</v>
      </c>
      <c r="BA1198">
        <f ca="1">IF(AND($AT1198&lt;3,OFFSET(DATA!$C$14,$AS1198,0)=BA$6),$AV1198,dNULL)</f>
        <v>-99</v>
      </c>
      <c r="BB1198">
        <f ca="1">IF(AND($AT1198&lt;3,OFFSET(DATA!$C$14,$AS1198,0)=BB$6),$AV1198,dNULL)</f>
        <v>-99</v>
      </c>
      <c r="BC1198">
        <f ca="1">IF(AND($AT1198&lt;3,OFFSET(DATA!$C$14,$AS1198,0)=BC$6),$AV1198,dNULL)</f>
        <v>-99</v>
      </c>
      <c r="BD1198">
        <f ca="1">IF(AND($AT1198&lt;3,OFFSET(DATA!$C$14,$AS1198,0)=BD$6),$AV1198,dNULL)</f>
        <v>-99</v>
      </c>
      <c r="BE1198">
        <f ca="1">IF(AND($AT1198&lt;3,OFFSET(DATA!$C$14,$AS1198,0)=BE$6),$AV1198,dNULL)</f>
        <v>-99</v>
      </c>
      <c r="BF1198">
        <f ca="1">IF(AND($AT1198&lt;3,OFFSET(DATA!$C$14,$AS1198,0)=BF$6),$AV1198,dNULL)</f>
        <v>-99</v>
      </c>
      <c r="BG1198">
        <f ca="1">IF(AND($AT1198&lt;3,OFFSET(DATA!$C$14,$AS1198,0)=BG$6),$AV1198,dNULL)</f>
        <v>-99</v>
      </c>
      <c r="BH1198">
        <f ca="1">IF(AND($AT1198&lt;3,OFFSET(DATA!$C$14,$AS1198,0)=BH$6),$AV1198,dNULL)</f>
        <v>-99</v>
      </c>
    </row>
    <row r="1199" spans="45:60" x14ac:dyDescent="0.25">
      <c r="AS1199">
        <f t="shared" si="160"/>
        <v>23</v>
      </c>
      <c r="AT1199">
        <f t="shared" si="161"/>
        <v>13</v>
      </c>
      <c r="AU1199">
        <f t="shared" ca="1" si="162"/>
        <v>-99</v>
      </c>
      <c r="AV1199">
        <f t="shared" ca="1" si="163"/>
        <v>-99</v>
      </c>
      <c r="AW1199">
        <f ca="1">IF(AND($AT1199&lt;3,OFFSET(DATA!$C$14,$AS1199,0)=AW$6),$AV1199,dNULL)</f>
        <v>-99</v>
      </c>
      <c r="AX1199">
        <f ca="1">IF(AND($AT1199&lt;3,OFFSET(DATA!$C$14,$AS1199,0)=AX$6),$AV1199,dNULL)</f>
        <v>-99</v>
      </c>
      <c r="AY1199">
        <f ca="1">IF(AND($AT1199&lt;3,OFFSET(DATA!$C$14,$AS1199,0)=AY$6),$AV1199,dNULL)</f>
        <v>-99</v>
      </c>
      <c r="AZ1199">
        <f ca="1">IF(AND($AT1199&lt;3,OFFSET(DATA!$C$14,$AS1199,0)=AZ$6),$AV1199,dNULL)</f>
        <v>-99</v>
      </c>
      <c r="BA1199">
        <f ca="1">IF(AND($AT1199&lt;3,OFFSET(DATA!$C$14,$AS1199,0)=BA$6),$AV1199,dNULL)</f>
        <v>-99</v>
      </c>
      <c r="BB1199">
        <f ca="1">IF(AND($AT1199&lt;3,OFFSET(DATA!$C$14,$AS1199,0)=BB$6),$AV1199,dNULL)</f>
        <v>-99</v>
      </c>
      <c r="BC1199">
        <f ca="1">IF(AND($AT1199&lt;3,OFFSET(DATA!$C$14,$AS1199,0)=BC$6),$AV1199,dNULL)</f>
        <v>-99</v>
      </c>
      <c r="BD1199">
        <f ca="1">IF(AND($AT1199&lt;3,OFFSET(DATA!$C$14,$AS1199,0)=BD$6),$AV1199,dNULL)</f>
        <v>-99</v>
      </c>
      <c r="BE1199">
        <f ca="1">IF(AND($AT1199&lt;3,OFFSET(DATA!$C$14,$AS1199,0)=BE$6),$AV1199,dNULL)</f>
        <v>-99</v>
      </c>
      <c r="BF1199">
        <f ca="1">IF(AND($AT1199&lt;3,OFFSET(DATA!$C$14,$AS1199,0)=BF$6),$AV1199,dNULL)</f>
        <v>-99</v>
      </c>
      <c r="BG1199">
        <f ca="1">IF(AND($AT1199&lt;3,OFFSET(DATA!$C$14,$AS1199,0)=BG$6),$AV1199,dNULL)</f>
        <v>-99</v>
      </c>
      <c r="BH1199">
        <f ca="1">IF(AND($AT1199&lt;3,OFFSET(DATA!$C$14,$AS1199,0)=BH$6),$AV1199,dNULL)</f>
        <v>-99</v>
      </c>
    </row>
    <row r="1200" spans="45:60" x14ac:dyDescent="0.25">
      <c r="AS1200">
        <f t="shared" si="160"/>
        <v>24</v>
      </c>
      <c r="AT1200">
        <f t="shared" si="161"/>
        <v>13</v>
      </c>
      <c r="AU1200">
        <f t="shared" ca="1" si="162"/>
        <v>-99</v>
      </c>
      <c r="AV1200">
        <f t="shared" ca="1" si="163"/>
        <v>-99</v>
      </c>
      <c r="AW1200">
        <f ca="1">IF(AND($AT1200&lt;3,OFFSET(DATA!$C$14,$AS1200,0)=AW$6),$AV1200,dNULL)</f>
        <v>-99</v>
      </c>
      <c r="AX1200">
        <f ca="1">IF(AND($AT1200&lt;3,OFFSET(DATA!$C$14,$AS1200,0)=AX$6),$AV1200,dNULL)</f>
        <v>-99</v>
      </c>
      <c r="AY1200">
        <f ca="1">IF(AND($AT1200&lt;3,OFFSET(DATA!$C$14,$AS1200,0)=AY$6),$AV1200,dNULL)</f>
        <v>-99</v>
      </c>
      <c r="AZ1200">
        <f ca="1">IF(AND($AT1200&lt;3,OFFSET(DATA!$C$14,$AS1200,0)=AZ$6),$AV1200,dNULL)</f>
        <v>-99</v>
      </c>
      <c r="BA1200">
        <f ca="1">IF(AND($AT1200&lt;3,OFFSET(DATA!$C$14,$AS1200,0)=BA$6),$AV1200,dNULL)</f>
        <v>-99</v>
      </c>
      <c r="BB1200">
        <f ca="1">IF(AND($AT1200&lt;3,OFFSET(DATA!$C$14,$AS1200,0)=BB$6),$AV1200,dNULL)</f>
        <v>-99</v>
      </c>
      <c r="BC1200">
        <f ca="1">IF(AND($AT1200&lt;3,OFFSET(DATA!$C$14,$AS1200,0)=BC$6),$AV1200,dNULL)</f>
        <v>-99</v>
      </c>
      <c r="BD1200">
        <f ca="1">IF(AND($AT1200&lt;3,OFFSET(DATA!$C$14,$AS1200,0)=BD$6),$AV1200,dNULL)</f>
        <v>-99</v>
      </c>
      <c r="BE1200">
        <f ca="1">IF(AND($AT1200&lt;3,OFFSET(DATA!$C$14,$AS1200,0)=BE$6),$AV1200,dNULL)</f>
        <v>-99</v>
      </c>
      <c r="BF1200">
        <f ca="1">IF(AND($AT1200&lt;3,OFFSET(DATA!$C$14,$AS1200,0)=BF$6),$AV1200,dNULL)</f>
        <v>-99</v>
      </c>
      <c r="BG1200">
        <f ca="1">IF(AND($AT1200&lt;3,OFFSET(DATA!$C$14,$AS1200,0)=BG$6),$AV1200,dNULL)</f>
        <v>-99</v>
      </c>
      <c r="BH1200">
        <f ca="1">IF(AND($AT1200&lt;3,OFFSET(DATA!$C$14,$AS1200,0)=BH$6),$AV1200,dNULL)</f>
        <v>-99</v>
      </c>
    </row>
    <row r="1201" spans="45:60" x14ac:dyDescent="0.25">
      <c r="AS1201">
        <f t="shared" si="160"/>
        <v>25</v>
      </c>
      <c r="AT1201">
        <f t="shared" si="161"/>
        <v>13</v>
      </c>
      <c r="AU1201">
        <f t="shared" ca="1" si="162"/>
        <v>-99</v>
      </c>
      <c r="AV1201">
        <f t="shared" ca="1" si="163"/>
        <v>-99</v>
      </c>
      <c r="AW1201">
        <f ca="1">IF(AND($AT1201&lt;3,OFFSET(DATA!$C$14,$AS1201,0)=AW$6),$AV1201,dNULL)</f>
        <v>-99</v>
      </c>
      <c r="AX1201">
        <f ca="1">IF(AND($AT1201&lt;3,OFFSET(DATA!$C$14,$AS1201,0)=AX$6),$AV1201,dNULL)</f>
        <v>-99</v>
      </c>
      <c r="AY1201">
        <f ca="1">IF(AND($AT1201&lt;3,OFFSET(DATA!$C$14,$AS1201,0)=AY$6),$AV1201,dNULL)</f>
        <v>-99</v>
      </c>
      <c r="AZ1201">
        <f ca="1">IF(AND($AT1201&lt;3,OFFSET(DATA!$C$14,$AS1201,0)=AZ$6),$AV1201,dNULL)</f>
        <v>-99</v>
      </c>
      <c r="BA1201">
        <f ca="1">IF(AND($AT1201&lt;3,OFFSET(DATA!$C$14,$AS1201,0)=BA$6),$AV1201,dNULL)</f>
        <v>-99</v>
      </c>
      <c r="BB1201">
        <f ca="1">IF(AND($AT1201&lt;3,OFFSET(DATA!$C$14,$AS1201,0)=BB$6),$AV1201,dNULL)</f>
        <v>-99</v>
      </c>
      <c r="BC1201">
        <f ca="1">IF(AND($AT1201&lt;3,OFFSET(DATA!$C$14,$AS1201,0)=BC$6),$AV1201,dNULL)</f>
        <v>-99</v>
      </c>
      <c r="BD1201">
        <f ca="1">IF(AND($AT1201&lt;3,OFFSET(DATA!$C$14,$AS1201,0)=BD$6),$AV1201,dNULL)</f>
        <v>-99</v>
      </c>
      <c r="BE1201">
        <f ca="1">IF(AND($AT1201&lt;3,OFFSET(DATA!$C$14,$AS1201,0)=BE$6),$AV1201,dNULL)</f>
        <v>-99</v>
      </c>
      <c r="BF1201">
        <f ca="1">IF(AND($AT1201&lt;3,OFFSET(DATA!$C$14,$AS1201,0)=BF$6),$AV1201,dNULL)</f>
        <v>-99</v>
      </c>
      <c r="BG1201">
        <f ca="1">IF(AND($AT1201&lt;3,OFFSET(DATA!$C$14,$AS1201,0)=BG$6),$AV1201,dNULL)</f>
        <v>-99</v>
      </c>
      <c r="BH1201">
        <f ca="1">IF(AND($AT1201&lt;3,OFFSET(DATA!$C$14,$AS1201,0)=BH$6),$AV1201,dNULL)</f>
        <v>-99</v>
      </c>
    </row>
    <row r="1202" spans="45:60" x14ac:dyDescent="0.25">
      <c r="AS1202">
        <f t="shared" si="160"/>
        <v>26</v>
      </c>
      <c r="AT1202">
        <f t="shared" si="161"/>
        <v>13</v>
      </c>
      <c r="AU1202">
        <f t="shared" ca="1" si="162"/>
        <v>-99</v>
      </c>
      <c r="AV1202">
        <f t="shared" ca="1" si="163"/>
        <v>-99</v>
      </c>
      <c r="AW1202">
        <f ca="1">IF(AND($AT1202&lt;3,OFFSET(DATA!$C$14,$AS1202,0)=AW$6),$AV1202,dNULL)</f>
        <v>-99</v>
      </c>
      <c r="AX1202">
        <f ca="1">IF(AND($AT1202&lt;3,OFFSET(DATA!$C$14,$AS1202,0)=AX$6),$AV1202,dNULL)</f>
        <v>-99</v>
      </c>
      <c r="AY1202">
        <f ca="1">IF(AND($AT1202&lt;3,OFFSET(DATA!$C$14,$AS1202,0)=AY$6),$AV1202,dNULL)</f>
        <v>-99</v>
      </c>
      <c r="AZ1202">
        <f ca="1">IF(AND($AT1202&lt;3,OFFSET(DATA!$C$14,$AS1202,0)=AZ$6),$AV1202,dNULL)</f>
        <v>-99</v>
      </c>
      <c r="BA1202">
        <f ca="1">IF(AND($AT1202&lt;3,OFFSET(DATA!$C$14,$AS1202,0)=BA$6),$AV1202,dNULL)</f>
        <v>-99</v>
      </c>
      <c r="BB1202">
        <f ca="1">IF(AND($AT1202&lt;3,OFFSET(DATA!$C$14,$AS1202,0)=BB$6),$AV1202,dNULL)</f>
        <v>-99</v>
      </c>
      <c r="BC1202">
        <f ca="1">IF(AND($AT1202&lt;3,OFFSET(DATA!$C$14,$AS1202,0)=BC$6),$AV1202,dNULL)</f>
        <v>-99</v>
      </c>
      <c r="BD1202">
        <f ca="1">IF(AND($AT1202&lt;3,OFFSET(DATA!$C$14,$AS1202,0)=BD$6),$AV1202,dNULL)</f>
        <v>-99</v>
      </c>
      <c r="BE1202">
        <f ca="1">IF(AND($AT1202&lt;3,OFFSET(DATA!$C$14,$AS1202,0)=BE$6),$AV1202,dNULL)</f>
        <v>-99</v>
      </c>
      <c r="BF1202">
        <f ca="1">IF(AND($AT1202&lt;3,OFFSET(DATA!$C$14,$AS1202,0)=BF$6),$AV1202,dNULL)</f>
        <v>-99</v>
      </c>
      <c r="BG1202">
        <f ca="1">IF(AND($AT1202&lt;3,OFFSET(DATA!$C$14,$AS1202,0)=BG$6),$AV1202,dNULL)</f>
        <v>-99</v>
      </c>
      <c r="BH1202">
        <f ca="1">IF(AND($AT1202&lt;3,OFFSET(DATA!$C$14,$AS1202,0)=BH$6),$AV1202,dNULL)</f>
        <v>-99</v>
      </c>
    </row>
    <row r="1203" spans="45:60" x14ac:dyDescent="0.25">
      <c r="AS1203">
        <f t="shared" si="160"/>
        <v>27</v>
      </c>
      <c r="AT1203">
        <f t="shared" si="161"/>
        <v>13</v>
      </c>
      <c r="AU1203">
        <f t="shared" ca="1" si="162"/>
        <v>-99</v>
      </c>
      <c r="AV1203">
        <f t="shared" ca="1" si="163"/>
        <v>-99</v>
      </c>
      <c r="AW1203">
        <f ca="1">IF(AND($AT1203&lt;3,OFFSET(DATA!$C$14,$AS1203,0)=AW$6),$AV1203,dNULL)</f>
        <v>-99</v>
      </c>
      <c r="AX1203">
        <f ca="1">IF(AND($AT1203&lt;3,OFFSET(DATA!$C$14,$AS1203,0)=AX$6),$AV1203,dNULL)</f>
        <v>-99</v>
      </c>
      <c r="AY1203">
        <f ca="1">IF(AND($AT1203&lt;3,OFFSET(DATA!$C$14,$AS1203,0)=AY$6),$AV1203,dNULL)</f>
        <v>-99</v>
      </c>
      <c r="AZ1203">
        <f ca="1">IF(AND($AT1203&lt;3,OFFSET(DATA!$C$14,$AS1203,0)=AZ$6),$AV1203,dNULL)</f>
        <v>-99</v>
      </c>
      <c r="BA1203">
        <f ca="1">IF(AND($AT1203&lt;3,OFFSET(DATA!$C$14,$AS1203,0)=BA$6),$AV1203,dNULL)</f>
        <v>-99</v>
      </c>
      <c r="BB1203">
        <f ca="1">IF(AND($AT1203&lt;3,OFFSET(DATA!$C$14,$AS1203,0)=BB$6),$AV1203,dNULL)</f>
        <v>-99</v>
      </c>
      <c r="BC1203">
        <f ca="1">IF(AND($AT1203&lt;3,OFFSET(DATA!$C$14,$AS1203,0)=BC$6),$AV1203,dNULL)</f>
        <v>-99</v>
      </c>
      <c r="BD1203">
        <f ca="1">IF(AND($AT1203&lt;3,OFFSET(DATA!$C$14,$AS1203,0)=BD$6),$AV1203,dNULL)</f>
        <v>-99</v>
      </c>
      <c r="BE1203">
        <f ca="1">IF(AND($AT1203&lt;3,OFFSET(DATA!$C$14,$AS1203,0)=BE$6),$AV1203,dNULL)</f>
        <v>-99</v>
      </c>
      <c r="BF1203">
        <f ca="1">IF(AND($AT1203&lt;3,OFFSET(DATA!$C$14,$AS1203,0)=BF$6),$AV1203,dNULL)</f>
        <v>-99</v>
      </c>
      <c r="BG1203">
        <f ca="1">IF(AND($AT1203&lt;3,OFFSET(DATA!$C$14,$AS1203,0)=BG$6),$AV1203,dNULL)</f>
        <v>-99</v>
      </c>
      <c r="BH1203">
        <f ca="1">IF(AND($AT1203&lt;3,OFFSET(DATA!$C$14,$AS1203,0)=BH$6),$AV1203,dNULL)</f>
        <v>-99</v>
      </c>
    </row>
    <row r="1204" spans="45:60" x14ac:dyDescent="0.25">
      <c r="AS1204">
        <f t="shared" si="160"/>
        <v>28</v>
      </c>
      <c r="AT1204">
        <f t="shared" si="161"/>
        <v>13</v>
      </c>
      <c r="AU1204">
        <f t="shared" ca="1" si="162"/>
        <v>-99</v>
      </c>
      <c r="AV1204">
        <f t="shared" ca="1" si="163"/>
        <v>-99</v>
      </c>
      <c r="AW1204">
        <f ca="1">IF(AND($AT1204&lt;3,OFFSET(DATA!$C$14,$AS1204,0)=AW$6),$AV1204,dNULL)</f>
        <v>-99</v>
      </c>
      <c r="AX1204">
        <f ca="1">IF(AND($AT1204&lt;3,OFFSET(DATA!$C$14,$AS1204,0)=AX$6),$AV1204,dNULL)</f>
        <v>-99</v>
      </c>
      <c r="AY1204">
        <f ca="1">IF(AND($AT1204&lt;3,OFFSET(DATA!$C$14,$AS1204,0)=AY$6),$AV1204,dNULL)</f>
        <v>-99</v>
      </c>
      <c r="AZ1204">
        <f ca="1">IF(AND($AT1204&lt;3,OFFSET(DATA!$C$14,$AS1204,0)=AZ$6),$AV1204,dNULL)</f>
        <v>-99</v>
      </c>
      <c r="BA1204">
        <f ca="1">IF(AND($AT1204&lt;3,OFFSET(DATA!$C$14,$AS1204,0)=BA$6),$AV1204,dNULL)</f>
        <v>-99</v>
      </c>
      <c r="BB1204">
        <f ca="1">IF(AND($AT1204&lt;3,OFFSET(DATA!$C$14,$AS1204,0)=BB$6),$AV1204,dNULL)</f>
        <v>-99</v>
      </c>
      <c r="BC1204">
        <f ca="1">IF(AND($AT1204&lt;3,OFFSET(DATA!$C$14,$AS1204,0)=BC$6),$AV1204,dNULL)</f>
        <v>-99</v>
      </c>
      <c r="BD1204">
        <f ca="1">IF(AND($AT1204&lt;3,OFFSET(DATA!$C$14,$AS1204,0)=BD$6),$AV1204,dNULL)</f>
        <v>-99</v>
      </c>
      <c r="BE1204">
        <f ca="1">IF(AND($AT1204&lt;3,OFFSET(DATA!$C$14,$AS1204,0)=BE$6),$AV1204,dNULL)</f>
        <v>-99</v>
      </c>
      <c r="BF1204">
        <f ca="1">IF(AND($AT1204&lt;3,OFFSET(DATA!$C$14,$AS1204,0)=BF$6),$AV1204,dNULL)</f>
        <v>-99</v>
      </c>
      <c r="BG1204">
        <f ca="1">IF(AND($AT1204&lt;3,OFFSET(DATA!$C$14,$AS1204,0)=BG$6),$AV1204,dNULL)</f>
        <v>-99</v>
      </c>
      <c r="BH1204">
        <f ca="1">IF(AND($AT1204&lt;3,OFFSET(DATA!$C$14,$AS1204,0)=BH$6),$AV1204,dNULL)</f>
        <v>-99</v>
      </c>
    </row>
    <row r="1205" spans="45:60" x14ac:dyDescent="0.25">
      <c r="AS1205">
        <f t="shared" si="160"/>
        <v>29</v>
      </c>
      <c r="AT1205">
        <f t="shared" si="161"/>
        <v>13</v>
      </c>
      <c r="AU1205">
        <f t="shared" ca="1" si="162"/>
        <v>-99</v>
      </c>
      <c r="AV1205">
        <f t="shared" ca="1" si="163"/>
        <v>-99</v>
      </c>
      <c r="AW1205">
        <f ca="1">IF(AND($AT1205&lt;3,OFFSET(DATA!$C$14,$AS1205,0)=AW$6),$AV1205,dNULL)</f>
        <v>-99</v>
      </c>
      <c r="AX1205">
        <f ca="1">IF(AND($AT1205&lt;3,OFFSET(DATA!$C$14,$AS1205,0)=AX$6),$AV1205,dNULL)</f>
        <v>-99</v>
      </c>
      <c r="AY1205">
        <f ca="1">IF(AND($AT1205&lt;3,OFFSET(DATA!$C$14,$AS1205,0)=AY$6),$AV1205,dNULL)</f>
        <v>-99</v>
      </c>
      <c r="AZ1205">
        <f ca="1">IF(AND($AT1205&lt;3,OFFSET(DATA!$C$14,$AS1205,0)=AZ$6),$AV1205,dNULL)</f>
        <v>-99</v>
      </c>
      <c r="BA1205">
        <f ca="1">IF(AND($AT1205&lt;3,OFFSET(DATA!$C$14,$AS1205,0)=BA$6),$AV1205,dNULL)</f>
        <v>-99</v>
      </c>
      <c r="BB1205">
        <f ca="1">IF(AND($AT1205&lt;3,OFFSET(DATA!$C$14,$AS1205,0)=BB$6),$AV1205,dNULL)</f>
        <v>-99</v>
      </c>
      <c r="BC1205">
        <f ca="1">IF(AND($AT1205&lt;3,OFFSET(DATA!$C$14,$AS1205,0)=BC$6),$AV1205,dNULL)</f>
        <v>-99</v>
      </c>
      <c r="BD1205">
        <f ca="1">IF(AND($AT1205&lt;3,OFFSET(DATA!$C$14,$AS1205,0)=BD$6),$AV1205,dNULL)</f>
        <v>-99</v>
      </c>
      <c r="BE1205">
        <f ca="1">IF(AND($AT1205&lt;3,OFFSET(DATA!$C$14,$AS1205,0)=BE$6),$AV1205,dNULL)</f>
        <v>-99</v>
      </c>
      <c r="BF1205">
        <f ca="1">IF(AND($AT1205&lt;3,OFFSET(DATA!$C$14,$AS1205,0)=BF$6),$AV1205,dNULL)</f>
        <v>-99</v>
      </c>
      <c r="BG1205">
        <f ca="1">IF(AND($AT1205&lt;3,OFFSET(DATA!$C$14,$AS1205,0)=BG$6),$AV1205,dNULL)</f>
        <v>-99</v>
      </c>
      <c r="BH1205">
        <f ca="1">IF(AND($AT1205&lt;3,OFFSET(DATA!$C$14,$AS1205,0)=BH$6),$AV1205,dNULL)</f>
        <v>-99</v>
      </c>
    </row>
    <row r="1206" spans="45:60" x14ac:dyDescent="0.25">
      <c r="AS1206">
        <f t="shared" si="160"/>
        <v>30</v>
      </c>
      <c r="AT1206">
        <f t="shared" si="161"/>
        <v>13</v>
      </c>
      <c r="AU1206">
        <f t="shared" ca="1" si="162"/>
        <v>-99</v>
      </c>
      <c r="AV1206">
        <f t="shared" ca="1" si="163"/>
        <v>-99</v>
      </c>
      <c r="AW1206">
        <f ca="1">IF(AND($AT1206&lt;3,OFFSET(DATA!$C$14,$AS1206,0)=AW$6),$AV1206,dNULL)</f>
        <v>-99</v>
      </c>
      <c r="AX1206">
        <f ca="1">IF(AND($AT1206&lt;3,OFFSET(DATA!$C$14,$AS1206,0)=AX$6),$AV1206,dNULL)</f>
        <v>-99</v>
      </c>
      <c r="AY1206">
        <f ca="1">IF(AND($AT1206&lt;3,OFFSET(DATA!$C$14,$AS1206,0)=AY$6),$AV1206,dNULL)</f>
        <v>-99</v>
      </c>
      <c r="AZ1206">
        <f ca="1">IF(AND($AT1206&lt;3,OFFSET(DATA!$C$14,$AS1206,0)=AZ$6),$AV1206,dNULL)</f>
        <v>-99</v>
      </c>
      <c r="BA1206">
        <f ca="1">IF(AND($AT1206&lt;3,OFFSET(DATA!$C$14,$AS1206,0)=BA$6),$AV1206,dNULL)</f>
        <v>-99</v>
      </c>
      <c r="BB1206">
        <f ca="1">IF(AND($AT1206&lt;3,OFFSET(DATA!$C$14,$AS1206,0)=BB$6),$AV1206,dNULL)</f>
        <v>-99</v>
      </c>
      <c r="BC1206">
        <f ca="1">IF(AND($AT1206&lt;3,OFFSET(DATA!$C$14,$AS1206,0)=BC$6),$AV1206,dNULL)</f>
        <v>-99</v>
      </c>
      <c r="BD1206">
        <f ca="1">IF(AND($AT1206&lt;3,OFFSET(DATA!$C$14,$AS1206,0)=BD$6),$AV1206,dNULL)</f>
        <v>-99</v>
      </c>
      <c r="BE1206">
        <f ca="1">IF(AND($AT1206&lt;3,OFFSET(DATA!$C$14,$AS1206,0)=BE$6),$AV1206,dNULL)</f>
        <v>-99</v>
      </c>
      <c r="BF1206">
        <f ca="1">IF(AND($AT1206&lt;3,OFFSET(DATA!$C$14,$AS1206,0)=BF$6),$AV1206,dNULL)</f>
        <v>-99</v>
      </c>
      <c r="BG1206">
        <f ca="1">IF(AND($AT1206&lt;3,OFFSET(DATA!$C$14,$AS1206,0)=BG$6),$AV1206,dNULL)</f>
        <v>-99</v>
      </c>
      <c r="BH1206">
        <f ca="1">IF(AND($AT1206&lt;3,OFFSET(DATA!$C$14,$AS1206,0)=BH$6),$AV1206,dNULL)</f>
        <v>-99</v>
      </c>
    </row>
    <row r="1207" spans="45:60" x14ac:dyDescent="0.25">
      <c r="AS1207">
        <f t="shared" si="160"/>
        <v>31</v>
      </c>
      <c r="AT1207">
        <f t="shared" si="161"/>
        <v>13</v>
      </c>
      <c r="AU1207">
        <f t="shared" ca="1" si="162"/>
        <v>-99</v>
      </c>
      <c r="AV1207">
        <f t="shared" ca="1" si="163"/>
        <v>-99</v>
      </c>
      <c r="AW1207">
        <f ca="1">IF(AND($AT1207&lt;3,OFFSET(DATA!$C$14,$AS1207,0)=AW$6),$AV1207,dNULL)</f>
        <v>-99</v>
      </c>
      <c r="AX1207">
        <f ca="1">IF(AND($AT1207&lt;3,OFFSET(DATA!$C$14,$AS1207,0)=AX$6),$AV1207,dNULL)</f>
        <v>-99</v>
      </c>
      <c r="AY1207">
        <f ca="1">IF(AND($AT1207&lt;3,OFFSET(DATA!$C$14,$AS1207,0)=AY$6),$AV1207,dNULL)</f>
        <v>-99</v>
      </c>
      <c r="AZ1207">
        <f ca="1">IF(AND($AT1207&lt;3,OFFSET(DATA!$C$14,$AS1207,0)=AZ$6),$AV1207,dNULL)</f>
        <v>-99</v>
      </c>
      <c r="BA1207">
        <f ca="1">IF(AND($AT1207&lt;3,OFFSET(DATA!$C$14,$AS1207,0)=BA$6),$AV1207,dNULL)</f>
        <v>-99</v>
      </c>
      <c r="BB1207">
        <f ca="1">IF(AND($AT1207&lt;3,OFFSET(DATA!$C$14,$AS1207,0)=BB$6),$AV1207,dNULL)</f>
        <v>-99</v>
      </c>
      <c r="BC1207">
        <f ca="1">IF(AND($AT1207&lt;3,OFFSET(DATA!$C$14,$AS1207,0)=BC$6),$AV1207,dNULL)</f>
        <v>-99</v>
      </c>
      <c r="BD1207">
        <f ca="1">IF(AND($AT1207&lt;3,OFFSET(DATA!$C$14,$AS1207,0)=BD$6),$AV1207,dNULL)</f>
        <v>-99</v>
      </c>
      <c r="BE1207">
        <f ca="1">IF(AND($AT1207&lt;3,OFFSET(DATA!$C$14,$AS1207,0)=BE$6),$AV1207,dNULL)</f>
        <v>-99</v>
      </c>
      <c r="BF1207">
        <f ca="1">IF(AND($AT1207&lt;3,OFFSET(DATA!$C$14,$AS1207,0)=BF$6),$AV1207,dNULL)</f>
        <v>-99</v>
      </c>
      <c r="BG1207">
        <f ca="1">IF(AND($AT1207&lt;3,OFFSET(DATA!$C$14,$AS1207,0)=BG$6),$AV1207,dNULL)</f>
        <v>-99</v>
      </c>
      <c r="BH1207">
        <f ca="1">IF(AND($AT1207&lt;3,OFFSET(DATA!$C$14,$AS1207,0)=BH$6),$AV1207,dNULL)</f>
        <v>-99</v>
      </c>
    </row>
    <row r="1208" spans="45:60" x14ac:dyDescent="0.25">
      <c r="AS1208">
        <f t="shared" si="160"/>
        <v>32</v>
      </c>
      <c r="AT1208">
        <f t="shared" si="161"/>
        <v>13</v>
      </c>
      <c r="AU1208">
        <f t="shared" ca="1" si="162"/>
        <v>-99</v>
      </c>
      <c r="AV1208">
        <f t="shared" ca="1" si="163"/>
        <v>-99</v>
      </c>
      <c r="AW1208">
        <f ca="1">IF(AND($AT1208&lt;3,OFFSET(DATA!$C$14,$AS1208,0)=AW$6),$AV1208,dNULL)</f>
        <v>-99</v>
      </c>
      <c r="AX1208">
        <f ca="1">IF(AND($AT1208&lt;3,OFFSET(DATA!$C$14,$AS1208,0)=AX$6),$AV1208,dNULL)</f>
        <v>-99</v>
      </c>
      <c r="AY1208">
        <f ca="1">IF(AND($AT1208&lt;3,OFFSET(DATA!$C$14,$AS1208,0)=AY$6),$AV1208,dNULL)</f>
        <v>-99</v>
      </c>
      <c r="AZ1208">
        <f ca="1">IF(AND($AT1208&lt;3,OFFSET(DATA!$C$14,$AS1208,0)=AZ$6),$AV1208,dNULL)</f>
        <v>-99</v>
      </c>
      <c r="BA1208">
        <f ca="1">IF(AND($AT1208&lt;3,OFFSET(DATA!$C$14,$AS1208,0)=BA$6),$AV1208,dNULL)</f>
        <v>-99</v>
      </c>
      <c r="BB1208">
        <f ca="1">IF(AND($AT1208&lt;3,OFFSET(DATA!$C$14,$AS1208,0)=BB$6),$AV1208,dNULL)</f>
        <v>-99</v>
      </c>
      <c r="BC1208">
        <f ca="1">IF(AND($AT1208&lt;3,OFFSET(DATA!$C$14,$AS1208,0)=BC$6),$AV1208,dNULL)</f>
        <v>-99</v>
      </c>
      <c r="BD1208">
        <f ca="1">IF(AND($AT1208&lt;3,OFFSET(DATA!$C$14,$AS1208,0)=BD$6),$AV1208,dNULL)</f>
        <v>-99</v>
      </c>
      <c r="BE1208">
        <f ca="1">IF(AND($AT1208&lt;3,OFFSET(DATA!$C$14,$AS1208,0)=BE$6),$AV1208,dNULL)</f>
        <v>-99</v>
      </c>
      <c r="BF1208">
        <f ca="1">IF(AND($AT1208&lt;3,OFFSET(DATA!$C$14,$AS1208,0)=BF$6),$AV1208,dNULL)</f>
        <v>-99</v>
      </c>
      <c r="BG1208">
        <f ca="1">IF(AND($AT1208&lt;3,OFFSET(DATA!$C$14,$AS1208,0)=BG$6),$AV1208,dNULL)</f>
        <v>-99</v>
      </c>
      <c r="BH1208">
        <f ca="1">IF(AND($AT1208&lt;3,OFFSET(DATA!$C$14,$AS1208,0)=BH$6),$AV1208,dNULL)</f>
        <v>-99</v>
      </c>
    </row>
    <row r="1209" spans="45:60" x14ac:dyDescent="0.25">
      <c r="AS1209">
        <f t="shared" si="160"/>
        <v>33</v>
      </c>
      <c r="AT1209">
        <f t="shared" si="161"/>
        <v>13</v>
      </c>
      <c r="AU1209">
        <f t="shared" ca="1" si="162"/>
        <v>-99</v>
      </c>
      <c r="AV1209">
        <f t="shared" ca="1" si="163"/>
        <v>-99</v>
      </c>
      <c r="AW1209">
        <f ca="1">IF(AND($AT1209&lt;3,OFFSET(DATA!$C$14,$AS1209,0)=AW$6),$AV1209,dNULL)</f>
        <v>-99</v>
      </c>
      <c r="AX1209">
        <f ca="1">IF(AND($AT1209&lt;3,OFFSET(DATA!$C$14,$AS1209,0)=AX$6),$AV1209,dNULL)</f>
        <v>-99</v>
      </c>
      <c r="AY1209">
        <f ca="1">IF(AND($AT1209&lt;3,OFFSET(DATA!$C$14,$AS1209,0)=AY$6),$AV1209,dNULL)</f>
        <v>-99</v>
      </c>
      <c r="AZ1209">
        <f ca="1">IF(AND($AT1209&lt;3,OFFSET(DATA!$C$14,$AS1209,0)=AZ$6),$AV1209,dNULL)</f>
        <v>-99</v>
      </c>
      <c r="BA1209">
        <f ca="1">IF(AND($AT1209&lt;3,OFFSET(DATA!$C$14,$AS1209,0)=BA$6),$AV1209,dNULL)</f>
        <v>-99</v>
      </c>
      <c r="BB1209">
        <f ca="1">IF(AND($AT1209&lt;3,OFFSET(DATA!$C$14,$AS1209,0)=BB$6),$AV1209,dNULL)</f>
        <v>-99</v>
      </c>
      <c r="BC1209">
        <f ca="1">IF(AND($AT1209&lt;3,OFFSET(DATA!$C$14,$AS1209,0)=BC$6),$AV1209,dNULL)</f>
        <v>-99</v>
      </c>
      <c r="BD1209">
        <f ca="1">IF(AND($AT1209&lt;3,OFFSET(DATA!$C$14,$AS1209,0)=BD$6),$AV1209,dNULL)</f>
        <v>-99</v>
      </c>
      <c r="BE1209">
        <f ca="1">IF(AND($AT1209&lt;3,OFFSET(DATA!$C$14,$AS1209,0)=BE$6),$AV1209,dNULL)</f>
        <v>-99</v>
      </c>
      <c r="BF1209">
        <f ca="1">IF(AND($AT1209&lt;3,OFFSET(DATA!$C$14,$AS1209,0)=BF$6),$AV1209,dNULL)</f>
        <v>-99</v>
      </c>
      <c r="BG1209">
        <f ca="1">IF(AND($AT1209&lt;3,OFFSET(DATA!$C$14,$AS1209,0)=BG$6),$AV1209,dNULL)</f>
        <v>-99</v>
      </c>
      <c r="BH1209">
        <f ca="1">IF(AND($AT1209&lt;3,OFFSET(DATA!$C$14,$AS1209,0)=BH$6),$AV1209,dNULL)</f>
        <v>-99</v>
      </c>
    </row>
    <row r="1210" spans="45:60" x14ac:dyDescent="0.25">
      <c r="AS1210">
        <f t="shared" si="160"/>
        <v>34</v>
      </c>
      <c r="AT1210">
        <f t="shared" si="161"/>
        <v>13</v>
      </c>
      <c r="AU1210">
        <f t="shared" ca="1" si="162"/>
        <v>-99</v>
      </c>
      <c r="AV1210">
        <f t="shared" ca="1" si="163"/>
        <v>-99</v>
      </c>
      <c r="AW1210">
        <f ca="1">IF(AND($AT1210&lt;3,OFFSET(DATA!$C$14,$AS1210,0)=AW$6),$AV1210,dNULL)</f>
        <v>-99</v>
      </c>
      <c r="AX1210">
        <f ca="1">IF(AND($AT1210&lt;3,OFFSET(DATA!$C$14,$AS1210,0)=AX$6),$AV1210,dNULL)</f>
        <v>-99</v>
      </c>
      <c r="AY1210">
        <f ca="1">IF(AND($AT1210&lt;3,OFFSET(DATA!$C$14,$AS1210,0)=AY$6),$AV1210,dNULL)</f>
        <v>-99</v>
      </c>
      <c r="AZ1210">
        <f ca="1">IF(AND($AT1210&lt;3,OFFSET(DATA!$C$14,$AS1210,0)=AZ$6),$AV1210,dNULL)</f>
        <v>-99</v>
      </c>
      <c r="BA1210">
        <f ca="1">IF(AND($AT1210&lt;3,OFFSET(DATA!$C$14,$AS1210,0)=BA$6),$AV1210,dNULL)</f>
        <v>-99</v>
      </c>
      <c r="BB1210">
        <f ca="1">IF(AND($AT1210&lt;3,OFFSET(DATA!$C$14,$AS1210,0)=BB$6),$AV1210,dNULL)</f>
        <v>-99</v>
      </c>
      <c r="BC1210">
        <f ca="1">IF(AND($AT1210&lt;3,OFFSET(DATA!$C$14,$AS1210,0)=BC$6),$AV1210,dNULL)</f>
        <v>-99</v>
      </c>
      <c r="BD1210">
        <f ca="1">IF(AND($AT1210&lt;3,OFFSET(DATA!$C$14,$AS1210,0)=BD$6),$AV1210,dNULL)</f>
        <v>-99</v>
      </c>
      <c r="BE1210">
        <f ca="1">IF(AND($AT1210&lt;3,OFFSET(DATA!$C$14,$AS1210,0)=BE$6),$AV1210,dNULL)</f>
        <v>-99</v>
      </c>
      <c r="BF1210">
        <f ca="1">IF(AND($AT1210&lt;3,OFFSET(DATA!$C$14,$AS1210,0)=BF$6),$AV1210,dNULL)</f>
        <v>-99</v>
      </c>
      <c r="BG1210">
        <f ca="1">IF(AND($AT1210&lt;3,OFFSET(DATA!$C$14,$AS1210,0)=BG$6),$AV1210,dNULL)</f>
        <v>-99</v>
      </c>
      <c r="BH1210">
        <f ca="1">IF(AND($AT1210&lt;3,OFFSET(DATA!$C$14,$AS1210,0)=BH$6),$AV1210,dNULL)</f>
        <v>-99</v>
      </c>
    </row>
    <row r="1211" spans="45:60" x14ac:dyDescent="0.25">
      <c r="AS1211">
        <f t="shared" si="160"/>
        <v>35</v>
      </c>
      <c r="AT1211">
        <f t="shared" si="161"/>
        <v>13</v>
      </c>
      <c r="AU1211">
        <f t="shared" ca="1" si="162"/>
        <v>-99</v>
      </c>
      <c r="AV1211">
        <f t="shared" ca="1" si="163"/>
        <v>-99</v>
      </c>
      <c r="AW1211">
        <f ca="1">IF(AND($AT1211&lt;3,OFFSET(DATA!$C$14,$AS1211,0)=AW$6),$AV1211,dNULL)</f>
        <v>-99</v>
      </c>
      <c r="AX1211">
        <f ca="1">IF(AND($AT1211&lt;3,OFFSET(DATA!$C$14,$AS1211,0)=AX$6),$AV1211,dNULL)</f>
        <v>-99</v>
      </c>
      <c r="AY1211">
        <f ca="1">IF(AND($AT1211&lt;3,OFFSET(DATA!$C$14,$AS1211,0)=AY$6),$AV1211,dNULL)</f>
        <v>-99</v>
      </c>
      <c r="AZ1211">
        <f ca="1">IF(AND($AT1211&lt;3,OFFSET(DATA!$C$14,$AS1211,0)=AZ$6),$AV1211,dNULL)</f>
        <v>-99</v>
      </c>
      <c r="BA1211">
        <f ca="1">IF(AND($AT1211&lt;3,OFFSET(DATA!$C$14,$AS1211,0)=BA$6),$AV1211,dNULL)</f>
        <v>-99</v>
      </c>
      <c r="BB1211">
        <f ca="1">IF(AND($AT1211&lt;3,OFFSET(DATA!$C$14,$AS1211,0)=BB$6),$AV1211,dNULL)</f>
        <v>-99</v>
      </c>
      <c r="BC1211">
        <f ca="1">IF(AND($AT1211&lt;3,OFFSET(DATA!$C$14,$AS1211,0)=BC$6),$AV1211,dNULL)</f>
        <v>-99</v>
      </c>
      <c r="BD1211">
        <f ca="1">IF(AND($AT1211&lt;3,OFFSET(DATA!$C$14,$AS1211,0)=BD$6),$AV1211,dNULL)</f>
        <v>-99</v>
      </c>
      <c r="BE1211">
        <f ca="1">IF(AND($AT1211&lt;3,OFFSET(DATA!$C$14,$AS1211,0)=BE$6),$AV1211,dNULL)</f>
        <v>-99</v>
      </c>
      <c r="BF1211">
        <f ca="1">IF(AND($AT1211&lt;3,OFFSET(DATA!$C$14,$AS1211,0)=BF$6),$AV1211,dNULL)</f>
        <v>-99</v>
      </c>
      <c r="BG1211">
        <f ca="1">IF(AND($AT1211&lt;3,OFFSET(DATA!$C$14,$AS1211,0)=BG$6),$AV1211,dNULL)</f>
        <v>-99</v>
      </c>
      <c r="BH1211">
        <f ca="1">IF(AND($AT1211&lt;3,OFFSET(DATA!$C$14,$AS1211,0)=BH$6),$AV1211,dNULL)</f>
        <v>-99</v>
      </c>
    </row>
  </sheetData>
  <dataConsolidate/>
  <dataValidations count="1">
    <dataValidation type="list" allowBlank="1" showInputMessage="1" showErrorMessage="1" sqref="C3" xr:uid="{6BC18E3D-9A9C-4D05-AC55-98E5D83CB1A7}">
      <formula1>"1,2,3,5,10"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15CF-083B-4D03-B2B8-6B5523AB1301}">
  <sheetPr codeName="Sheet3"/>
  <dimension ref="A1:AB455"/>
  <sheetViews>
    <sheetView zoomScale="90" zoomScaleNormal="90" workbookViewId="0">
      <pane ySplit="14" topLeftCell="A15" activePane="bottomLeft" state="frozenSplit"/>
      <selection pane="bottomLeft" activeCell="Q13" sqref="Q13"/>
    </sheetView>
  </sheetViews>
  <sheetFormatPr defaultColWidth="8.85546875" defaultRowHeight="12.75" outlineLevelRow="1" outlineLevelCol="1" x14ac:dyDescent="0.2"/>
  <cols>
    <col min="1" max="1" width="9.7109375" style="4" customWidth="1"/>
    <col min="2" max="2" width="8.140625" style="4" customWidth="1"/>
    <col min="3" max="3" width="26.28515625" style="4" bestFit="1" customWidth="1"/>
    <col min="4" max="4" width="23.42578125" style="5" customWidth="1"/>
    <col min="5" max="7" width="9.42578125" style="7" customWidth="1"/>
    <col min="8" max="10" width="8.85546875" style="7" customWidth="1"/>
    <col min="11" max="11" width="10.85546875" style="7" customWidth="1"/>
    <col min="12" max="13" width="8.85546875" style="7" customWidth="1"/>
    <col min="14" max="14" width="8.85546875" style="4" customWidth="1"/>
    <col min="15" max="15" width="4.28515625" style="4" customWidth="1"/>
    <col min="16" max="16" width="10.140625" style="4" bestFit="1" customWidth="1"/>
    <col min="17" max="17" width="8.85546875" style="4"/>
    <col min="18" max="27" width="8.85546875" style="4" hidden="1" customWidth="1" outlineLevel="1"/>
    <col min="28" max="28" width="8.85546875" style="4" collapsed="1"/>
    <col min="29" max="16384" width="8.85546875" style="4"/>
  </cols>
  <sheetData>
    <row r="1" spans="1:27" hidden="1" outlineLevel="1" x14ac:dyDescent="0.2">
      <c r="D1" s="22" t="str">
        <f>IF(ISNUMBER(CONTROL!$Y$5),E1&amp;F1&amp;G1&amp;H1&amp;I1&amp;J1&amp;K1&amp;L1&amp;M1&amp;N1,"")</f>
        <v xml:space="preserve">Ca²⁺ = 
Mg²⁺ = 
Na⁺ = 
K⁺ = 
HCO₃⁻ = 
CO₃⁻ = 
Cl⁻ = 
SO₄²⁻ = 
F⁻ = </v>
      </c>
      <c r="E1" s="7" t="str">
        <f>E$14&amp;IF(LEN(E$14)&gt;0," = ","")&amp;IF(LEN(F$14)&gt;0,CHAR(10),"")</f>
        <v xml:space="preserve">Ca²⁺ = 
</v>
      </c>
      <c r="F1" s="7" t="str">
        <f t="shared" ref="F1:N1" si="0">F14&amp;IF(LEN(F14)&gt;0," = ","")&amp;IF(LEN(G14)&gt;0,CHAR(10),"")</f>
        <v xml:space="preserve">Mg²⁺ = 
</v>
      </c>
      <c r="G1" s="7" t="str">
        <f t="shared" si="0"/>
        <v xml:space="preserve">Na⁺ = 
</v>
      </c>
      <c r="H1" s="7" t="str">
        <f t="shared" si="0"/>
        <v xml:space="preserve">K⁺ = 
</v>
      </c>
      <c r="I1" s="7" t="str">
        <f t="shared" si="0"/>
        <v xml:space="preserve">HCO₃⁻ = 
</v>
      </c>
      <c r="J1" s="7" t="str">
        <f t="shared" si="0"/>
        <v xml:space="preserve">CO₃⁻ = 
</v>
      </c>
      <c r="K1" s="7" t="str">
        <f t="shared" si="0"/>
        <v xml:space="preserve">Cl⁻ = 
</v>
      </c>
      <c r="L1" s="7" t="str">
        <f t="shared" si="0"/>
        <v xml:space="preserve">SO₄²⁻ = 
</v>
      </c>
      <c r="M1" s="7" t="str">
        <f t="shared" si="0"/>
        <v xml:space="preserve">F⁻ = </v>
      </c>
      <c r="N1" s="7" t="str">
        <f t="shared" si="0"/>
        <v/>
      </c>
    </row>
    <row r="2" spans="1:27" hidden="1" outlineLevel="1" x14ac:dyDescent="0.2">
      <c r="D2" s="22" t="str">
        <f ca="1">IF(ISNUMBER(CONTROL!$Y$5),E2&amp;F2&amp;G2&amp;H2&amp;I2&amp;J2&amp;K2&amp;L2&amp;M2&amp;N2,"")</f>
        <v>10.
2.
79.
2.
165.
0.
10.
44.
3.</v>
      </c>
      <c r="E2" s="7" t="str">
        <f ca="1">IF(LEN(E$14)&gt;0,TEXT(OFFSET(E$14,CONTROL!$Y$5,0),sTEXTform),"")&amp;IF(LEN(F$14)&gt;0,CHAR(10),"")</f>
        <v xml:space="preserve">10.
</v>
      </c>
      <c r="F2" s="7" t="str">
        <f ca="1">IF(LEN(F$14)&gt;0,TEXT(OFFSET(F$14,CONTROL!$Y$5,0),sTEXTform),"")&amp;IF(LEN(G$14)&gt;0,CHAR(10),"")</f>
        <v xml:space="preserve">2.
</v>
      </c>
      <c r="G2" s="7" t="str">
        <f ca="1">IF(LEN(G$14)&gt;0,TEXT(OFFSET(G$14,CONTROL!$Y$5,0),sTEXTform),"")&amp;IF(LEN(H$14)&gt;0,CHAR(10),"")</f>
        <v xml:space="preserve">79.
</v>
      </c>
      <c r="H2" s="7" t="str">
        <f ca="1">IF(LEN(H$14)&gt;0,TEXT(OFFSET(H$14,CONTROL!$Y$5,0),sTEXTform),"")&amp;IF(LEN(I$14)&gt;0,CHAR(10),"")</f>
        <v xml:space="preserve">2.
</v>
      </c>
      <c r="I2" s="7" t="str">
        <f ca="1">IF(LEN(I$14)&gt;0,TEXT(OFFSET(I$14,CONTROL!$Y$5,0),sTEXTform),"")&amp;IF(LEN(J$14)&gt;0,CHAR(10),"")</f>
        <v xml:space="preserve">165.
</v>
      </c>
      <c r="J2" s="7" t="str">
        <f ca="1">IF(LEN(J$14)&gt;0,TEXT(OFFSET(J$14,CONTROL!$Y$5,0),sTEXTform),"")&amp;IF(LEN(K$14)&gt;0,CHAR(10),"")</f>
        <v xml:space="preserve">0.
</v>
      </c>
      <c r="K2" s="7" t="str">
        <f ca="1">IF(LEN(K$14)&gt;0,TEXT(OFFSET(K$14,CONTROL!$Y$5,0),sTEXTform),"")&amp;IF(LEN(L$14)&gt;0,CHAR(10),"")</f>
        <v xml:space="preserve">10.
</v>
      </c>
      <c r="L2" s="7" t="str">
        <f ca="1">IF(LEN(L$14)&gt;0,TEXT(OFFSET(L$14,CONTROL!$Y$5,0),sTEXTform),"")&amp;IF(LEN(M$14)&gt;0,CHAR(10),"")</f>
        <v xml:space="preserve">44.
</v>
      </c>
      <c r="M2" s="7" t="str">
        <f ca="1">IF(LEN(M$14)&gt;0,TEXT(OFFSET(M$14,CONTROL!$Y$5,0),sTEXTform),"")&amp;IF(LEN(N$14)&gt;0,CHAR(10),"")</f>
        <v>3.</v>
      </c>
      <c r="O2" s="7" t="str">
        <f ca="1">TEXT(OFFSET(Q$14,CONTROL!$Y$5,0),"0%")</f>
        <v>1%</v>
      </c>
      <c r="Q2" s="12" t="s">
        <v>40</v>
      </c>
      <c r="R2" s="4">
        <f t="shared" ref="R2:AA2" ca="1" si="1">MATCH(R14,pickION,0)</f>
        <v>1</v>
      </c>
      <c r="S2" s="4">
        <f t="shared" ca="1" si="1"/>
        <v>2</v>
      </c>
      <c r="T2" s="4">
        <f t="shared" ca="1" si="1"/>
        <v>3</v>
      </c>
      <c r="U2" s="4">
        <f t="shared" ca="1" si="1"/>
        <v>4</v>
      </c>
      <c r="V2" s="4">
        <f t="shared" ca="1" si="1"/>
        <v>7</v>
      </c>
      <c r="W2" s="4">
        <f t="shared" ca="1" si="1"/>
        <v>8</v>
      </c>
      <c r="X2" s="4">
        <f t="shared" ca="1" si="1"/>
        <v>5</v>
      </c>
      <c r="Y2" s="4">
        <f t="shared" ca="1" si="1"/>
        <v>9</v>
      </c>
      <c r="Z2" s="4">
        <f t="shared" ca="1" si="1"/>
        <v>6</v>
      </c>
      <c r="AA2" s="4" t="e">
        <f t="shared" ca="1" si="1"/>
        <v>#N/A</v>
      </c>
    </row>
    <row r="3" spans="1:27" hidden="1" outlineLevel="1" x14ac:dyDescent="0.2">
      <c r="C3" s="4" t="str">
        <f ca="1">IF(ISNUMBER(CONTROL!$Y$5),sSITEnow&amp;", "&amp;F3&amp;G3,"")</f>
        <v>USW VH-1, TDS = 314. mg/L</v>
      </c>
      <c r="D3" s="22" t="str">
        <f ca="1">IF(ISNUMBER(CONTROL!$Y$5),E3&amp;F3&amp;G3&amp;CHAR(10)&amp;O3,"")</f>
        <v>USW VH-1
TDS = 314. mg/L
Charge balance = 1%</v>
      </c>
      <c r="E3" s="7" t="str">
        <f>sSITEnow&amp;CHAR(10)</f>
        <v xml:space="preserve">USW VH-1
</v>
      </c>
      <c r="F3" s="7" t="str">
        <f ca="1">IF(LEN(P$14)&gt;0,SUBSTITUTE($P$14,","," = "&amp;TEXT(OFFSET(P$14,CONTROL!$Y$5,0),sTEXTform)),"")</f>
        <v>TDS = 314. mg/L</v>
      </c>
      <c r="O3" s="29" t="str">
        <f ca="1">Q14&amp;" = "&amp;O2</f>
        <v>Charge balance = 1%</v>
      </c>
      <c r="Q3" s="12"/>
    </row>
    <row r="4" spans="1:27" hidden="1" outlineLevel="1" x14ac:dyDescent="0.2">
      <c r="D4" s="21" t="s">
        <v>76</v>
      </c>
      <c r="E4" s="20" t="s">
        <v>75</v>
      </c>
      <c r="M4" s="4"/>
      <c r="Q4" s="12" t="str">
        <f>CONTROL!D6</f>
        <v>Meq/mg</v>
      </c>
      <c r="R4" s="4">
        <f ca="1">IF(ISNUMBER(R$2),OFFSET(CONTROL!$D$6,R$2,0),"")</f>
        <v>20.04</v>
      </c>
      <c r="S4" s="4">
        <f ca="1">IF(ISNUMBER(S$2),OFFSET(CONTROL!$D$6,S$2,0),"")</f>
        <v>12.156000000000001</v>
      </c>
      <c r="T4" s="4">
        <f ca="1">IF(ISNUMBER(T$2),OFFSET(CONTROL!$D$6,T$2,0),"")</f>
        <v>22.989830000000001</v>
      </c>
      <c r="U4" s="4">
        <f ca="1">IF(ISNUMBER(U$2),OFFSET(CONTROL!$D$6,U$2,0),"")</f>
        <v>39.101999999999997</v>
      </c>
      <c r="V4" s="4">
        <f ca="1">IF(ISNUMBER(V$2),OFFSET(CONTROL!$D$6,V$2,0),"")</f>
        <v>61</v>
      </c>
      <c r="W4" s="4">
        <f ca="1">IF(ISNUMBER(W$2),OFFSET(CONTROL!$D$6,W$2,0),"")</f>
        <v>30</v>
      </c>
      <c r="X4" s="4">
        <f ca="1">IF(ISNUMBER(X$2),OFFSET(CONTROL!$D$6,X$2,0),"")</f>
        <v>35.453000000000003</v>
      </c>
      <c r="Y4" s="4">
        <f ca="1">IF(ISNUMBER(Y$2),OFFSET(CONTROL!$D$6,Y$2,0),"")</f>
        <v>48.030799999999999</v>
      </c>
      <c r="Z4" s="4">
        <f ca="1">IF(ISNUMBER(Z$2),OFFSET(CONTROL!$D$6,Z$2,0),"")</f>
        <v>18.9984</v>
      </c>
      <c r="AA4" s="4" t="str">
        <f ca="1">IF(ISNUMBER(AA$2),OFFSET(CONTROL!$D$6,AA$2,0),"")</f>
        <v/>
      </c>
    </row>
    <row r="5" spans="1:27" hidden="1" outlineLevel="1" x14ac:dyDescent="0.2">
      <c r="D5" s="21" t="s">
        <v>66</v>
      </c>
      <c r="N5" s="7"/>
      <c r="Q5" s="12" t="s">
        <v>42</v>
      </c>
      <c r="R5" s="4">
        <f ca="1">IF(ISNUMBER(R$2),IF(OFFSET(CONTROL!$C$6,R$2,0)&gt;0,1,-1),"")</f>
        <v>1</v>
      </c>
      <c r="S5" s="4">
        <f ca="1">IF(ISNUMBER(S$2),IF(OFFSET(CONTROL!$C$6,S$2,0)&gt;0,1,-1),"")</f>
        <v>1</v>
      </c>
      <c r="T5" s="4">
        <f ca="1">IF(ISNUMBER(T$2),IF(OFFSET(CONTROL!$C$6,T$2,0)&gt;0,1,-1),"")</f>
        <v>1</v>
      </c>
      <c r="U5" s="4">
        <f ca="1">IF(ISNUMBER(U$2),IF(OFFSET(CONTROL!$C$6,U$2,0)&gt;0,1,-1),"")</f>
        <v>1</v>
      </c>
      <c r="V5" s="4">
        <f ca="1">IF(ISNUMBER(V$2),IF(OFFSET(CONTROL!$C$6,V$2,0)&gt;0,1,-1),"")</f>
        <v>-1</v>
      </c>
      <c r="W5" s="4">
        <f ca="1">IF(ISNUMBER(W$2),IF(OFFSET(CONTROL!$C$6,W$2,0)&gt;0,1,-1),"")</f>
        <v>-1</v>
      </c>
      <c r="X5" s="4">
        <f ca="1">IF(ISNUMBER(X$2),IF(OFFSET(CONTROL!$C$6,X$2,0)&gt;0,1,-1),"")</f>
        <v>-1</v>
      </c>
      <c r="Y5" s="4">
        <f ca="1">IF(ISNUMBER(Y$2),IF(OFFSET(CONTROL!$C$6,Y$2,0)&gt;0,1,-1),"")</f>
        <v>-1</v>
      </c>
      <c r="Z5" s="4">
        <f ca="1">IF(ISNUMBER(Z$2),IF(OFFSET(CONTROL!$C$6,Z$2,0)&gt;0,1,-1),"")</f>
        <v>-1</v>
      </c>
      <c r="AA5" s="4" t="str">
        <f ca="1">IF(ISNUMBER(AA$2),IF(OFFSET(CONTROL!$C$6,AA$2,0)&gt;0,1,-1),"")</f>
        <v/>
      </c>
    </row>
    <row r="6" spans="1:27" hidden="1" outlineLevel="1" x14ac:dyDescent="0.2">
      <c r="C6" s="7" t="str">
        <f t="shared" ref="C6:C7" ca="1" si="2">SUBSTITUTE(TRIM(MID(D6,FIND("(",D6)+1,5))&amp;IF(ISNUMBER(FIND($E$4,D6)),$E$4&amp;MID(D6,FIND("(",D6,FIND($E$4,D6))+1,99),""),")","")</f>
        <v>Ca²⁺</v>
      </c>
      <c r="D6" s="22" t="str">
        <f t="shared" ref="D6:D11" ca="1" si="3">LEFT(E6&amp;F6&amp;G6&amp;H6&amp;I6&amp;J6&amp;K6&amp;L6&amp;M6&amp;N6,LEN(E6&amp;F6&amp;G6&amp;H6&amp;I6&amp;J6&amp;K6&amp;L6&amp;M6&amp;N6)-LEN($E$4))</f>
        <v>Calcium (Ca²⁺)</v>
      </c>
      <c r="E6" s="7" t="str">
        <f ca="1">IF(R6&gt;0,OFFSET(CONTROL!$E$6,MATCH(E$14,pickION,0),0)&amp;" ("&amp;E$14&amp;")"&amp;$E$4,"")</f>
        <v xml:space="preserve">Calcium (Ca²⁺) + </v>
      </c>
      <c r="F6" s="7" t="str">
        <f ca="1">IF(S6&gt;0,OFFSET(CONTROL!$E$6,MATCH(F$14,pickION,0),0)&amp;" ("&amp;F$14&amp;")"&amp;$E$4,"")</f>
        <v/>
      </c>
      <c r="G6" s="7" t="str">
        <f ca="1">IF(T6&gt;0,OFFSET(CONTROL!$E$6,MATCH(G$14,pickION,0),0)&amp;" ("&amp;G$14&amp;")"&amp;$E$4,"")</f>
        <v/>
      </c>
      <c r="H6" s="7" t="str">
        <f ca="1">IF(U6&gt;0,OFFSET(CONTROL!$E$6,MATCH(H$14,pickION,0),0)&amp;" ("&amp;H$14&amp;")"&amp;$E$4,"")</f>
        <v/>
      </c>
      <c r="I6" s="7" t="str">
        <f ca="1">IF(V6&gt;0,OFFSET(CONTROL!$E$6,MATCH(I$14,pickION,0),0)&amp;" ("&amp;I$14&amp;")"&amp;$E$4,"")</f>
        <v/>
      </c>
      <c r="J6" s="7" t="str">
        <f ca="1">IF(W6&gt;0,OFFSET(CONTROL!$E$6,MATCH(J$14,pickION,0),0)&amp;" ("&amp;J$14&amp;")"&amp;$E$4,"")</f>
        <v/>
      </c>
      <c r="K6" s="7" t="str">
        <f ca="1">IF(X6&gt;0,OFFSET(CONTROL!$E$6,MATCH(K$14,pickION,0),0)&amp;" ("&amp;K$14&amp;")"&amp;$E$4,"")</f>
        <v/>
      </c>
      <c r="L6" s="7" t="str">
        <f ca="1">IF(Y6&gt;0,OFFSET(CONTROL!$E$6,MATCH(L$14,pickION,0),0)&amp;" ("&amp;L$14&amp;")"&amp;$E$4,"")</f>
        <v/>
      </c>
      <c r="M6" s="7" t="str">
        <f ca="1">IF(Z6&gt;0,OFFSET(CONTROL!$E$6,MATCH(M$14,pickION,0),0)&amp;" ("&amp;M$14&amp;")"&amp;$E$4,"")</f>
        <v/>
      </c>
      <c r="N6" s="7" t="str">
        <f ca="1">IF(AA6&gt;0,OFFSET(CONTROL!$E$6,MATCH(N$14,pickION,0),0)&amp;" ("&amp;N$14&amp;")"&amp;$E$4,"")</f>
        <v/>
      </c>
      <c r="Q6" s="12" t="s">
        <v>43</v>
      </c>
      <c r="R6" s="4">
        <f t="shared" ref="R6:AA11" ca="1" si="4">IF($Q6=IF(ISNUMBER(R$2),IF(R$5&gt;0,"Cat","An")&amp;"_"&amp;E$13,""),1,0)</f>
        <v>1</v>
      </c>
      <c r="S6" s="4">
        <f t="shared" ca="1" si="4"/>
        <v>0</v>
      </c>
      <c r="T6" s="4">
        <f t="shared" ca="1" si="4"/>
        <v>0</v>
      </c>
      <c r="U6" s="4">
        <f t="shared" ca="1" si="4"/>
        <v>0</v>
      </c>
      <c r="V6" s="4">
        <f t="shared" ca="1" si="4"/>
        <v>0</v>
      </c>
      <c r="W6" s="4">
        <f t="shared" ca="1" si="4"/>
        <v>0</v>
      </c>
      <c r="X6" s="4">
        <f t="shared" ca="1" si="4"/>
        <v>0</v>
      </c>
      <c r="Y6" s="4">
        <f t="shared" ca="1" si="4"/>
        <v>0</v>
      </c>
      <c r="Z6" s="4">
        <f t="shared" ca="1" si="4"/>
        <v>0</v>
      </c>
      <c r="AA6" s="4">
        <f t="shared" ca="1" si="4"/>
        <v>0</v>
      </c>
    </row>
    <row r="7" spans="1:27" hidden="1" outlineLevel="1" x14ac:dyDescent="0.2">
      <c r="C7" s="7" t="str">
        <f t="shared" ca="1" si="2"/>
        <v>Mg²⁺</v>
      </c>
      <c r="D7" s="22" t="str">
        <f t="shared" ca="1" si="3"/>
        <v>Magnesium (Mg²⁺)</v>
      </c>
      <c r="E7" s="7" t="str">
        <f ca="1">IF(R7&gt;0,OFFSET(CONTROL!$E$6,MATCH(E$14,pickION,0),0)&amp;" ("&amp;E$14&amp;")"&amp;$E$4,"")</f>
        <v/>
      </c>
      <c r="F7" s="7" t="str">
        <f ca="1">IF(S7&gt;0,OFFSET(CONTROL!$E$6,MATCH(F$14,pickION,0),0)&amp;" ("&amp;F$14&amp;")"&amp;$E$4,"")</f>
        <v xml:space="preserve">Magnesium (Mg²⁺) + </v>
      </c>
      <c r="G7" s="7" t="str">
        <f ca="1">IF(T7&gt;0,OFFSET(CONTROL!$E$6,MATCH(G$14,pickION,0),0)&amp;" ("&amp;G$14&amp;")"&amp;$E$4,"")</f>
        <v/>
      </c>
      <c r="H7" s="7" t="str">
        <f ca="1">IF(U7&gt;0,OFFSET(CONTROL!$E$6,MATCH(H$14,pickION,0),0)&amp;" ("&amp;H$14&amp;")"&amp;$E$4,"")</f>
        <v/>
      </c>
      <c r="I7" s="7" t="str">
        <f ca="1">IF(V7&gt;0,OFFSET(CONTROL!$E$6,MATCH(I$14,pickION,0),0)&amp;" ("&amp;I$14&amp;")"&amp;$E$4,"")</f>
        <v/>
      </c>
      <c r="J7" s="7" t="str">
        <f ca="1">IF(W7&gt;0,OFFSET(CONTROL!$E$6,MATCH(J$14,pickION,0),0)&amp;" ("&amp;J$14&amp;")"&amp;$E$4,"")</f>
        <v/>
      </c>
      <c r="K7" s="7" t="str">
        <f ca="1">IF(X7&gt;0,OFFSET(CONTROL!$E$6,MATCH(K$14,pickION,0),0)&amp;" ("&amp;K$14&amp;")"&amp;$E$4,"")</f>
        <v/>
      </c>
      <c r="L7" s="7" t="str">
        <f ca="1">IF(Y7&gt;0,OFFSET(CONTROL!$E$6,MATCH(L$14,pickION,0),0)&amp;" ("&amp;L$14&amp;")"&amp;$E$4,"")</f>
        <v/>
      </c>
      <c r="M7" s="7" t="str">
        <f ca="1">IF(Z7&gt;0,OFFSET(CONTROL!$E$6,MATCH(M$14,pickION,0),0)&amp;" ("&amp;M$14&amp;")"&amp;$E$4,"")</f>
        <v/>
      </c>
      <c r="N7" s="7" t="str">
        <f ca="1">IF(AA7&gt;0,OFFSET(CONTROL!$E$6,MATCH(N$14,pickION,0),0)&amp;" ("&amp;N$14&amp;")"&amp;$E$4,"")</f>
        <v/>
      </c>
      <c r="Q7" s="12" t="s">
        <v>44</v>
      </c>
      <c r="R7" s="4">
        <f t="shared" ca="1" si="4"/>
        <v>0</v>
      </c>
      <c r="S7" s="4">
        <f t="shared" ca="1" si="4"/>
        <v>1</v>
      </c>
      <c r="T7" s="4">
        <f t="shared" ca="1" si="4"/>
        <v>0</v>
      </c>
      <c r="U7" s="4">
        <f t="shared" ca="1" si="4"/>
        <v>0</v>
      </c>
      <c r="V7" s="4">
        <f t="shared" ca="1" si="4"/>
        <v>0</v>
      </c>
      <c r="W7" s="4">
        <f t="shared" ca="1" si="4"/>
        <v>0</v>
      </c>
      <c r="X7" s="4">
        <f t="shared" ca="1" si="4"/>
        <v>0</v>
      </c>
      <c r="Y7" s="4">
        <f t="shared" ca="1" si="4"/>
        <v>0</v>
      </c>
      <c r="Z7" s="4">
        <f t="shared" ca="1" si="4"/>
        <v>0</v>
      </c>
      <c r="AA7" s="4">
        <f t="shared" ca="1" si="4"/>
        <v>0</v>
      </c>
    </row>
    <row r="8" spans="1:27" hidden="1" outlineLevel="1" x14ac:dyDescent="0.2">
      <c r="C8" s="7" t="str">
        <f ca="1">SUBSTITUTE(TRIM(MID(D8,FIND("(",D8)+1,5))&amp;IF(ISNUMBER(FIND($E$4,D8)),$E$4&amp;MID(D8,FIND("(",D8,FIND($E$4,D8))+1,99),""),")","")</f>
        <v>Na⁺ + K⁺</v>
      </c>
      <c r="D8" s="22" t="str">
        <f t="shared" ca="1" si="3"/>
        <v>Sodium (Na⁺) + Potassium (K⁺)</v>
      </c>
      <c r="E8" s="7" t="str">
        <f ca="1">IF(R8&gt;0,OFFSET(CONTROL!$E$6,MATCH(E$14,pickION,0),0)&amp;" ("&amp;E$14&amp;")"&amp;$E$4,"")</f>
        <v/>
      </c>
      <c r="F8" s="7" t="str">
        <f ca="1">IF(S8&gt;0,OFFSET(CONTROL!$E$6,MATCH(F$14,pickION,0),0)&amp;" ("&amp;F$14&amp;")"&amp;$E$4,"")</f>
        <v/>
      </c>
      <c r="G8" s="7" t="str">
        <f ca="1">IF(T8&gt;0,OFFSET(CONTROL!$E$6,MATCH(G$14,pickION,0),0)&amp;" ("&amp;G$14&amp;")"&amp;$E$4,"")</f>
        <v xml:space="preserve">Sodium (Na⁺) + </v>
      </c>
      <c r="H8" s="7" t="str">
        <f ca="1">IF(U8&gt;0,OFFSET(CONTROL!$E$6,MATCH(H$14,pickION,0),0)&amp;" ("&amp;H$14&amp;")"&amp;$E$4,"")</f>
        <v xml:space="preserve">Potassium (K⁺) + </v>
      </c>
      <c r="I8" s="7" t="str">
        <f ca="1">IF(V8&gt;0,OFFSET(CONTROL!$E$6,MATCH(I$14,pickION,0),0)&amp;" ("&amp;I$14&amp;")"&amp;$E$4,"")</f>
        <v/>
      </c>
      <c r="J8" s="7" t="str">
        <f ca="1">IF(W8&gt;0,OFFSET(CONTROL!$E$6,MATCH(J$14,pickION,0),0)&amp;" ("&amp;J$14&amp;")"&amp;$E$4,"")</f>
        <v/>
      </c>
      <c r="K8" s="7" t="str">
        <f ca="1">IF(X8&gt;0,OFFSET(CONTROL!$E$6,MATCH(K$14,pickION,0),0)&amp;" ("&amp;K$14&amp;")"&amp;$E$4,"")</f>
        <v/>
      </c>
      <c r="L8" s="7" t="str">
        <f ca="1">IF(Y8&gt;0,OFFSET(CONTROL!$E$6,MATCH(L$14,pickION,0),0)&amp;" ("&amp;L$14&amp;")"&amp;$E$4,"")</f>
        <v/>
      </c>
      <c r="M8" s="7" t="str">
        <f ca="1">IF(Z8&gt;0,OFFSET(CONTROL!$E$6,MATCH(M$14,pickION,0),0)&amp;" ("&amp;M$14&amp;")"&amp;$E$4,"")</f>
        <v/>
      </c>
      <c r="N8" s="7" t="str">
        <f ca="1">IF(AA8&gt;0,OFFSET(CONTROL!$E$6,MATCH(N$14,pickION,0),0)&amp;" ("&amp;N$14&amp;")"&amp;$E$4,"")</f>
        <v/>
      </c>
      <c r="Q8" s="12" t="s">
        <v>45</v>
      </c>
      <c r="R8" s="4">
        <f t="shared" ca="1" si="4"/>
        <v>0</v>
      </c>
      <c r="S8" s="4">
        <f t="shared" ca="1" si="4"/>
        <v>0</v>
      </c>
      <c r="T8" s="4">
        <f t="shared" ca="1" si="4"/>
        <v>1</v>
      </c>
      <c r="U8" s="4">
        <f t="shared" ca="1" si="4"/>
        <v>1</v>
      </c>
      <c r="V8" s="4">
        <f t="shared" ca="1" si="4"/>
        <v>0</v>
      </c>
      <c r="W8" s="4">
        <f t="shared" ca="1" si="4"/>
        <v>0</v>
      </c>
      <c r="X8" s="4">
        <f t="shared" ca="1" si="4"/>
        <v>0</v>
      </c>
      <c r="Y8" s="4">
        <f t="shared" ca="1" si="4"/>
        <v>0</v>
      </c>
      <c r="Z8" s="4">
        <f t="shared" ca="1" si="4"/>
        <v>0</v>
      </c>
      <c r="AA8" s="4">
        <f t="shared" ca="1" si="4"/>
        <v>0</v>
      </c>
    </row>
    <row r="9" spans="1:27" hidden="1" outlineLevel="1" x14ac:dyDescent="0.2">
      <c r="C9" s="7" t="str">
        <f t="shared" ref="C9:C11" ca="1" si="5">SUBSTITUTE(TRIM(MID(D9,FIND("(",D9)+1,5))&amp;IF(ISNUMBER(FIND($E$4,D9)),$E$4&amp;MID(D9,FIND("(",D9,FIND($E$4,D9))+1,99),""),")","")</f>
        <v>Cl⁻ + F⁻</v>
      </c>
      <c r="D9" s="22" t="str">
        <f t="shared" ca="1" si="3"/>
        <v>Chloride (Cl⁻) + Fluoride (F⁻)</v>
      </c>
      <c r="E9" s="7" t="str">
        <f ca="1">IF(R9&gt;0,OFFSET(CONTROL!$E$6,MATCH(E$14,pickION,0),0)&amp;" ("&amp;E$14&amp;")"&amp;$E$4,"")</f>
        <v/>
      </c>
      <c r="F9" s="7" t="str">
        <f ca="1">IF(S9&gt;0,OFFSET(CONTROL!$E$6,MATCH(F$14,pickION,0),0)&amp;" ("&amp;F$14&amp;")"&amp;$E$4,"")</f>
        <v/>
      </c>
      <c r="G9" s="7" t="str">
        <f ca="1">IF(T9&gt;0,OFFSET(CONTROL!$E$6,MATCH(G$14,pickION,0),0)&amp;" ("&amp;G$14&amp;")"&amp;$E$4,"")</f>
        <v/>
      </c>
      <c r="H9" s="7" t="str">
        <f ca="1">IF(U9&gt;0,OFFSET(CONTROL!$E$6,MATCH(H$14,pickION,0),0)&amp;" ("&amp;H$14&amp;")"&amp;$E$4,"")</f>
        <v/>
      </c>
      <c r="I9" s="7" t="str">
        <f ca="1">IF(V9&gt;0,OFFSET(CONTROL!$E$6,MATCH(I$14,pickION,0),0)&amp;" ("&amp;I$14&amp;")"&amp;$E$4,"")</f>
        <v/>
      </c>
      <c r="J9" s="7" t="str">
        <f ca="1">IF(W9&gt;0,OFFSET(CONTROL!$E$6,MATCH(J$14,pickION,0),0)&amp;" ("&amp;J$14&amp;")"&amp;$E$4,"")</f>
        <v/>
      </c>
      <c r="K9" s="7" t="str">
        <f ca="1">IF(X9&gt;0,OFFSET(CONTROL!$E$6,MATCH(K$14,pickION,0),0)&amp;" ("&amp;K$14&amp;")"&amp;$E$4,"")</f>
        <v xml:space="preserve">Chloride (Cl⁻) + </v>
      </c>
      <c r="L9" s="7" t="str">
        <f ca="1">IF(Y9&gt;0,OFFSET(CONTROL!$E$6,MATCH(L$14,pickION,0),0)&amp;" ("&amp;L$14&amp;")"&amp;$E$4,"")</f>
        <v/>
      </c>
      <c r="M9" s="7" t="str">
        <f ca="1">IF(Z9&gt;0,OFFSET(CONTROL!$E$6,MATCH(M$14,pickION,0),0)&amp;" ("&amp;M$14&amp;")"&amp;$E$4,"")</f>
        <v xml:space="preserve">Fluoride (F⁻) + </v>
      </c>
      <c r="N9" s="7" t="str">
        <f ca="1">IF(AA9&gt;0,OFFSET(CONTROL!$E$6,MATCH(N$14,pickION,0),0)&amp;" ("&amp;N$14&amp;")"&amp;$E$4,"")</f>
        <v/>
      </c>
      <c r="Q9" s="12" t="s">
        <v>46</v>
      </c>
      <c r="R9" s="4">
        <f t="shared" ca="1" si="4"/>
        <v>0</v>
      </c>
      <c r="S9" s="4">
        <f t="shared" ca="1" si="4"/>
        <v>0</v>
      </c>
      <c r="T9" s="4">
        <f t="shared" ca="1" si="4"/>
        <v>0</v>
      </c>
      <c r="U9" s="4">
        <f t="shared" ca="1" si="4"/>
        <v>0</v>
      </c>
      <c r="V9" s="4">
        <f t="shared" ca="1" si="4"/>
        <v>0</v>
      </c>
      <c r="W9" s="4">
        <f t="shared" ca="1" si="4"/>
        <v>0</v>
      </c>
      <c r="X9" s="4">
        <f t="shared" ca="1" si="4"/>
        <v>1</v>
      </c>
      <c r="Y9" s="4">
        <f t="shared" ca="1" si="4"/>
        <v>0</v>
      </c>
      <c r="Z9" s="4">
        <f t="shared" ca="1" si="4"/>
        <v>1</v>
      </c>
      <c r="AA9" s="4">
        <f t="shared" ca="1" si="4"/>
        <v>0</v>
      </c>
    </row>
    <row r="10" spans="1:27" hidden="1" outlineLevel="1" x14ac:dyDescent="0.2">
      <c r="C10" s="7" t="str">
        <f t="shared" ca="1" si="5"/>
        <v>SO₄²⁻</v>
      </c>
      <c r="D10" s="22" t="str">
        <f t="shared" ca="1" si="3"/>
        <v>Sulfate (SO₄²⁻)</v>
      </c>
      <c r="E10" s="7" t="str">
        <f ca="1">IF(R10&gt;0,OFFSET(CONTROL!$E$6,MATCH(E$14,pickION,0),0)&amp;" ("&amp;E$14&amp;")"&amp;$E$4,"")</f>
        <v/>
      </c>
      <c r="F10" s="7" t="str">
        <f ca="1">IF(S10&gt;0,OFFSET(CONTROL!$E$6,MATCH(F$14,pickION,0),0)&amp;" ("&amp;F$14&amp;")"&amp;$E$4,"")</f>
        <v/>
      </c>
      <c r="G10" s="7" t="str">
        <f ca="1">IF(T10&gt;0,OFFSET(CONTROL!$E$6,MATCH(G$14,pickION,0),0)&amp;" ("&amp;G$14&amp;")"&amp;$E$4,"")</f>
        <v/>
      </c>
      <c r="H10" s="7" t="str">
        <f ca="1">IF(U10&gt;0,OFFSET(CONTROL!$E$6,MATCH(H$14,pickION,0),0)&amp;" ("&amp;H$14&amp;")"&amp;$E$4,"")</f>
        <v/>
      </c>
      <c r="I10" s="7" t="str">
        <f ca="1">IF(V10&gt;0,OFFSET(CONTROL!$E$6,MATCH(I$14,pickION,0),0)&amp;" ("&amp;I$14&amp;")"&amp;$E$4,"")</f>
        <v/>
      </c>
      <c r="J10" s="7" t="str">
        <f ca="1">IF(W10&gt;0,OFFSET(CONTROL!$E$6,MATCH(J$14,pickION,0),0)&amp;" ("&amp;J$14&amp;")"&amp;$E$4,"")</f>
        <v/>
      </c>
      <c r="K10" s="7" t="str">
        <f ca="1">IF(X10&gt;0,OFFSET(CONTROL!$E$6,MATCH(K$14,pickION,0),0)&amp;" ("&amp;K$14&amp;")"&amp;$E$4,"")</f>
        <v/>
      </c>
      <c r="L10" s="7" t="str">
        <f ca="1">IF(Y10&gt;0,OFFSET(CONTROL!$E$6,MATCH(L$14,pickION,0),0)&amp;" ("&amp;L$14&amp;")"&amp;$E$4,"")</f>
        <v xml:space="preserve">Sulfate (SO₄²⁻) + </v>
      </c>
      <c r="M10" s="7" t="str">
        <f ca="1">IF(Z10&gt;0,OFFSET(CONTROL!$E$6,MATCH(M$14,pickION,0),0)&amp;" ("&amp;M$14&amp;")"&amp;$E$4,"")</f>
        <v/>
      </c>
      <c r="N10" s="7" t="str">
        <f ca="1">IF(AA10&gt;0,OFFSET(CONTROL!$E$6,MATCH(N$14,pickION,0),0)&amp;" ("&amp;N$14&amp;")"&amp;$E$4,"")</f>
        <v/>
      </c>
      <c r="Q10" s="12" t="s">
        <v>47</v>
      </c>
      <c r="R10" s="4">
        <f t="shared" ca="1" si="4"/>
        <v>0</v>
      </c>
      <c r="S10" s="4">
        <f t="shared" ca="1" si="4"/>
        <v>0</v>
      </c>
      <c r="T10" s="4">
        <f t="shared" ca="1" si="4"/>
        <v>0</v>
      </c>
      <c r="U10" s="4">
        <f t="shared" ca="1" si="4"/>
        <v>0</v>
      </c>
      <c r="V10" s="4">
        <f t="shared" ca="1" si="4"/>
        <v>0</v>
      </c>
      <c r="W10" s="4">
        <f t="shared" ca="1" si="4"/>
        <v>0</v>
      </c>
      <c r="X10" s="4">
        <f t="shared" ca="1" si="4"/>
        <v>0</v>
      </c>
      <c r="Y10" s="4">
        <f t="shared" ca="1" si="4"/>
        <v>1</v>
      </c>
      <c r="Z10" s="4">
        <f t="shared" ca="1" si="4"/>
        <v>0</v>
      </c>
      <c r="AA10" s="4">
        <f t="shared" ca="1" si="4"/>
        <v>0</v>
      </c>
    </row>
    <row r="11" spans="1:27" hidden="1" outlineLevel="1" x14ac:dyDescent="0.2">
      <c r="C11" s="7" t="str">
        <f t="shared" ca="1" si="5"/>
        <v>HCO₃⁻ + CO₃⁻</v>
      </c>
      <c r="D11" s="22" t="str">
        <f t="shared" ca="1" si="3"/>
        <v>Bicarbonate (HCO₃⁻) + Carbonate (CO₃⁻)</v>
      </c>
      <c r="E11" s="7" t="str">
        <f ca="1">IF(R11&gt;0,OFFSET(CONTROL!$E$6,MATCH(E$14,pickION,0),0)&amp;" ("&amp;E$14&amp;")"&amp;$E$4,"")</f>
        <v/>
      </c>
      <c r="F11" s="7" t="str">
        <f ca="1">IF(S11&gt;0,OFFSET(CONTROL!$E$6,MATCH(F$14,pickION,0),0)&amp;" ("&amp;F$14&amp;")"&amp;$E$4,"")</f>
        <v/>
      </c>
      <c r="G11" s="7" t="str">
        <f ca="1">IF(T11&gt;0,OFFSET(CONTROL!$E$6,MATCH(G$14,pickION,0),0)&amp;" ("&amp;G$14&amp;")"&amp;$E$4,"")</f>
        <v/>
      </c>
      <c r="H11" s="7" t="str">
        <f ca="1">IF(U11&gt;0,OFFSET(CONTROL!$E$6,MATCH(H$14,pickION,0),0)&amp;" ("&amp;H$14&amp;")"&amp;$E$4,"")</f>
        <v/>
      </c>
      <c r="I11" s="7" t="str">
        <f ca="1">IF(V11&gt;0,OFFSET(CONTROL!$E$6,MATCH(I$14,pickION,0),0)&amp;" ("&amp;I$14&amp;")"&amp;$E$4,"")</f>
        <v xml:space="preserve">Bicarbonate (HCO₃⁻) + </v>
      </c>
      <c r="J11" s="7" t="str">
        <f ca="1">IF(W11&gt;0,OFFSET(CONTROL!$E$6,MATCH(J$14,pickION,0),0)&amp;" ("&amp;J$14&amp;")"&amp;$E$4,"")</f>
        <v xml:space="preserve">Carbonate (CO₃⁻) + </v>
      </c>
      <c r="K11" s="7" t="str">
        <f ca="1">IF(X11&gt;0,OFFSET(CONTROL!$E$6,MATCH(K$14,pickION,0),0)&amp;" ("&amp;K$14&amp;")"&amp;$E$4,"")</f>
        <v/>
      </c>
      <c r="L11" s="7" t="str">
        <f ca="1">IF(Y11&gt;0,OFFSET(CONTROL!$E$6,MATCH(L$14,pickION,0),0)&amp;" ("&amp;L$14&amp;")"&amp;$E$4,"")</f>
        <v/>
      </c>
      <c r="M11" s="7" t="str">
        <f ca="1">IF(Z11&gt;0,OFFSET(CONTROL!$E$6,MATCH(M$14,pickION,0),0)&amp;" ("&amp;M$14&amp;")"&amp;$E$4,"")</f>
        <v/>
      </c>
      <c r="N11" s="7" t="str">
        <f ca="1">IF(AA11&gt;0,OFFSET(CONTROL!$E$6,MATCH(N$14,pickION,0),0)&amp;" ("&amp;N$14&amp;")"&amp;$E$4,"")</f>
        <v/>
      </c>
      <c r="Q11" s="12" t="s">
        <v>48</v>
      </c>
      <c r="R11" s="4">
        <f t="shared" ca="1" si="4"/>
        <v>0</v>
      </c>
      <c r="S11" s="4">
        <f t="shared" ca="1" si="4"/>
        <v>0</v>
      </c>
      <c r="T11" s="4">
        <f t="shared" ca="1" si="4"/>
        <v>0</v>
      </c>
      <c r="U11" s="4">
        <f t="shared" ca="1" si="4"/>
        <v>0</v>
      </c>
      <c r="V11" s="4">
        <f t="shared" ca="1" si="4"/>
        <v>1</v>
      </c>
      <c r="W11" s="4">
        <f t="shared" ca="1" si="4"/>
        <v>1</v>
      </c>
      <c r="X11" s="4">
        <f t="shared" ca="1" si="4"/>
        <v>0</v>
      </c>
      <c r="Y11" s="4">
        <f t="shared" ca="1" si="4"/>
        <v>0</v>
      </c>
      <c r="Z11" s="4">
        <f t="shared" ca="1" si="4"/>
        <v>0</v>
      </c>
      <c r="AA11" s="4">
        <f t="shared" ca="1" si="4"/>
        <v>0</v>
      </c>
    </row>
    <row r="12" spans="1:27" collapsed="1" x14ac:dyDescent="0.2">
      <c r="P12" s="12" t="s">
        <v>85</v>
      </c>
      <c r="Q12" s="28">
        <v>0.02</v>
      </c>
    </row>
    <row r="13" spans="1:27" x14ac:dyDescent="0.2">
      <c r="C13" s="12" t="s">
        <v>49</v>
      </c>
      <c r="D13" s="19">
        <f>COUNTA(D15:D929)</f>
        <v>90</v>
      </c>
      <c r="E13" s="9" t="s">
        <v>32</v>
      </c>
      <c r="F13" s="9" t="s">
        <v>38</v>
      </c>
      <c r="G13" s="9" t="s">
        <v>31</v>
      </c>
      <c r="H13" s="9" t="s">
        <v>31</v>
      </c>
      <c r="I13" s="9" t="s">
        <v>31</v>
      </c>
      <c r="J13" s="9" t="s">
        <v>31</v>
      </c>
      <c r="K13" s="9" t="s">
        <v>32</v>
      </c>
      <c r="L13" s="9" t="s">
        <v>38</v>
      </c>
      <c r="M13" s="9" t="s">
        <v>32</v>
      </c>
      <c r="R13" s="9" t="s">
        <v>41</v>
      </c>
      <c r="S13" s="9"/>
      <c r="T13" s="9"/>
      <c r="U13" s="9"/>
      <c r="V13" s="9"/>
      <c r="W13" s="9"/>
      <c r="X13" s="9"/>
      <c r="Y13" s="9"/>
      <c r="Z13" s="9"/>
      <c r="AA13" s="10"/>
    </row>
    <row r="14" spans="1:27" s="6" customFormat="1" ht="13.5" thickBot="1" x14ac:dyDescent="0.25">
      <c r="A14" s="6" t="s">
        <v>87</v>
      </c>
      <c r="B14" s="6" t="s">
        <v>88</v>
      </c>
      <c r="C14" s="6" t="s">
        <v>29</v>
      </c>
      <c r="D14" s="6" t="s">
        <v>30</v>
      </c>
      <c r="E14" s="8" t="s">
        <v>33</v>
      </c>
      <c r="F14" s="8" t="s">
        <v>21</v>
      </c>
      <c r="G14" s="8" t="s">
        <v>22</v>
      </c>
      <c r="H14" s="8" t="s">
        <v>23</v>
      </c>
      <c r="I14" s="8" t="s">
        <v>34</v>
      </c>
      <c r="J14" s="8" t="s">
        <v>35</v>
      </c>
      <c r="K14" s="8" t="s">
        <v>36</v>
      </c>
      <c r="L14" s="8" t="s">
        <v>37</v>
      </c>
      <c r="M14" s="8" t="s">
        <v>26</v>
      </c>
      <c r="O14" s="4"/>
      <c r="P14" s="6" t="s">
        <v>55</v>
      </c>
      <c r="Q14" s="6" t="s">
        <v>86</v>
      </c>
      <c r="R14" s="8" t="str">
        <f t="shared" ref="R14:AA14" si="6">IF(LEN(E14)&gt;0,E14,"")</f>
        <v>Ca²⁺</v>
      </c>
      <c r="S14" s="8" t="str">
        <f t="shared" si="6"/>
        <v>Mg²⁺</v>
      </c>
      <c r="T14" s="8" t="str">
        <f t="shared" si="6"/>
        <v>Na⁺</v>
      </c>
      <c r="U14" s="8" t="str">
        <f t="shared" si="6"/>
        <v>K⁺</v>
      </c>
      <c r="V14" s="8" t="str">
        <f t="shared" si="6"/>
        <v>HCO₃⁻</v>
      </c>
      <c r="W14" s="8" t="str">
        <f t="shared" si="6"/>
        <v>CO₃⁻</v>
      </c>
      <c r="X14" s="8" t="str">
        <f t="shared" si="6"/>
        <v>Cl⁻</v>
      </c>
      <c r="Y14" s="8" t="str">
        <f t="shared" si="6"/>
        <v>SO₄²⁻</v>
      </c>
      <c r="Z14" s="8" t="str">
        <f t="shared" si="6"/>
        <v>F⁻</v>
      </c>
      <c r="AA14" s="8" t="str">
        <f t="shared" si="6"/>
        <v/>
      </c>
    </row>
    <row r="15" spans="1:27" x14ac:dyDescent="0.2">
      <c r="A15" s="4">
        <v>-116.22749993863542</v>
      </c>
      <c r="B15" s="4">
        <v>36.534568574868509</v>
      </c>
      <c r="C15" s="5" t="s">
        <v>182</v>
      </c>
      <c r="D15" s="5" t="s">
        <v>183</v>
      </c>
      <c r="E15" s="7">
        <v>44</v>
      </c>
      <c r="F15" s="7">
        <v>20</v>
      </c>
      <c r="G15" s="7">
        <v>65</v>
      </c>
      <c r="H15" s="7">
        <v>7.8</v>
      </c>
      <c r="I15" s="7">
        <v>291</v>
      </c>
      <c r="J15" s="7">
        <v>0</v>
      </c>
      <c r="K15" s="7">
        <v>20</v>
      </c>
      <c r="L15" s="7">
        <v>70</v>
      </c>
      <c r="M15" s="7">
        <v>1.7</v>
      </c>
      <c r="P15" s="15">
        <f>IF(LEN(E15)&gt;0,INT(SUM(E15:N15,0.5)),"")</f>
        <v>520</v>
      </c>
      <c r="Q15" s="11">
        <f ca="1">IF(LEN(E15)&gt;0,SUMPRODUCT(R15:AA15,$R$5:$AA$5)/SUM(R15:AA15),"")</f>
        <v>-1.0034105759161743E-3</v>
      </c>
      <c r="R15" s="7">
        <f t="shared" ref="R15:R32" ca="1" si="7">IF(LEN(E15)&gt;0,E15/R$4,"")</f>
        <v>2.19560878243513</v>
      </c>
      <c r="S15" s="7">
        <f t="shared" ref="S15:S32" ca="1" si="8">IF(LEN(F15)&gt;0,F15/S$4,"")</f>
        <v>1.6452780519907864</v>
      </c>
      <c r="T15" s="7">
        <f t="shared" ref="T15:T32" ca="1" si="9">IF(LEN(G15)&gt;0,G15/T$4,"")</f>
        <v>2.8273371312445543</v>
      </c>
      <c r="U15" s="7">
        <f t="shared" ref="U15:U32" ca="1" si="10">IF(LEN(H15)&gt;0,H15/U$4,"")</f>
        <v>0.19947828755562377</v>
      </c>
      <c r="V15" s="7">
        <f t="shared" ref="V15:V32" ca="1" si="11">IF(LEN(I15)&gt;0,I15/V$4,"")</f>
        <v>4.7704918032786887</v>
      </c>
      <c r="W15" s="7">
        <f t="shared" ref="W15:W32" ca="1" si="12">IF(LEN(J15)&gt;0,J15/W$4,"")</f>
        <v>0</v>
      </c>
      <c r="X15" s="7">
        <f t="shared" ref="X15:X32" ca="1" si="13">IF(LEN(K15)&gt;0,K15/X$4,"")</f>
        <v>0.56412715426057025</v>
      </c>
      <c r="Y15" s="7">
        <f t="shared" ref="Y15:Y32" ca="1" si="14">IF(LEN(L15)&gt;0,L15/Y$4,"")</f>
        <v>1.457398169507899</v>
      </c>
      <c r="Z15" s="7">
        <f t="shared" ref="Z15:Z32" ca="1" si="15">IF(LEN(M15)&gt;0,M15/Z$4,"")</f>
        <v>8.9481219471113357E-2</v>
      </c>
      <c r="AA15" s="7" t="str">
        <f t="shared" ref="AA15:AA32" si="16">IF(LEN(N15)&gt;0,N15/AA$4,"")</f>
        <v/>
      </c>
    </row>
    <row r="16" spans="1:27" x14ac:dyDescent="0.2">
      <c r="A16" s="4">
        <v>-116.03729999376596</v>
      </c>
      <c r="B16" s="4">
        <v>36.589781082467539</v>
      </c>
      <c r="C16" s="5" t="s">
        <v>182</v>
      </c>
      <c r="D16" s="5" t="s">
        <v>184</v>
      </c>
      <c r="E16" s="7">
        <v>45</v>
      </c>
      <c r="F16" s="7">
        <v>22</v>
      </c>
      <c r="G16" s="7">
        <v>38</v>
      </c>
      <c r="H16" s="7">
        <v>5.5</v>
      </c>
      <c r="I16" s="7">
        <v>275</v>
      </c>
      <c r="J16" s="7">
        <v>0</v>
      </c>
      <c r="K16" s="7">
        <v>16</v>
      </c>
      <c r="L16" s="7">
        <v>54</v>
      </c>
      <c r="M16" s="7">
        <v>0.9</v>
      </c>
      <c r="P16" s="15">
        <f t="shared" ref="P16:P32" si="17">IF(LEN(E16)&gt;0,INT(SUM(E16:N16,0.5)),"")</f>
        <v>456</v>
      </c>
      <c r="Q16" s="11">
        <f t="shared" ref="Q16:Q32" ca="1" si="18">IF(LEN(E16)&gt;0,SUMPRODUCT(R16:AA16,$R$5:$AA$5)/SUM(R16:AA16),"")</f>
        <v>-2.3561888161583899E-2</v>
      </c>
      <c r="R16" s="7">
        <f t="shared" ca="1" si="7"/>
        <v>2.2455089820359282</v>
      </c>
      <c r="S16" s="7">
        <f t="shared" ca="1" si="8"/>
        <v>1.809805857189865</v>
      </c>
      <c r="T16" s="7">
        <f t="shared" ca="1" si="9"/>
        <v>1.6529047844198934</v>
      </c>
      <c r="U16" s="7">
        <f t="shared" ca="1" si="10"/>
        <v>0.14065776686614498</v>
      </c>
      <c r="V16" s="7">
        <f t="shared" ca="1" si="11"/>
        <v>4.5081967213114753</v>
      </c>
      <c r="W16" s="7">
        <f t="shared" ca="1" si="12"/>
        <v>0</v>
      </c>
      <c r="X16" s="7">
        <f t="shared" ca="1" si="13"/>
        <v>0.4513017234084562</v>
      </c>
      <c r="Y16" s="7">
        <f t="shared" ca="1" si="14"/>
        <v>1.1242785879060937</v>
      </c>
      <c r="Z16" s="7">
        <f t="shared" ca="1" si="15"/>
        <v>4.7372410308236482E-2</v>
      </c>
      <c r="AA16" s="7" t="str">
        <f t="shared" si="16"/>
        <v/>
      </c>
    </row>
    <row r="17" spans="1:27" x14ac:dyDescent="0.2">
      <c r="A17" s="4">
        <v>-116.44504920269561</v>
      </c>
      <c r="B17" s="4">
        <v>36.627732092346996</v>
      </c>
      <c r="C17" s="5" t="s">
        <v>185</v>
      </c>
      <c r="D17" s="5" t="s">
        <v>186</v>
      </c>
      <c r="E17" s="7">
        <v>27</v>
      </c>
      <c r="F17" s="7">
        <v>2</v>
      </c>
      <c r="G17" s="7">
        <v>43</v>
      </c>
      <c r="H17" s="7">
        <v>4.5999999999999996</v>
      </c>
      <c r="I17" s="7">
        <v>150</v>
      </c>
      <c r="J17" s="7">
        <v>0</v>
      </c>
      <c r="K17" s="7">
        <v>8.5</v>
      </c>
      <c r="L17" s="7">
        <v>33</v>
      </c>
      <c r="M17" s="7">
        <v>0.9</v>
      </c>
      <c r="P17" s="15">
        <f t="shared" si="17"/>
        <v>269</v>
      </c>
      <c r="Q17" s="11">
        <f t="shared" ca="1" si="18"/>
        <v>9.6154409473768118E-3</v>
      </c>
      <c r="R17" s="7">
        <f t="shared" ca="1" si="7"/>
        <v>1.347305389221557</v>
      </c>
      <c r="S17" s="7">
        <f t="shared" ca="1" si="8"/>
        <v>0.16452780519907864</v>
      </c>
      <c r="T17" s="7">
        <f t="shared" ca="1" si="9"/>
        <v>1.87039225605409</v>
      </c>
      <c r="U17" s="7">
        <f t="shared" ca="1" si="10"/>
        <v>0.1176410413789576</v>
      </c>
      <c r="V17" s="7">
        <f t="shared" ca="1" si="11"/>
        <v>2.459016393442623</v>
      </c>
      <c r="W17" s="7">
        <f t="shared" ca="1" si="12"/>
        <v>0</v>
      </c>
      <c r="X17" s="7">
        <f t="shared" ca="1" si="13"/>
        <v>0.23975404056074237</v>
      </c>
      <c r="Y17" s="7">
        <f t="shared" ca="1" si="14"/>
        <v>0.6870591370537239</v>
      </c>
      <c r="Z17" s="7">
        <f t="shared" ca="1" si="15"/>
        <v>4.7372410308236482E-2</v>
      </c>
      <c r="AA17" s="7" t="str">
        <f t="shared" si="16"/>
        <v/>
      </c>
    </row>
    <row r="18" spans="1:27" x14ac:dyDescent="0.2">
      <c r="A18" s="4">
        <v>-116.47921680298263</v>
      </c>
      <c r="B18" s="4">
        <v>36.591065290630858</v>
      </c>
      <c r="C18" s="5" t="s">
        <v>185</v>
      </c>
      <c r="D18" s="5" t="s">
        <v>187</v>
      </c>
      <c r="E18" s="7">
        <v>29</v>
      </c>
      <c r="F18" s="7">
        <v>2.2000000000000002</v>
      </c>
      <c r="G18" s="7">
        <v>35</v>
      </c>
      <c r="H18" s="7">
        <v>5.2</v>
      </c>
      <c r="I18" s="7">
        <v>140</v>
      </c>
      <c r="J18" s="7">
        <v>0</v>
      </c>
      <c r="K18" s="7">
        <v>6</v>
      </c>
      <c r="L18" s="7">
        <v>26</v>
      </c>
      <c r="M18" s="7">
        <v>1</v>
      </c>
      <c r="P18" s="15">
        <f t="shared" si="17"/>
        <v>244</v>
      </c>
      <c r="Q18" s="11">
        <f t="shared" ca="1" si="18"/>
        <v>3.5512029492425955E-2</v>
      </c>
      <c r="R18" s="7">
        <f t="shared" ca="1" si="7"/>
        <v>1.4471057884231537</v>
      </c>
      <c r="S18" s="7">
        <f t="shared" ca="1" si="8"/>
        <v>0.18098058571898651</v>
      </c>
      <c r="T18" s="7">
        <f t="shared" ca="1" si="9"/>
        <v>1.5224123014393756</v>
      </c>
      <c r="U18" s="7">
        <f t="shared" ca="1" si="10"/>
        <v>0.13298552503708252</v>
      </c>
      <c r="V18" s="7">
        <f t="shared" ca="1" si="11"/>
        <v>2.2950819672131146</v>
      </c>
      <c r="W18" s="7">
        <f t="shared" ca="1" si="12"/>
        <v>0</v>
      </c>
      <c r="X18" s="7">
        <f t="shared" ca="1" si="13"/>
        <v>0.16923814627817108</v>
      </c>
      <c r="Y18" s="7">
        <f t="shared" ca="1" si="14"/>
        <v>0.54131932010293393</v>
      </c>
      <c r="Z18" s="7">
        <f t="shared" ca="1" si="15"/>
        <v>5.2636011453596095E-2</v>
      </c>
      <c r="AA18" s="7" t="str">
        <f t="shared" si="16"/>
        <v/>
      </c>
    </row>
    <row r="19" spans="1:27" x14ac:dyDescent="0.2">
      <c r="A19" s="4">
        <v>-116.47893880298592</v>
      </c>
      <c r="B19" s="4">
        <v>36.582176441114228</v>
      </c>
      <c r="C19" s="5" t="s">
        <v>185</v>
      </c>
      <c r="D19" s="5" t="s">
        <v>188</v>
      </c>
      <c r="E19" s="7">
        <v>30</v>
      </c>
      <c r="F19" s="7">
        <v>2.6</v>
      </c>
      <c r="G19" s="7">
        <v>37</v>
      </c>
      <c r="H19" s="7">
        <v>5.6</v>
      </c>
      <c r="I19" s="7">
        <v>150</v>
      </c>
      <c r="J19" s="7">
        <v>0</v>
      </c>
      <c r="K19" s="7">
        <v>7.7</v>
      </c>
      <c r="L19" s="7">
        <v>30</v>
      </c>
      <c r="M19" s="7">
        <v>0.7</v>
      </c>
      <c r="P19" s="15">
        <f t="shared" si="17"/>
        <v>264</v>
      </c>
      <c r="Q19" s="11">
        <f t="shared" ca="1" si="18"/>
        <v>1.8506365579996468E-2</v>
      </c>
      <c r="R19" s="7">
        <f t="shared" ca="1" si="7"/>
        <v>1.4970059880239521</v>
      </c>
      <c r="S19" s="7">
        <f t="shared" ca="1" si="8"/>
        <v>0.21388614675880224</v>
      </c>
      <c r="T19" s="7">
        <f t="shared" ca="1" si="9"/>
        <v>1.6094072900930541</v>
      </c>
      <c r="U19" s="7">
        <f t="shared" ca="1" si="10"/>
        <v>0.14321518080916579</v>
      </c>
      <c r="V19" s="7">
        <f t="shared" ca="1" si="11"/>
        <v>2.459016393442623</v>
      </c>
      <c r="W19" s="7">
        <f t="shared" ca="1" si="12"/>
        <v>0</v>
      </c>
      <c r="X19" s="7">
        <f t="shared" ca="1" si="13"/>
        <v>0.21718895439031957</v>
      </c>
      <c r="Y19" s="7">
        <f t="shared" ca="1" si="14"/>
        <v>0.62459921550338537</v>
      </c>
      <c r="Z19" s="7">
        <f t="shared" ca="1" si="15"/>
        <v>3.6845208017517263E-2</v>
      </c>
      <c r="AA19" s="7" t="str">
        <f t="shared" si="16"/>
        <v/>
      </c>
    </row>
    <row r="20" spans="1:27" x14ac:dyDescent="0.2">
      <c r="A20" s="4">
        <v>-116.47421640295715</v>
      </c>
      <c r="B20" s="4">
        <v>36.577732049408191</v>
      </c>
      <c r="C20" s="5" t="s">
        <v>185</v>
      </c>
      <c r="D20" s="5" t="s">
        <v>189</v>
      </c>
      <c r="E20" s="7">
        <v>22.844459999999998</v>
      </c>
      <c r="F20" s="7">
        <v>2.4305000000000003</v>
      </c>
      <c r="G20" s="7">
        <v>37.013626300000006</v>
      </c>
      <c r="H20" s="7">
        <v>6.6466600000000007</v>
      </c>
      <c r="I20" s="7">
        <v>137.85999999999999</v>
      </c>
      <c r="J20" s="7">
        <v>0</v>
      </c>
      <c r="K20" s="7">
        <v>6.0270100000000006</v>
      </c>
      <c r="L20" s="7">
        <v>28.818479999999997</v>
      </c>
      <c r="M20" s="7">
        <v>0</v>
      </c>
      <c r="P20" s="15">
        <f t="shared" si="17"/>
        <v>242</v>
      </c>
      <c r="Q20" s="11">
        <f t="shared" ca="1" si="18"/>
        <v>1.4613018783505783E-2</v>
      </c>
      <c r="R20" s="7">
        <f t="shared" ca="1" si="7"/>
        <v>1.1399431137724549</v>
      </c>
      <c r="S20" s="7">
        <f t="shared" ca="1" si="8"/>
        <v>0.19994241526818035</v>
      </c>
      <c r="T20" s="7">
        <f t="shared" ca="1" si="9"/>
        <v>1.61</v>
      </c>
      <c r="U20" s="7">
        <f t="shared" ca="1" si="10"/>
        <v>0.16998260958518749</v>
      </c>
      <c r="V20" s="7">
        <f t="shared" ca="1" si="11"/>
        <v>2.2599999999999998</v>
      </c>
      <c r="W20" s="7">
        <f t="shared" ca="1" si="12"/>
        <v>0</v>
      </c>
      <c r="X20" s="7">
        <f t="shared" ca="1" si="13"/>
        <v>0.17</v>
      </c>
      <c r="Y20" s="7">
        <f t="shared" ca="1" si="14"/>
        <v>0.6</v>
      </c>
      <c r="Z20" s="7">
        <f t="shared" ca="1" si="15"/>
        <v>0</v>
      </c>
      <c r="AA20" s="7" t="str">
        <f t="shared" si="16"/>
        <v/>
      </c>
    </row>
    <row r="21" spans="1:27" x14ac:dyDescent="0.2">
      <c r="A21" s="4">
        <v>-116.46254920287649</v>
      </c>
      <c r="B21" s="4">
        <v>36.571621110219752</v>
      </c>
      <c r="C21" s="5" t="s">
        <v>185</v>
      </c>
      <c r="D21" s="5" t="s">
        <v>190</v>
      </c>
      <c r="E21" s="7">
        <v>30.459280000000003</v>
      </c>
      <c r="F21" s="7">
        <v>3.4027000000000003</v>
      </c>
      <c r="G21" s="7">
        <v>51.037422600000006</v>
      </c>
      <c r="H21" s="7">
        <v>8.6015599999999992</v>
      </c>
      <c r="I21" s="7">
        <v>143.35</v>
      </c>
      <c r="J21" s="7">
        <v>0</v>
      </c>
      <c r="K21" s="7">
        <v>12.054020000000001</v>
      </c>
      <c r="L21" s="7">
        <v>64.361272</v>
      </c>
      <c r="M21" s="7">
        <v>0</v>
      </c>
      <c r="P21" s="15">
        <f t="shared" si="17"/>
        <v>313</v>
      </c>
      <c r="Q21" s="11">
        <f t="shared" ca="1" si="18"/>
        <v>2.5371894642372109E-2</v>
      </c>
      <c r="R21" s="7">
        <f t="shared" ca="1" si="7"/>
        <v>1.5199241516966071</v>
      </c>
      <c r="S21" s="7">
        <f t="shared" ca="1" si="8"/>
        <v>0.27991938137545247</v>
      </c>
      <c r="T21" s="7">
        <f t="shared" ca="1" si="9"/>
        <v>2.2200000000000002</v>
      </c>
      <c r="U21" s="7">
        <f t="shared" ca="1" si="10"/>
        <v>0.21997749475730141</v>
      </c>
      <c r="V21" s="7">
        <f t="shared" ca="1" si="11"/>
        <v>2.35</v>
      </c>
      <c r="W21" s="7">
        <f t="shared" ca="1" si="12"/>
        <v>0</v>
      </c>
      <c r="X21" s="7">
        <f t="shared" ca="1" si="13"/>
        <v>0.34</v>
      </c>
      <c r="Y21" s="7">
        <f t="shared" ca="1" si="14"/>
        <v>1.34</v>
      </c>
      <c r="Z21" s="7">
        <f t="shared" ca="1" si="15"/>
        <v>0</v>
      </c>
      <c r="AA21" s="7" t="str">
        <f t="shared" si="16"/>
        <v/>
      </c>
    </row>
    <row r="22" spans="1:27" x14ac:dyDescent="0.2">
      <c r="A22" s="4">
        <v>-116.4606046028628</v>
      </c>
      <c r="B22" s="4">
        <v>36.569398913731774</v>
      </c>
      <c r="C22" s="5" t="s">
        <v>185</v>
      </c>
      <c r="D22" s="5" t="s">
        <v>191</v>
      </c>
      <c r="E22" s="7">
        <v>23</v>
      </c>
      <c r="F22" s="7">
        <v>2.6</v>
      </c>
      <c r="G22" s="7">
        <v>56</v>
      </c>
      <c r="H22" s="7">
        <v>9</v>
      </c>
      <c r="I22" s="7">
        <v>140</v>
      </c>
      <c r="J22" s="7">
        <v>0</v>
      </c>
      <c r="K22" s="7">
        <v>10</v>
      </c>
      <c r="L22" s="7">
        <v>67</v>
      </c>
      <c r="M22" s="7">
        <v>0.9</v>
      </c>
      <c r="P22" s="15">
        <f t="shared" si="17"/>
        <v>309</v>
      </c>
      <c r="Q22" s="11">
        <f t="shared" ca="1" si="18"/>
        <v>1.0142161321277487E-3</v>
      </c>
      <c r="R22" s="7">
        <f t="shared" ca="1" si="7"/>
        <v>1.1477045908183634</v>
      </c>
      <c r="S22" s="7">
        <f t="shared" ca="1" si="8"/>
        <v>0.21388614675880224</v>
      </c>
      <c r="T22" s="7">
        <f t="shared" ca="1" si="9"/>
        <v>2.435859682303001</v>
      </c>
      <c r="U22" s="7">
        <f t="shared" ca="1" si="10"/>
        <v>0.23016725487187359</v>
      </c>
      <c r="V22" s="7">
        <f t="shared" ca="1" si="11"/>
        <v>2.2950819672131146</v>
      </c>
      <c r="W22" s="7">
        <f t="shared" ca="1" si="12"/>
        <v>0</v>
      </c>
      <c r="X22" s="7">
        <f t="shared" ca="1" si="13"/>
        <v>0.28206357713028513</v>
      </c>
      <c r="Y22" s="7">
        <f t="shared" ca="1" si="14"/>
        <v>1.3949382479575605</v>
      </c>
      <c r="Z22" s="7">
        <f t="shared" ca="1" si="15"/>
        <v>4.7372410308236482E-2</v>
      </c>
      <c r="AA22" s="7" t="str">
        <f t="shared" si="16"/>
        <v/>
      </c>
    </row>
    <row r="23" spans="1:27" x14ac:dyDescent="0.2">
      <c r="A23" s="4">
        <v>-116.49643920310227</v>
      </c>
      <c r="B23" s="4">
        <v>36.556343071023335</v>
      </c>
      <c r="C23" s="5" t="s">
        <v>185</v>
      </c>
      <c r="D23" s="5" t="s">
        <v>192</v>
      </c>
      <c r="E23" s="7">
        <v>20</v>
      </c>
      <c r="F23" s="7">
        <v>2.7</v>
      </c>
      <c r="G23" s="7">
        <v>42</v>
      </c>
      <c r="H23" s="7">
        <v>8.8000000000000007</v>
      </c>
      <c r="I23" s="7">
        <v>150</v>
      </c>
      <c r="J23" s="7">
        <v>0</v>
      </c>
      <c r="K23" s="7">
        <v>7.4</v>
      </c>
      <c r="L23" s="7">
        <v>28</v>
      </c>
      <c r="M23" s="7">
        <v>1.2</v>
      </c>
      <c r="P23" s="15">
        <f t="shared" si="17"/>
        <v>260</v>
      </c>
      <c r="Q23" s="11">
        <f t="shared" ca="1" si="18"/>
        <v>-6.3471987410847683E-3</v>
      </c>
      <c r="R23" s="7">
        <f t="shared" ca="1" si="7"/>
        <v>0.99800399201596812</v>
      </c>
      <c r="S23" s="7">
        <f t="shared" ca="1" si="8"/>
        <v>0.22211253701875616</v>
      </c>
      <c r="T23" s="7">
        <f t="shared" ca="1" si="9"/>
        <v>1.8268947617272506</v>
      </c>
      <c r="U23" s="7">
        <f t="shared" ca="1" si="10"/>
        <v>0.22505242698583197</v>
      </c>
      <c r="V23" s="7">
        <f t="shared" ca="1" si="11"/>
        <v>2.459016393442623</v>
      </c>
      <c r="W23" s="7">
        <f t="shared" ca="1" si="12"/>
        <v>0</v>
      </c>
      <c r="X23" s="7">
        <f t="shared" ca="1" si="13"/>
        <v>0.20872704707641102</v>
      </c>
      <c r="Y23" s="7">
        <f t="shared" ca="1" si="14"/>
        <v>0.58295926780315965</v>
      </c>
      <c r="Z23" s="7">
        <f t="shared" ca="1" si="15"/>
        <v>6.3163213744315314E-2</v>
      </c>
      <c r="AA23" s="7" t="str">
        <f t="shared" si="16"/>
        <v/>
      </c>
    </row>
    <row r="24" spans="1:27" x14ac:dyDescent="0.2">
      <c r="A24" s="4">
        <v>-116.47004920294124</v>
      </c>
      <c r="B24" s="4">
        <v>36.55551000677908</v>
      </c>
      <c r="C24" s="5" t="s">
        <v>185</v>
      </c>
      <c r="D24" s="5" t="s">
        <v>193</v>
      </c>
      <c r="E24" s="7">
        <v>30</v>
      </c>
      <c r="F24" s="7">
        <v>1.9</v>
      </c>
      <c r="G24" s="7">
        <v>40</v>
      </c>
      <c r="H24" s="7">
        <v>4.3</v>
      </c>
      <c r="I24" s="7">
        <v>132</v>
      </c>
      <c r="J24" s="7">
        <v>0</v>
      </c>
      <c r="K24" s="7">
        <v>8.1999999999999993</v>
      </c>
      <c r="L24" s="7">
        <v>51</v>
      </c>
      <c r="M24" s="7">
        <v>0</v>
      </c>
      <c r="P24" s="15">
        <f t="shared" si="17"/>
        <v>267</v>
      </c>
      <c r="Q24" s="11">
        <f t="shared" ca="1" si="18"/>
        <v>6.6277706439910105E-3</v>
      </c>
      <c r="R24" s="7">
        <f t="shared" ca="1" si="7"/>
        <v>1.4970059880239521</v>
      </c>
      <c r="S24" s="7">
        <f t="shared" ca="1" si="8"/>
        <v>0.15630141493912469</v>
      </c>
      <c r="T24" s="7">
        <f t="shared" ca="1" si="9"/>
        <v>1.7398997730735719</v>
      </c>
      <c r="U24" s="7">
        <f t="shared" ca="1" si="10"/>
        <v>0.10996879954989515</v>
      </c>
      <c r="V24" s="7">
        <f t="shared" ca="1" si="11"/>
        <v>2.1639344262295084</v>
      </c>
      <c r="W24" s="7">
        <f t="shared" ca="1" si="12"/>
        <v>0</v>
      </c>
      <c r="X24" s="7">
        <f t="shared" ca="1" si="13"/>
        <v>0.23129213324683379</v>
      </c>
      <c r="Y24" s="7">
        <f t="shared" ca="1" si="14"/>
        <v>1.0618186663557552</v>
      </c>
      <c r="Z24" s="7">
        <f t="shared" ca="1" si="15"/>
        <v>0</v>
      </c>
      <c r="AA24" s="7" t="str">
        <f t="shared" si="16"/>
        <v/>
      </c>
    </row>
    <row r="25" spans="1:27" x14ac:dyDescent="0.2">
      <c r="A25" s="4">
        <v>-116.48927200306866</v>
      </c>
      <c r="B25" s="4">
        <v>36.546676523217194</v>
      </c>
      <c r="C25" s="5" t="s">
        <v>185</v>
      </c>
      <c r="D25" s="5" t="s">
        <v>194</v>
      </c>
      <c r="E25" s="7">
        <v>24</v>
      </c>
      <c r="F25" s="7">
        <v>1.1000000000000001</v>
      </c>
      <c r="G25" s="7">
        <v>36</v>
      </c>
      <c r="H25" s="7">
        <v>8.1999999999999993</v>
      </c>
      <c r="I25" s="7">
        <v>130</v>
      </c>
      <c r="J25" s="7">
        <v>0</v>
      </c>
      <c r="K25" s="7">
        <v>6.6</v>
      </c>
      <c r="L25" s="7">
        <v>33</v>
      </c>
      <c r="M25" s="7">
        <v>1</v>
      </c>
      <c r="P25" s="15">
        <f t="shared" si="17"/>
        <v>240</v>
      </c>
      <c r="Q25" s="11">
        <f t="shared" ca="1" si="18"/>
        <v>1.0959780459571418E-3</v>
      </c>
      <c r="R25" s="7">
        <f t="shared" ca="1" si="7"/>
        <v>1.1976047904191618</v>
      </c>
      <c r="S25" s="7">
        <f t="shared" ca="1" si="8"/>
        <v>9.0490292859493254E-2</v>
      </c>
      <c r="T25" s="7">
        <f t="shared" ca="1" si="9"/>
        <v>1.5659097957662147</v>
      </c>
      <c r="U25" s="7">
        <f t="shared" ca="1" si="10"/>
        <v>0.20970794332770701</v>
      </c>
      <c r="V25" s="7">
        <f t="shared" ca="1" si="11"/>
        <v>2.1311475409836067</v>
      </c>
      <c r="W25" s="7">
        <f t="shared" ca="1" si="12"/>
        <v>0</v>
      </c>
      <c r="X25" s="7">
        <f t="shared" ca="1" si="13"/>
        <v>0.18616196090598819</v>
      </c>
      <c r="Y25" s="7">
        <f t="shared" ca="1" si="14"/>
        <v>0.6870591370537239</v>
      </c>
      <c r="Z25" s="7">
        <f t="shared" ca="1" si="15"/>
        <v>5.2636011453596095E-2</v>
      </c>
      <c r="AA25" s="7" t="str">
        <f t="shared" si="16"/>
        <v/>
      </c>
    </row>
    <row r="26" spans="1:27" x14ac:dyDescent="0.2">
      <c r="A26" s="4">
        <v>-116.50707820315472</v>
      </c>
      <c r="B26" s="4">
        <v>36.554203993238033</v>
      </c>
      <c r="C26" s="5" t="s">
        <v>185</v>
      </c>
      <c r="D26" s="5" t="s">
        <v>195</v>
      </c>
      <c r="E26" s="7">
        <v>18</v>
      </c>
      <c r="F26" s="7">
        <v>0.7</v>
      </c>
      <c r="G26" s="7">
        <v>54</v>
      </c>
      <c r="H26" s="7">
        <v>6.9</v>
      </c>
      <c r="I26" s="7">
        <v>150</v>
      </c>
      <c r="J26" s="7">
        <v>0</v>
      </c>
      <c r="K26" s="7">
        <v>7.8</v>
      </c>
      <c r="L26" s="7">
        <v>30</v>
      </c>
      <c r="M26" s="7">
        <v>1.5</v>
      </c>
      <c r="P26" s="15">
        <f t="shared" si="17"/>
        <v>269</v>
      </c>
      <c r="Q26" s="11">
        <f t="shared" ca="1" si="18"/>
        <v>1.4356025630400575E-2</v>
      </c>
      <c r="R26" s="7">
        <f t="shared" ca="1" si="7"/>
        <v>0.89820359281437134</v>
      </c>
      <c r="S26" s="7">
        <f t="shared" ca="1" si="8"/>
        <v>5.758473181967752E-2</v>
      </c>
      <c r="T26" s="7">
        <f t="shared" ca="1" si="9"/>
        <v>2.3488646936493223</v>
      </c>
      <c r="U26" s="7">
        <f t="shared" ca="1" si="10"/>
        <v>0.17646156206843641</v>
      </c>
      <c r="V26" s="7">
        <f t="shared" ca="1" si="11"/>
        <v>2.459016393442623</v>
      </c>
      <c r="W26" s="7">
        <f t="shared" ca="1" si="12"/>
        <v>0</v>
      </c>
      <c r="X26" s="7">
        <f t="shared" ca="1" si="13"/>
        <v>0.22000959016162241</v>
      </c>
      <c r="Y26" s="7">
        <f t="shared" ca="1" si="14"/>
        <v>0.62459921550338537</v>
      </c>
      <c r="Z26" s="7">
        <f t="shared" ca="1" si="15"/>
        <v>7.8954017180394132E-2</v>
      </c>
      <c r="AA26" s="7" t="str">
        <f t="shared" si="16"/>
        <v/>
      </c>
    </row>
    <row r="27" spans="1:27" x14ac:dyDescent="0.2">
      <c r="A27" s="4">
        <v>-116.50755020316502</v>
      </c>
      <c r="B27" s="4">
        <v>36.538565192459643</v>
      </c>
      <c r="C27" s="5" t="s">
        <v>185</v>
      </c>
      <c r="D27" s="5" t="s">
        <v>196</v>
      </c>
      <c r="E27" s="7">
        <v>19</v>
      </c>
      <c r="F27" s="7">
        <v>0.8</v>
      </c>
      <c r="G27" s="7">
        <v>43</v>
      </c>
      <c r="H27" s="7">
        <v>7.3</v>
      </c>
      <c r="I27" s="7">
        <v>130</v>
      </c>
      <c r="J27" s="7">
        <v>0</v>
      </c>
      <c r="K27" s="7">
        <v>9.3000000000000007</v>
      </c>
      <c r="L27" s="7">
        <v>28</v>
      </c>
      <c r="M27" s="7">
        <v>1.3</v>
      </c>
      <c r="P27" s="15">
        <f t="shared" si="17"/>
        <v>239</v>
      </c>
      <c r="Q27" s="11">
        <f t="shared" ca="1" si="18"/>
        <v>4.2750612119946243E-3</v>
      </c>
      <c r="R27" s="7">
        <f t="shared" ca="1" si="7"/>
        <v>0.94810379241516973</v>
      </c>
      <c r="S27" s="7">
        <f t="shared" ca="1" si="8"/>
        <v>6.5811122079631454E-2</v>
      </c>
      <c r="T27" s="7">
        <f t="shared" ca="1" si="9"/>
        <v>1.87039225605409</v>
      </c>
      <c r="U27" s="7">
        <f t="shared" ca="1" si="10"/>
        <v>0.18669121784051967</v>
      </c>
      <c r="V27" s="7">
        <f t="shared" ca="1" si="11"/>
        <v>2.1311475409836067</v>
      </c>
      <c r="W27" s="7">
        <f t="shared" ca="1" si="12"/>
        <v>0</v>
      </c>
      <c r="X27" s="7">
        <f t="shared" ca="1" si="13"/>
        <v>0.2623191267311652</v>
      </c>
      <c r="Y27" s="7">
        <f t="shared" ca="1" si="14"/>
        <v>0.58295926780315965</v>
      </c>
      <c r="Z27" s="7">
        <f t="shared" ca="1" si="15"/>
        <v>6.842681488967492E-2</v>
      </c>
      <c r="AA27" s="7" t="str">
        <f t="shared" si="16"/>
        <v/>
      </c>
    </row>
    <row r="28" spans="1:27" x14ac:dyDescent="0.2">
      <c r="A28" s="4">
        <v>-116.50755000317247</v>
      </c>
      <c r="B28" s="4">
        <v>36.524398592461196</v>
      </c>
      <c r="C28" s="5" t="s">
        <v>185</v>
      </c>
      <c r="D28" s="5" t="s">
        <v>197</v>
      </c>
      <c r="E28" s="7">
        <v>17</v>
      </c>
      <c r="F28" s="7">
        <v>2</v>
      </c>
      <c r="G28" s="7">
        <v>40</v>
      </c>
      <c r="H28" s="7">
        <v>6.1</v>
      </c>
      <c r="I28" s="7">
        <v>130</v>
      </c>
      <c r="J28" s="7">
        <v>0</v>
      </c>
      <c r="K28" s="7">
        <v>6.9</v>
      </c>
      <c r="L28" s="7">
        <v>25</v>
      </c>
      <c r="M28" s="7">
        <v>1.6</v>
      </c>
      <c r="P28" s="15">
        <f t="shared" si="17"/>
        <v>229</v>
      </c>
      <c r="Q28" s="11">
        <f t="shared" ca="1" si="18"/>
        <v>-3.7256938128980375E-3</v>
      </c>
      <c r="R28" s="7">
        <f t="shared" ca="1" si="7"/>
        <v>0.84830339321357284</v>
      </c>
      <c r="S28" s="7">
        <f t="shared" ca="1" si="8"/>
        <v>0.16452780519907864</v>
      </c>
      <c r="T28" s="7">
        <f t="shared" ca="1" si="9"/>
        <v>1.7398997730735719</v>
      </c>
      <c r="U28" s="7">
        <f t="shared" ca="1" si="10"/>
        <v>0.15600225052426986</v>
      </c>
      <c r="V28" s="7">
        <f t="shared" ca="1" si="11"/>
        <v>2.1311475409836067</v>
      </c>
      <c r="W28" s="7">
        <f t="shared" ca="1" si="12"/>
        <v>0</v>
      </c>
      <c r="X28" s="7">
        <f t="shared" ca="1" si="13"/>
        <v>0.19462386821989675</v>
      </c>
      <c r="Y28" s="7">
        <f t="shared" ca="1" si="14"/>
        <v>0.52049934625282113</v>
      </c>
      <c r="Z28" s="7">
        <f t="shared" ca="1" si="15"/>
        <v>8.4217618325753751E-2</v>
      </c>
      <c r="AA28" s="7" t="str">
        <f t="shared" si="16"/>
        <v/>
      </c>
    </row>
    <row r="29" spans="1:27" x14ac:dyDescent="0.2">
      <c r="A29" s="4">
        <v>-116.50782760318243</v>
      </c>
      <c r="B29" s="4">
        <v>36.50773199200377</v>
      </c>
      <c r="C29" s="5" t="s">
        <v>185</v>
      </c>
      <c r="D29" s="5" t="s">
        <v>198</v>
      </c>
      <c r="E29" s="7">
        <v>19</v>
      </c>
      <c r="F29" s="7">
        <v>1.5</v>
      </c>
      <c r="G29" s="7">
        <v>40</v>
      </c>
      <c r="H29" s="7">
        <v>7.1</v>
      </c>
      <c r="I29" s="7">
        <v>140</v>
      </c>
      <c r="J29" s="7">
        <v>0</v>
      </c>
      <c r="K29" s="7">
        <v>6.3</v>
      </c>
      <c r="L29" s="7">
        <v>25</v>
      </c>
      <c r="M29" s="7">
        <v>1.7</v>
      </c>
      <c r="P29" s="15">
        <f t="shared" si="17"/>
        <v>241</v>
      </c>
      <c r="Q29" s="11">
        <f t="shared" ca="1" si="18"/>
        <v>-1.4777920202688142E-2</v>
      </c>
      <c r="R29" s="7">
        <f t="shared" ca="1" si="7"/>
        <v>0.94810379241516973</v>
      </c>
      <c r="S29" s="7">
        <f t="shared" ca="1" si="8"/>
        <v>0.12339585389930897</v>
      </c>
      <c r="T29" s="7">
        <f t="shared" ca="1" si="9"/>
        <v>1.7398997730735719</v>
      </c>
      <c r="U29" s="7">
        <f t="shared" ca="1" si="10"/>
        <v>0.18157638995447803</v>
      </c>
      <c r="V29" s="7">
        <f t="shared" ca="1" si="11"/>
        <v>2.2950819672131146</v>
      </c>
      <c r="W29" s="7">
        <f t="shared" ca="1" si="12"/>
        <v>0</v>
      </c>
      <c r="X29" s="7">
        <f t="shared" ca="1" si="13"/>
        <v>0.17770005359207963</v>
      </c>
      <c r="Y29" s="7">
        <f t="shared" ca="1" si="14"/>
        <v>0.52049934625282113</v>
      </c>
      <c r="Z29" s="7">
        <f t="shared" ca="1" si="15"/>
        <v>8.9481219471113357E-2</v>
      </c>
      <c r="AA29" s="7" t="str">
        <f t="shared" si="16"/>
        <v/>
      </c>
    </row>
    <row r="30" spans="1:27" x14ac:dyDescent="0.2">
      <c r="A30" s="4">
        <v>-116.50116060315945</v>
      </c>
      <c r="B30" s="4">
        <v>36.493843343081089</v>
      </c>
      <c r="C30" s="5" t="s">
        <v>185</v>
      </c>
      <c r="D30" s="5" t="s">
        <v>199</v>
      </c>
      <c r="E30" s="7">
        <v>24</v>
      </c>
      <c r="F30" s="7">
        <v>1.8</v>
      </c>
      <c r="G30" s="7">
        <v>48</v>
      </c>
      <c r="H30" s="7">
        <v>7.3</v>
      </c>
      <c r="I30" s="7">
        <v>150</v>
      </c>
      <c r="J30" s="7">
        <v>0</v>
      </c>
      <c r="K30" s="7">
        <v>9.5</v>
      </c>
      <c r="L30" s="7">
        <v>31</v>
      </c>
      <c r="M30" s="7">
        <v>1.7</v>
      </c>
      <c r="P30" s="15">
        <f t="shared" si="17"/>
        <v>273</v>
      </c>
      <c r="Q30" s="11">
        <f t="shared" ca="1" si="18"/>
        <v>2.2362425665634355E-2</v>
      </c>
      <c r="R30" s="7">
        <f t="shared" ca="1" si="7"/>
        <v>1.1976047904191618</v>
      </c>
      <c r="S30" s="7">
        <f t="shared" ca="1" si="8"/>
        <v>0.14807502467917077</v>
      </c>
      <c r="T30" s="7">
        <f t="shared" ca="1" si="9"/>
        <v>2.0878797276882866</v>
      </c>
      <c r="U30" s="7">
        <f t="shared" ca="1" si="10"/>
        <v>0.18669121784051967</v>
      </c>
      <c r="V30" s="7">
        <f t="shared" ca="1" si="11"/>
        <v>2.459016393442623</v>
      </c>
      <c r="W30" s="7">
        <f t="shared" ca="1" si="12"/>
        <v>0</v>
      </c>
      <c r="X30" s="7">
        <f t="shared" ca="1" si="13"/>
        <v>0.26796039827377088</v>
      </c>
      <c r="Y30" s="7">
        <f t="shared" ca="1" si="14"/>
        <v>0.64541918935349818</v>
      </c>
      <c r="Z30" s="7">
        <f t="shared" ca="1" si="15"/>
        <v>8.9481219471113357E-2</v>
      </c>
      <c r="AA30" s="7" t="str">
        <f t="shared" si="16"/>
        <v/>
      </c>
    </row>
    <row r="31" spans="1:27" x14ac:dyDescent="0.2">
      <c r="A31" s="4">
        <v>-116.45032530282538</v>
      </c>
      <c r="B31" s="4">
        <v>36.494399442442599</v>
      </c>
      <c r="C31" s="5" t="s">
        <v>185</v>
      </c>
      <c r="D31" s="5" t="s">
        <v>200</v>
      </c>
      <c r="E31" s="7">
        <v>25</v>
      </c>
      <c r="F31" s="7">
        <v>3.6</v>
      </c>
      <c r="G31" s="7">
        <v>48</v>
      </c>
      <c r="H31" s="7">
        <v>9.6999999999999993</v>
      </c>
      <c r="I31" s="7">
        <v>130</v>
      </c>
      <c r="J31" s="7">
        <v>0</v>
      </c>
      <c r="K31" s="7">
        <v>10</v>
      </c>
      <c r="L31" s="7">
        <v>69</v>
      </c>
      <c r="M31" s="7">
        <v>1.2</v>
      </c>
      <c r="P31" s="15">
        <f t="shared" si="17"/>
        <v>297</v>
      </c>
      <c r="Q31" s="11">
        <f t="shared" ca="1" si="18"/>
        <v>-4.2795465394397788E-3</v>
      </c>
      <c r="R31" s="7">
        <f t="shared" ca="1" si="7"/>
        <v>1.2475049900199602</v>
      </c>
      <c r="S31" s="7">
        <f t="shared" ca="1" si="8"/>
        <v>0.29615004935834155</v>
      </c>
      <c r="T31" s="7">
        <f t="shared" ca="1" si="9"/>
        <v>2.0878797276882866</v>
      </c>
      <c r="U31" s="7">
        <f t="shared" ca="1" si="10"/>
        <v>0.24806915247301928</v>
      </c>
      <c r="V31" s="7">
        <f t="shared" ca="1" si="11"/>
        <v>2.1311475409836067</v>
      </c>
      <c r="W31" s="7">
        <f t="shared" ca="1" si="12"/>
        <v>0</v>
      </c>
      <c r="X31" s="7">
        <f t="shared" ca="1" si="13"/>
        <v>0.28206357713028513</v>
      </c>
      <c r="Y31" s="7">
        <f t="shared" ca="1" si="14"/>
        <v>1.4365781956577863</v>
      </c>
      <c r="Z31" s="7">
        <f t="shared" ca="1" si="15"/>
        <v>6.3163213744315314E-2</v>
      </c>
      <c r="AA31" s="7" t="str">
        <f t="shared" si="16"/>
        <v/>
      </c>
    </row>
    <row r="32" spans="1:27" x14ac:dyDescent="0.2">
      <c r="A32" s="4">
        <v>-116.469770302981</v>
      </c>
      <c r="B32" s="4">
        <v>36.484399327230939</v>
      </c>
      <c r="C32" s="5" t="s">
        <v>185</v>
      </c>
      <c r="D32" s="5" t="s">
        <v>201</v>
      </c>
      <c r="E32" s="7">
        <v>21</v>
      </c>
      <c r="F32" s="7">
        <v>2.7</v>
      </c>
      <c r="G32" s="7">
        <v>36</v>
      </c>
      <c r="H32" s="7">
        <v>7.5</v>
      </c>
      <c r="I32" s="7">
        <v>120</v>
      </c>
      <c r="J32" s="7">
        <v>0</v>
      </c>
      <c r="K32" s="7">
        <v>6.4</v>
      </c>
      <c r="L32" s="7">
        <v>27</v>
      </c>
      <c r="M32" s="7">
        <v>1.4</v>
      </c>
      <c r="P32" s="15">
        <f t="shared" si="17"/>
        <v>222</v>
      </c>
      <c r="Q32" s="11">
        <f t="shared" ca="1" si="18"/>
        <v>4.2016282165551845E-2</v>
      </c>
      <c r="R32" s="7">
        <f t="shared" ca="1" si="7"/>
        <v>1.0479041916167664</v>
      </c>
      <c r="S32" s="7">
        <f t="shared" ca="1" si="8"/>
        <v>0.22211253701875616</v>
      </c>
      <c r="T32" s="7">
        <f t="shared" ca="1" si="9"/>
        <v>1.5659097957662147</v>
      </c>
      <c r="U32" s="7">
        <f t="shared" ca="1" si="10"/>
        <v>0.19180604572656132</v>
      </c>
      <c r="V32" s="7">
        <f t="shared" ca="1" si="11"/>
        <v>1.9672131147540983</v>
      </c>
      <c r="W32" s="7">
        <f t="shared" ca="1" si="12"/>
        <v>0</v>
      </c>
      <c r="X32" s="7">
        <f t="shared" ca="1" si="13"/>
        <v>0.1805206893633825</v>
      </c>
      <c r="Y32" s="7">
        <f t="shared" ca="1" si="14"/>
        <v>0.56213929395304685</v>
      </c>
      <c r="Z32" s="7">
        <f t="shared" ca="1" si="15"/>
        <v>7.3690416035034526E-2</v>
      </c>
      <c r="AA32" s="7" t="str">
        <f t="shared" si="16"/>
        <v/>
      </c>
    </row>
    <row r="33" spans="1:27" x14ac:dyDescent="0.2">
      <c r="A33" s="4">
        <v>-116.44449130278558</v>
      </c>
      <c r="B33" s="4">
        <v>36.477455203232076</v>
      </c>
      <c r="C33" s="5" t="s">
        <v>185</v>
      </c>
      <c r="D33" s="5" t="s">
        <v>202</v>
      </c>
      <c r="E33" s="7">
        <v>21</v>
      </c>
      <c r="F33" s="7">
        <v>4</v>
      </c>
      <c r="G33" s="7">
        <v>32</v>
      </c>
      <c r="H33" s="7">
        <v>8.1999999999999993</v>
      </c>
      <c r="I33" s="7">
        <v>120</v>
      </c>
      <c r="J33" s="7">
        <v>0</v>
      </c>
      <c r="K33" s="7">
        <v>10</v>
      </c>
      <c r="L33" s="7">
        <v>35</v>
      </c>
      <c r="M33" s="7">
        <v>1.4</v>
      </c>
      <c r="P33" s="15">
        <f t="shared" ref="P33:P71" si="19">IF(LEN(E33)&gt;0,INT(SUM(E33:N33,0.5)),"")</f>
        <v>232</v>
      </c>
      <c r="Q33" s="11">
        <f t="shared" ref="Q33:Q71" ca="1" si="20">IF(LEN(E33)&gt;0,SUMPRODUCT(R33:AA33,$R$5:$AA$5)/SUM(R33:AA33),"")</f>
        <v>-1.2118665618907423E-2</v>
      </c>
      <c r="R33" s="7">
        <f t="shared" ref="R33:R36" ca="1" si="21">IF(LEN(E33)&gt;0,E33/R$4,"")</f>
        <v>1.0479041916167664</v>
      </c>
      <c r="S33" s="7">
        <f t="shared" ref="S33:S36" ca="1" si="22">IF(LEN(F33)&gt;0,F33/S$4,"")</f>
        <v>0.32905561039815728</v>
      </c>
      <c r="T33" s="7">
        <f t="shared" ref="T33:T36" ca="1" si="23">IF(LEN(G33)&gt;0,G33/T$4,"")</f>
        <v>1.3919198184588577</v>
      </c>
      <c r="U33" s="7">
        <f t="shared" ref="U33:U36" ca="1" si="24">IF(LEN(H33)&gt;0,H33/U$4,"")</f>
        <v>0.20970794332770701</v>
      </c>
      <c r="V33" s="7">
        <f t="shared" ref="V33:V36" ca="1" si="25">IF(LEN(I33)&gt;0,I33/V$4,"")</f>
        <v>1.9672131147540983</v>
      </c>
      <c r="W33" s="7">
        <f t="shared" ref="W33:W36" ca="1" si="26">IF(LEN(J33)&gt;0,J33/W$4,"")</f>
        <v>0</v>
      </c>
      <c r="X33" s="7">
        <f t="shared" ref="X33:X36" ca="1" si="27">IF(LEN(K33)&gt;0,K33/X$4,"")</f>
        <v>0.28206357713028513</v>
      </c>
      <c r="Y33" s="7">
        <f t="shared" ref="Y33:Y36" ca="1" si="28">IF(LEN(L33)&gt;0,L33/Y$4,"")</f>
        <v>0.72869908475394951</v>
      </c>
      <c r="Z33" s="7">
        <f t="shared" ref="Z33:Z36" ca="1" si="29">IF(LEN(M33)&gt;0,M33/Z$4,"")</f>
        <v>7.3690416035034526E-2</v>
      </c>
      <c r="AA33" s="7" t="str">
        <f t="shared" ref="AA33:AA70" si="30">IF(LEN(N33)&gt;0,N33/AA$4,"")</f>
        <v/>
      </c>
    </row>
    <row r="34" spans="1:27" x14ac:dyDescent="0.2">
      <c r="A34" s="4">
        <v>-116.54532860327089</v>
      </c>
      <c r="B34" s="4">
        <v>36.568008732420921</v>
      </c>
      <c r="C34" s="5" t="s">
        <v>185</v>
      </c>
      <c r="D34" s="5" t="s">
        <v>203</v>
      </c>
      <c r="E34" s="7">
        <v>9.6</v>
      </c>
      <c r="F34" s="7">
        <v>3.2</v>
      </c>
      <c r="G34" s="7">
        <v>58</v>
      </c>
      <c r="H34" s="7">
        <v>5.9</v>
      </c>
      <c r="I34" s="7">
        <v>153</v>
      </c>
      <c r="J34" s="7">
        <v>0</v>
      </c>
      <c r="K34" s="7">
        <v>7.4</v>
      </c>
      <c r="L34" s="7">
        <v>29</v>
      </c>
      <c r="M34" s="7">
        <v>0</v>
      </c>
      <c r="P34" s="15">
        <f t="shared" si="19"/>
        <v>266</v>
      </c>
      <c r="Q34" s="11">
        <f t="shared" ca="1" si="20"/>
        <v>1.4150109429922866E-2</v>
      </c>
      <c r="R34" s="7">
        <f t="shared" ca="1" si="21"/>
        <v>0.47904191616766467</v>
      </c>
      <c r="S34" s="7">
        <f t="shared" ca="1" si="22"/>
        <v>0.26324448831852582</v>
      </c>
      <c r="T34" s="7">
        <f t="shared" ca="1" si="23"/>
        <v>2.5228546709566793</v>
      </c>
      <c r="U34" s="7">
        <f t="shared" ca="1" si="24"/>
        <v>0.15088742263822824</v>
      </c>
      <c r="V34" s="7">
        <f t="shared" ca="1" si="25"/>
        <v>2.5081967213114753</v>
      </c>
      <c r="W34" s="7">
        <f t="shared" ca="1" si="26"/>
        <v>0</v>
      </c>
      <c r="X34" s="7">
        <f t="shared" ca="1" si="27"/>
        <v>0.20872704707641102</v>
      </c>
      <c r="Y34" s="7">
        <f t="shared" ca="1" si="28"/>
        <v>0.60377924165327246</v>
      </c>
      <c r="Z34" s="7">
        <f t="shared" ca="1" si="29"/>
        <v>0</v>
      </c>
      <c r="AA34" s="7" t="str">
        <f t="shared" si="30"/>
        <v/>
      </c>
    </row>
    <row r="35" spans="1:27" x14ac:dyDescent="0.2">
      <c r="A35" s="4">
        <v>-116.54255050327464</v>
      </c>
      <c r="B35" s="4">
        <v>36.547731096687301</v>
      </c>
      <c r="C35" s="5" t="s">
        <v>185</v>
      </c>
      <c r="D35" s="5" t="s">
        <v>204</v>
      </c>
      <c r="E35" s="7">
        <v>9.2179400000000005</v>
      </c>
      <c r="F35" s="7">
        <v>0.97220000000000006</v>
      </c>
      <c r="G35" s="7">
        <v>65.980812100000009</v>
      </c>
      <c r="H35" s="7">
        <v>6.6466600000000007</v>
      </c>
      <c r="I35" s="7">
        <v>156.16</v>
      </c>
      <c r="J35" s="7">
        <v>0</v>
      </c>
      <c r="K35" s="7">
        <v>8.8632500000000007</v>
      </c>
      <c r="L35" s="7">
        <v>26.897248000000001</v>
      </c>
      <c r="M35" s="7">
        <v>0</v>
      </c>
      <c r="P35" s="15">
        <f t="shared" si="19"/>
        <v>275</v>
      </c>
      <c r="Q35" s="11">
        <f t="shared" ca="1" si="20"/>
        <v>3.0206983607325714E-2</v>
      </c>
      <c r="R35" s="7">
        <f t="shared" ca="1" si="21"/>
        <v>0.45997704590818367</v>
      </c>
      <c r="S35" s="7">
        <f t="shared" ca="1" si="22"/>
        <v>7.9976966107272132E-2</v>
      </c>
      <c r="T35" s="7">
        <f t="shared" ca="1" si="23"/>
        <v>2.87</v>
      </c>
      <c r="U35" s="7">
        <f t="shared" ca="1" si="24"/>
        <v>0.16998260958518749</v>
      </c>
      <c r="V35" s="7">
        <f t="shared" ca="1" si="25"/>
        <v>2.56</v>
      </c>
      <c r="W35" s="7">
        <f t="shared" ca="1" si="26"/>
        <v>0</v>
      </c>
      <c r="X35" s="7">
        <f t="shared" ca="1" si="27"/>
        <v>0.25</v>
      </c>
      <c r="Y35" s="7">
        <f t="shared" ca="1" si="28"/>
        <v>0.56000000000000005</v>
      </c>
      <c r="Z35" s="7">
        <f t="shared" ca="1" si="29"/>
        <v>0</v>
      </c>
      <c r="AA35" s="7" t="str">
        <f t="shared" si="30"/>
        <v/>
      </c>
    </row>
    <row r="36" spans="1:27" x14ac:dyDescent="0.2">
      <c r="A36" s="4">
        <v>-116.55643980328689</v>
      </c>
      <c r="B36" s="4">
        <v>36.573564065669686</v>
      </c>
      <c r="C36" s="5" t="s">
        <v>185</v>
      </c>
      <c r="D36" s="5" t="s">
        <v>205</v>
      </c>
      <c r="E36" s="7">
        <v>9.1999999999999993</v>
      </c>
      <c r="F36" s="7">
        <v>3.9</v>
      </c>
      <c r="G36" s="7">
        <v>61</v>
      </c>
      <c r="H36" s="7">
        <v>5.5</v>
      </c>
      <c r="I36" s="7">
        <v>166</v>
      </c>
      <c r="J36" s="7">
        <v>0</v>
      </c>
      <c r="K36" s="7">
        <v>8.1999999999999993</v>
      </c>
      <c r="L36" s="7">
        <v>33</v>
      </c>
      <c r="M36" s="7">
        <v>0</v>
      </c>
      <c r="P36" s="15">
        <f t="shared" si="19"/>
        <v>287</v>
      </c>
      <c r="Q36" s="11">
        <f t="shared" ca="1" si="20"/>
        <v>-9.1143066384044326E-3</v>
      </c>
      <c r="R36" s="7">
        <f t="shared" ca="1" si="21"/>
        <v>0.45908183632734528</v>
      </c>
      <c r="S36" s="7">
        <f t="shared" ca="1" si="22"/>
        <v>0.32082922013820331</v>
      </c>
      <c r="T36" s="7">
        <f t="shared" ca="1" si="23"/>
        <v>2.6533471539371973</v>
      </c>
      <c r="U36" s="7">
        <f t="shared" ca="1" si="24"/>
        <v>0.14065776686614498</v>
      </c>
      <c r="V36" s="7">
        <f t="shared" ca="1" si="25"/>
        <v>2.721311475409836</v>
      </c>
      <c r="W36" s="7">
        <f t="shared" ca="1" si="26"/>
        <v>0</v>
      </c>
      <c r="X36" s="7">
        <f t="shared" ca="1" si="27"/>
        <v>0.23129213324683379</v>
      </c>
      <c r="Y36" s="7">
        <f t="shared" ca="1" si="28"/>
        <v>0.6870591370537239</v>
      </c>
      <c r="Z36" s="7">
        <f t="shared" ca="1" si="29"/>
        <v>0</v>
      </c>
      <c r="AA36" s="7" t="str">
        <f t="shared" si="30"/>
        <v/>
      </c>
    </row>
    <row r="37" spans="1:27" x14ac:dyDescent="0.2">
      <c r="A37" s="4">
        <v>-116.51477200320863</v>
      </c>
      <c r="B37" s="4">
        <v>36.512176260621928</v>
      </c>
      <c r="C37" s="5" t="s">
        <v>185</v>
      </c>
      <c r="D37" s="5" t="s">
        <v>206</v>
      </c>
      <c r="E37" s="7">
        <v>54.906860000000009</v>
      </c>
      <c r="F37" s="7">
        <v>9.7220000000000013</v>
      </c>
      <c r="G37" s="7">
        <v>100.00576049999999</v>
      </c>
      <c r="H37" s="7">
        <v>12.902340000000001</v>
      </c>
      <c r="I37" s="7">
        <v>300.12</v>
      </c>
      <c r="J37" s="7">
        <v>0</v>
      </c>
      <c r="K37" s="7">
        <v>32.971290000000003</v>
      </c>
      <c r="L37" s="7">
        <v>110.47084</v>
      </c>
      <c r="M37" s="7">
        <v>0</v>
      </c>
      <c r="P37" s="15">
        <f t="shared" si="19"/>
        <v>621</v>
      </c>
      <c r="Q37" s="11">
        <f t="shared" ca="1" si="20"/>
        <v>4.251733711415271E-3</v>
      </c>
      <c r="R37" s="7">
        <f t="shared" ref="R37:R71" ca="1" si="31">IF(LEN(E37)&gt;0,E37/R$4,"")</f>
        <v>2.7398632734530945</v>
      </c>
      <c r="S37" s="7">
        <f t="shared" ref="S37:S70" ca="1" si="32">IF(LEN(F37)&gt;0,F37/S$4,"")</f>
        <v>0.79976966107272141</v>
      </c>
      <c r="T37" s="7">
        <f t="shared" ref="T37:T70" ca="1" si="33">IF(LEN(G37)&gt;0,G37/T$4,"")</f>
        <v>4.3499999999999996</v>
      </c>
      <c r="U37" s="7">
        <f t="shared" ref="U37:U70" ca="1" si="34">IF(LEN(H37)&gt;0,H37/U$4,"")</f>
        <v>0.32996624213595216</v>
      </c>
      <c r="V37" s="7">
        <f t="shared" ref="V37:V70" ca="1" si="35">IF(LEN(I37)&gt;0,I37/V$4,"")</f>
        <v>4.92</v>
      </c>
      <c r="W37" s="7">
        <f t="shared" ref="W37:W70" ca="1" si="36">IF(LEN(J37)&gt;0,J37/W$4,"")</f>
        <v>0</v>
      </c>
      <c r="X37" s="7">
        <f t="shared" ref="X37:X70" ca="1" si="37">IF(LEN(K37)&gt;0,K37/X$4,"")</f>
        <v>0.93</v>
      </c>
      <c r="Y37" s="7">
        <f t="shared" ref="Y37:Y70" ca="1" si="38">IF(LEN(L37)&gt;0,L37/Y$4,"")</f>
        <v>2.2999999999999998</v>
      </c>
      <c r="Z37" s="7">
        <f t="shared" ref="Z37:Z70" ca="1" si="39">IF(LEN(M37)&gt;0,M37/Z$4,"")</f>
        <v>0</v>
      </c>
      <c r="AA37" s="7" t="str">
        <f t="shared" si="30"/>
        <v/>
      </c>
    </row>
    <row r="38" spans="1:27" x14ac:dyDescent="0.2">
      <c r="A38" s="4">
        <v>-116.39810210222045</v>
      </c>
      <c r="B38" s="4">
        <v>36.573566183425001</v>
      </c>
      <c r="C38" s="5" t="s">
        <v>207</v>
      </c>
      <c r="D38" s="5" t="s">
        <v>208</v>
      </c>
      <c r="E38" s="7">
        <v>48</v>
      </c>
      <c r="F38" s="7">
        <v>17</v>
      </c>
      <c r="G38" s="7">
        <v>111</v>
      </c>
      <c r="H38" s="7">
        <v>13</v>
      </c>
      <c r="I38" s="7">
        <v>291</v>
      </c>
      <c r="J38" s="7">
        <v>0</v>
      </c>
      <c r="K38" s="7">
        <v>29</v>
      </c>
      <c r="L38" s="7">
        <v>152</v>
      </c>
      <c r="M38" s="7">
        <v>0</v>
      </c>
      <c r="P38" s="15">
        <f t="shared" si="19"/>
        <v>661</v>
      </c>
      <c r="Q38" s="11">
        <f t="shared" ca="1" si="20"/>
        <v>1.1366340594972575E-2</v>
      </c>
      <c r="R38" s="7">
        <f t="shared" ca="1" si="31"/>
        <v>2.3952095808383236</v>
      </c>
      <c r="S38" s="7">
        <f t="shared" ca="1" si="32"/>
        <v>1.3984863441921684</v>
      </c>
      <c r="T38" s="7">
        <f t="shared" ca="1" si="33"/>
        <v>4.8282218702791626</v>
      </c>
      <c r="U38" s="7">
        <f t="shared" ca="1" si="34"/>
        <v>0.3324638125927063</v>
      </c>
      <c r="V38" s="7">
        <f t="shared" ca="1" si="35"/>
        <v>4.7704918032786887</v>
      </c>
      <c r="W38" s="7">
        <f t="shared" ca="1" si="36"/>
        <v>0</v>
      </c>
      <c r="X38" s="7">
        <f t="shared" ca="1" si="37"/>
        <v>0.81798437367782695</v>
      </c>
      <c r="Y38" s="7">
        <f t="shared" ca="1" si="38"/>
        <v>3.1646360252171526</v>
      </c>
      <c r="Z38" s="7">
        <f t="shared" ca="1" si="39"/>
        <v>0</v>
      </c>
      <c r="AA38" s="7" t="str">
        <f t="shared" si="30"/>
        <v/>
      </c>
    </row>
    <row r="39" spans="1:27" x14ac:dyDescent="0.2">
      <c r="A39" s="4">
        <v>-116.40171330226903</v>
      </c>
      <c r="B39" s="4">
        <v>36.56939948614518</v>
      </c>
      <c r="C39" s="5" t="s">
        <v>207</v>
      </c>
      <c r="D39" s="5" t="s">
        <v>209</v>
      </c>
      <c r="E39" s="7">
        <v>45.688919999999996</v>
      </c>
      <c r="F39" s="7">
        <v>17.013499999999997</v>
      </c>
      <c r="G39" s="7">
        <v>120.00691260000001</v>
      </c>
      <c r="H39" s="7">
        <v>4.3007799999999996</v>
      </c>
      <c r="I39" s="7">
        <v>288.53000000000003</v>
      </c>
      <c r="J39" s="7">
        <v>0</v>
      </c>
      <c r="K39" s="7">
        <v>24.108040000000003</v>
      </c>
      <c r="L39" s="7">
        <v>160.42287199999998</v>
      </c>
      <c r="M39" s="7">
        <v>0</v>
      </c>
      <c r="P39" s="15">
        <f t="shared" si="19"/>
        <v>660</v>
      </c>
      <c r="Q39" s="11">
        <f t="shared" ca="1" si="20"/>
        <v>1.4610337713179291E-2</v>
      </c>
      <c r="R39" s="7">
        <f t="shared" ca="1" si="31"/>
        <v>2.2798862275449099</v>
      </c>
      <c r="S39" s="7">
        <f t="shared" ca="1" si="32"/>
        <v>1.399596906877262</v>
      </c>
      <c r="T39" s="7">
        <f t="shared" ca="1" si="33"/>
        <v>5.22</v>
      </c>
      <c r="U39" s="7">
        <f t="shared" ca="1" si="34"/>
        <v>0.10998874737865071</v>
      </c>
      <c r="V39" s="7">
        <f t="shared" ca="1" si="35"/>
        <v>4.7300000000000004</v>
      </c>
      <c r="W39" s="7">
        <f t="shared" ca="1" si="36"/>
        <v>0</v>
      </c>
      <c r="X39" s="7">
        <f t="shared" ca="1" si="37"/>
        <v>0.68</v>
      </c>
      <c r="Y39" s="7">
        <f t="shared" ca="1" si="38"/>
        <v>3.34</v>
      </c>
      <c r="Z39" s="7">
        <f t="shared" ca="1" si="39"/>
        <v>0</v>
      </c>
      <c r="AA39" s="7" t="str">
        <f t="shared" si="30"/>
        <v/>
      </c>
    </row>
    <row r="40" spans="1:27" x14ac:dyDescent="0.2">
      <c r="A40" s="4">
        <v>-116.44555560273857</v>
      </c>
      <c r="B40" s="4">
        <v>36.566945641348589</v>
      </c>
      <c r="C40" s="5" t="s">
        <v>185</v>
      </c>
      <c r="D40" s="5" t="s">
        <v>210</v>
      </c>
      <c r="E40" s="7">
        <v>41</v>
      </c>
      <c r="F40" s="7">
        <v>7.5</v>
      </c>
      <c r="G40" s="7">
        <v>80</v>
      </c>
      <c r="H40" s="7">
        <v>9.8000000000000007</v>
      </c>
      <c r="I40" s="7">
        <v>195</v>
      </c>
      <c r="J40" s="7">
        <v>0</v>
      </c>
      <c r="K40" s="7">
        <v>23</v>
      </c>
      <c r="L40" s="7">
        <v>130</v>
      </c>
      <c r="M40" s="7">
        <v>0</v>
      </c>
      <c r="P40" s="15">
        <f t="shared" si="19"/>
        <v>486</v>
      </c>
      <c r="Q40" s="11">
        <f t="shared" ca="1" si="20"/>
        <v>-1.2263108679706517E-2</v>
      </c>
      <c r="R40" s="7">
        <f t="shared" ca="1" si="31"/>
        <v>2.0459081836327346</v>
      </c>
      <c r="S40" s="7">
        <f t="shared" ca="1" si="32"/>
        <v>0.61697926949654491</v>
      </c>
      <c r="T40" s="7">
        <f t="shared" ca="1" si="33"/>
        <v>3.4797995461471438</v>
      </c>
      <c r="U40" s="7">
        <f t="shared" ca="1" si="34"/>
        <v>0.25062656641604014</v>
      </c>
      <c r="V40" s="7">
        <f t="shared" ca="1" si="35"/>
        <v>3.1967213114754101</v>
      </c>
      <c r="W40" s="7">
        <f t="shared" ca="1" si="36"/>
        <v>0</v>
      </c>
      <c r="X40" s="7">
        <f t="shared" ca="1" si="37"/>
        <v>0.64874622739965582</v>
      </c>
      <c r="Y40" s="7">
        <f t="shared" ca="1" si="38"/>
        <v>2.7065966005146698</v>
      </c>
      <c r="Z40" s="7">
        <f t="shared" ca="1" si="39"/>
        <v>0</v>
      </c>
      <c r="AA40" s="7" t="str">
        <f t="shared" si="30"/>
        <v/>
      </c>
    </row>
    <row r="41" spans="1:27" x14ac:dyDescent="0.2">
      <c r="A41" s="4">
        <v>-116.40087940228999</v>
      </c>
      <c r="B41" s="4">
        <v>36.525510887735791</v>
      </c>
      <c r="C41" s="5" t="s">
        <v>185</v>
      </c>
      <c r="D41" s="5" t="s">
        <v>211</v>
      </c>
      <c r="E41" s="7">
        <v>52</v>
      </c>
      <c r="F41" s="7">
        <v>22</v>
      </c>
      <c r="G41" s="7">
        <v>120</v>
      </c>
      <c r="H41" s="7">
        <v>18</v>
      </c>
      <c r="I41" s="7">
        <v>314</v>
      </c>
      <c r="J41" s="7">
        <v>0</v>
      </c>
      <c r="K41" s="7">
        <v>27</v>
      </c>
      <c r="L41" s="7">
        <v>168</v>
      </c>
      <c r="M41" s="7">
        <v>0</v>
      </c>
      <c r="P41" s="15">
        <f t="shared" si="19"/>
        <v>721</v>
      </c>
      <c r="Q41" s="11">
        <f t="shared" ca="1" si="20"/>
        <v>3.4773166758855979E-2</v>
      </c>
      <c r="R41" s="7">
        <f t="shared" ca="1" si="31"/>
        <v>2.5948103792415171</v>
      </c>
      <c r="S41" s="7">
        <f t="shared" ca="1" si="32"/>
        <v>1.809805857189865</v>
      </c>
      <c r="T41" s="7">
        <f t="shared" ca="1" si="33"/>
        <v>5.2196993192207159</v>
      </c>
      <c r="U41" s="7">
        <f t="shared" ca="1" si="34"/>
        <v>0.46033450974374718</v>
      </c>
      <c r="V41" s="7">
        <f t="shared" ca="1" si="35"/>
        <v>5.1475409836065573</v>
      </c>
      <c r="W41" s="7">
        <f t="shared" ca="1" si="36"/>
        <v>0</v>
      </c>
      <c r="X41" s="7">
        <f t="shared" ca="1" si="37"/>
        <v>0.76157165825176987</v>
      </c>
      <c r="Y41" s="7">
        <f t="shared" ca="1" si="38"/>
        <v>3.4977556068189579</v>
      </c>
      <c r="Z41" s="7">
        <f t="shared" ca="1" si="39"/>
        <v>0</v>
      </c>
      <c r="AA41" s="7" t="str">
        <f t="shared" si="30"/>
        <v/>
      </c>
    </row>
    <row r="42" spans="1:27" x14ac:dyDescent="0.2">
      <c r="A42" s="4">
        <v>-116.40560180234844</v>
      </c>
      <c r="B42" s="4">
        <v>36.524677478282015</v>
      </c>
      <c r="C42" s="5" t="s">
        <v>185</v>
      </c>
      <c r="D42" s="5" t="s">
        <v>212</v>
      </c>
      <c r="E42" s="7">
        <v>44.887360000000008</v>
      </c>
      <c r="F42" s="7">
        <v>19.930099999999999</v>
      </c>
      <c r="G42" s="7">
        <v>110.1212857</v>
      </c>
      <c r="H42" s="7">
        <v>16.812139999999999</v>
      </c>
      <c r="I42" s="7">
        <v>292.8</v>
      </c>
      <c r="J42" s="7">
        <v>0</v>
      </c>
      <c r="K42" s="7">
        <v>24.108040000000003</v>
      </c>
      <c r="L42" s="7">
        <v>155.61979200000002</v>
      </c>
      <c r="M42" s="7">
        <v>0</v>
      </c>
      <c r="P42" s="15">
        <f t="shared" si="19"/>
        <v>664</v>
      </c>
      <c r="Q42" s="11">
        <f t="shared" ca="1" si="20"/>
        <v>2.1289865902924383E-2</v>
      </c>
      <c r="R42" s="7">
        <f t="shared" ca="1" si="31"/>
        <v>2.2398882235528945</v>
      </c>
      <c r="S42" s="7">
        <f t="shared" ca="1" si="32"/>
        <v>1.6395278051990785</v>
      </c>
      <c r="T42" s="7">
        <f t="shared" ca="1" si="33"/>
        <v>4.79</v>
      </c>
      <c r="U42" s="7">
        <f t="shared" ca="1" si="34"/>
        <v>0.42995601248018006</v>
      </c>
      <c r="V42" s="7">
        <f t="shared" ca="1" si="35"/>
        <v>4.8</v>
      </c>
      <c r="W42" s="7">
        <f t="shared" ca="1" si="36"/>
        <v>0</v>
      </c>
      <c r="X42" s="7">
        <f t="shared" ca="1" si="37"/>
        <v>0.68</v>
      </c>
      <c r="Y42" s="7">
        <f t="shared" ca="1" si="38"/>
        <v>3.24</v>
      </c>
      <c r="Z42" s="7">
        <f t="shared" ca="1" si="39"/>
        <v>0</v>
      </c>
      <c r="AA42" s="7" t="str">
        <f t="shared" si="30"/>
        <v/>
      </c>
    </row>
    <row r="43" spans="1:27" x14ac:dyDescent="0.2">
      <c r="A43" s="4">
        <v>-116.41782450248883</v>
      </c>
      <c r="B43" s="4">
        <v>36.525788454166722</v>
      </c>
      <c r="C43" s="5" t="s">
        <v>185</v>
      </c>
      <c r="D43" s="5" t="s">
        <v>213</v>
      </c>
      <c r="E43" s="7">
        <v>44.085800000000006</v>
      </c>
      <c r="F43" s="7">
        <v>16.0413</v>
      </c>
      <c r="G43" s="7">
        <v>120.00691260000001</v>
      </c>
      <c r="H43" s="7">
        <v>16.030179999999998</v>
      </c>
      <c r="I43" s="7">
        <v>271.45</v>
      </c>
      <c r="J43" s="7">
        <v>0</v>
      </c>
      <c r="K43" s="7">
        <v>29.071460000000002</v>
      </c>
      <c r="L43" s="7">
        <v>147.934864</v>
      </c>
      <c r="M43" s="7">
        <v>0</v>
      </c>
      <c r="P43" s="15">
        <f t="shared" si="19"/>
        <v>645</v>
      </c>
      <c r="Q43" s="11">
        <f t="shared" ca="1" si="20"/>
        <v>4.5685286475503337E-2</v>
      </c>
      <c r="R43" s="7">
        <f t="shared" ca="1" si="31"/>
        <v>2.1998902195608787</v>
      </c>
      <c r="S43" s="7">
        <f t="shared" ca="1" si="32"/>
        <v>1.31961994076999</v>
      </c>
      <c r="T43" s="7">
        <f t="shared" ca="1" si="33"/>
        <v>5.22</v>
      </c>
      <c r="U43" s="7">
        <f t="shared" ca="1" si="34"/>
        <v>0.40995805841133443</v>
      </c>
      <c r="V43" s="7">
        <f t="shared" ca="1" si="35"/>
        <v>4.45</v>
      </c>
      <c r="W43" s="7">
        <f t="shared" ca="1" si="36"/>
        <v>0</v>
      </c>
      <c r="X43" s="7">
        <f t="shared" ca="1" si="37"/>
        <v>0.82</v>
      </c>
      <c r="Y43" s="7">
        <f t="shared" ca="1" si="38"/>
        <v>3.08</v>
      </c>
      <c r="Z43" s="7">
        <f t="shared" ca="1" si="39"/>
        <v>0</v>
      </c>
      <c r="AA43" s="7" t="str">
        <f t="shared" si="30"/>
        <v/>
      </c>
    </row>
    <row r="44" spans="1:27" x14ac:dyDescent="0.2">
      <c r="A44" s="4">
        <v>-116.42560260257306</v>
      </c>
      <c r="B44" s="4">
        <v>36.524677289078447</v>
      </c>
      <c r="C44" s="5" t="s">
        <v>185</v>
      </c>
      <c r="D44" s="5" t="s">
        <v>214</v>
      </c>
      <c r="E44" s="7">
        <v>53.303740000000005</v>
      </c>
      <c r="F44" s="7">
        <v>17.985699999999998</v>
      </c>
      <c r="G44" s="7">
        <v>113.1099636</v>
      </c>
      <c r="H44" s="7">
        <v>13.293320000000001</v>
      </c>
      <c r="I44" s="7">
        <v>302.56</v>
      </c>
      <c r="J44" s="7">
        <v>0</v>
      </c>
      <c r="K44" s="7">
        <v>31.198640000000001</v>
      </c>
      <c r="L44" s="7">
        <v>170.029032</v>
      </c>
      <c r="M44" s="7">
        <v>0</v>
      </c>
      <c r="P44" s="15">
        <f t="shared" si="19"/>
        <v>701</v>
      </c>
      <c r="Q44" s="11">
        <f t="shared" ca="1" si="20"/>
        <v>1.0333850418063799E-3</v>
      </c>
      <c r="R44" s="7">
        <f t="shared" ca="1" si="31"/>
        <v>2.659867265469062</v>
      </c>
      <c r="S44" s="7">
        <f t="shared" ca="1" si="32"/>
        <v>1.4795738729845342</v>
      </c>
      <c r="T44" s="7">
        <f t="shared" ca="1" si="33"/>
        <v>4.92</v>
      </c>
      <c r="U44" s="7">
        <f t="shared" ca="1" si="34"/>
        <v>0.33996521917037498</v>
      </c>
      <c r="V44" s="7">
        <f t="shared" ca="1" si="35"/>
        <v>4.96</v>
      </c>
      <c r="W44" s="7">
        <f t="shared" ca="1" si="36"/>
        <v>0</v>
      </c>
      <c r="X44" s="7">
        <f t="shared" ca="1" si="37"/>
        <v>0.88</v>
      </c>
      <c r="Y44" s="7">
        <f t="shared" ca="1" si="38"/>
        <v>3.54</v>
      </c>
      <c r="Z44" s="7">
        <f t="shared" ca="1" si="39"/>
        <v>0</v>
      </c>
      <c r="AA44" s="7" t="str">
        <f t="shared" si="30"/>
        <v/>
      </c>
    </row>
    <row r="45" spans="1:27" x14ac:dyDescent="0.2">
      <c r="A45" s="4">
        <v>-116.39810300216934</v>
      </c>
      <c r="B45" s="4">
        <v>36.644399093553623</v>
      </c>
      <c r="C45" s="5" t="s">
        <v>185</v>
      </c>
      <c r="D45" s="5" t="s">
        <v>215</v>
      </c>
      <c r="E45" s="7">
        <v>12.023400000000001</v>
      </c>
      <c r="F45" s="7">
        <v>0.72914999999999996</v>
      </c>
      <c r="G45" s="7">
        <v>93.108811500000002</v>
      </c>
      <c r="H45" s="7">
        <v>3.9098000000000002</v>
      </c>
      <c r="I45" s="7">
        <v>153.10999999999999</v>
      </c>
      <c r="J45" s="7">
        <v>0</v>
      </c>
      <c r="K45" s="7">
        <v>17.017440000000001</v>
      </c>
      <c r="L45" s="7">
        <v>77.809896000000009</v>
      </c>
      <c r="M45" s="7">
        <v>0</v>
      </c>
      <c r="P45" s="15">
        <f t="shared" si="19"/>
        <v>358</v>
      </c>
      <c r="Q45" s="11">
        <f t="shared" ca="1" si="20"/>
        <v>2.1225453726672141E-2</v>
      </c>
      <c r="R45" s="7">
        <f t="shared" ca="1" si="31"/>
        <v>0.59997005988023955</v>
      </c>
      <c r="S45" s="7">
        <f t="shared" ca="1" si="32"/>
        <v>5.9982724580454089E-2</v>
      </c>
      <c r="T45" s="7">
        <f t="shared" ca="1" si="33"/>
        <v>4.05</v>
      </c>
      <c r="U45" s="7">
        <f t="shared" ca="1" si="34"/>
        <v>9.998977034422793E-2</v>
      </c>
      <c r="V45" s="7">
        <f t="shared" ca="1" si="35"/>
        <v>2.5099999999999998</v>
      </c>
      <c r="W45" s="7">
        <f t="shared" ca="1" si="36"/>
        <v>0</v>
      </c>
      <c r="X45" s="7">
        <f t="shared" ca="1" si="37"/>
        <v>0.48</v>
      </c>
      <c r="Y45" s="7">
        <f t="shared" ca="1" si="38"/>
        <v>1.62</v>
      </c>
      <c r="Z45" s="7">
        <f t="shared" ca="1" si="39"/>
        <v>0</v>
      </c>
      <c r="AA45" s="7" t="str">
        <f t="shared" si="30"/>
        <v/>
      </c>
    </row>
    <row r="46" spans="1:27" x14ac:dyDescent="0.2">
      <c r="A46" s="4">
        <v>-116.4000476021951</v>
      </c>
      <c r="B46" s="4">
        <v>36.643287969627444</v>
      </c>
      <c r="C46" s="5" t="s">
        <v>185</v>
      </c>
      <c r="D46" s="5" t="s">
        <v>216</v>
      </c>
      <c r="E46" s="7">
        <v>16.83276</v>
      </c>
      <c r="F46" s="7">
        <v>0.48610000000000003</v>
      </c>
      <c r="G46" s="7">
        <v>93.108811500000002</v>
      </c>
      <c r="H46" s="7">
        <v>3.9098000000000002</v>
      </c>
      <c r="I46" s="7">
        <v>156.76999999999998</v>
      </c>
      <c r="J46" s="7">
        <v>0</v>
      </c>
      <c r="K46" s="7">
        <v>13.117610000000001</v>
      </c>
      <c r="L46" s="7">
        <v>99.904064000000005</v>
      </c>
      <c r="M46" s="7">
        <v>0</v>
      </c>
      <c r="P46" s="15">
        <f t="shared" si="19"/>
        <v>384</v>
      </c>
      <c r="Q46" s="11">
        <f t="shared" ca="1" si="20"/>
        <v>9.8869653466262457E-4</v>
      </c>
      <c r="R46" s="7">
        <f t="shared" ca="1" si="31"/>
        <v>0.83995808383233539</v>
      </c>
      <c r="S46" s="7">
        <f t="shared" ca="1" si="32"/>
        <v>3.9988483053636066E-2</v>
      </c>
      <c r="T46" s="7">
        <f t="shared" ca="1" si="33"/>
        <v>4.05</v>
      </c>
      <c r="U46" s="7">
        <f t="shared" ca="1" si="34"/>
        <v>9.998977034422793E-2</v>
      </c>
      <c r="V46" s="7">
        <f t="shared" ca="1" si="35"/>
        <v>2.57</v>
      </c>
      <c r="W46" s="7">
        <f t="shared" ca="1" si="36"/>
        <v>0</v>
      </c>
      <c r="X46" s="7">
        <f t="shared" ca="1" si="37"/>
        <v>0.37</v>
      </c>
      <c r="Y46" s="7">
        <f t="shared" ca="1" si="38"/>
        <v>2.08</v>
      </c>
      <c r="Z46" s="7">
        <f t="shared" ca="1" si="39"/>
        <v>0</v>
      </c>
      <c r="AA46" s="7" t="str">
        <f t="shared" si="30"/>
        <v/>
      </c>
    </row>
    <row r="47" spans="1:27" x14ac:dyDescent="0.2">
      <c r="A47" s="4">
        <v>-116.42171300255308</v>
      </c>
      <c r="B47" s="4">
        <v>36.493288646547541</v>
      </c>
      <c r="C47" s="5" t="s">
        <v>185</v>
      </c>
      <c r="D47" s="5" t="s">
        <v>217</v>
      </c>
      <c r="E47" s="7">
        <v>40</v>
      </c>
      <c r="F47" s="7">
        <v>14</v>
      </c>
      <c r="G47" s="7">
        <v>97</v>
      </c>
      <c r="H47" s="7">
        <v>14</v>
      </c>
      <c r="I47" s="7">
        <v>210</v>
      </c>
      <c r="J47" s="7">
        <v>0</v>
      </c>
      <c r="K47" s="7">
        <v>28</v>
      </c>
      <c r="L47" s="7">
        <v>160</v>
      </c>
      <c r="M47" s="7">
        <v>2.9</v>
      </c>
      <c r="P47" s="15">
        <f t="shared" si="19"/>
        <v>566</v>
      </c>
      <c r="Q47" s="11">
        <f t="shared" ca="1" si="20"/>
        <v>5.6707277714800801E-4</v>
      </c>
      <c r="R47" s="7">
        <f t="shared" ca="1" si="31"/>
        <v>1.9960079840319362</v>
      </c>
      <c r="S47" s="7">
        <f t="shared" ca="1" si="32"/>
        <v>1.1516946363935505</v>
      </c>
      <c r="T47" s="7">
        <f t="shared" ca="1" si="33"/>
        <v>4.2192569497034125</v>
      </c>
      <c r="U47" s="7">
        <f t="shared" ca="1" si="34"/>
        <v>0.35803795202291444</v>
      </c>
      <c r="V47" s="7">
        <f t="shared" ca="1" si="35"/>
        <v>3.442622950819672</v>
      </c>
      <c r="W47" s="7">
        <f t="shared" ca="1" si="36"/>
        <v>0</v>
      </c>
      <c r="X47" s="7">
        <f t="shared" ca="1" si="37"/>
        <v>0.78977801596479835</v>
      </c>
      <c r="Y47" s="7">
        <f t="shared" ca="1" si="38"/>
        <v>3.331195816018055</v>
      </c>
      <c r="Z47" s="7">
        <f t="shared" ca="1" si="39"/>
        <v>0.15264443321542867</v>
      </c>
      <c r="AA47" s="7" t="str">
        <f t="shared" si="30"/>
        <v/>
      </c>
    </row>
    <row r="48" spans="1:27" x14ac:dyDescent="0.2">
      <c r="A48" s="4">
        <v>-116.55421750328642</v>
      </c>
      <c r="B48" s="4">
        <v>36.567730798991469</v>
      </c>
      <c r="C48" s="5" t="s">
        <v>185</v>
      </c>
      <c r="D48" s="5" t="s">
        <v>218</v>
      </c>
      <c r="E48" s="7">
        <v>60.117000000000004</v>
      </c>
      <c r="F48" s="7">
        <v>7.7776000000000005</v>
      </c>
      <c r="G48" s="7">
        <v>147.13491200000001</v>
      </c>
      <c r="H48" s="7">
        <v>9.7744999999999997</v>
      </c>
      <c r="I48" s="7">
        <v>264.13</v>
      </c>
      <c r="J48" s="7">
        <v>0</v>
      </c>
      <c r="K48" s="7">
        <v>65.58805000000001</v>
      </c>
      <c r="L48" s="7">
        <v>198.84751199999999</v>
      </c>
      <c r="M48" s="7">
        <v>0</v>
      </c>
      <c r="P48" s="15">
        <f t="shared" si="19"/>
        <v>753</v>
      </c>
      <c r="Q48" s="11">
        <f t="shared" ca="1" si="20"/>
        <v>-1.4730749887480381E-3</v>
      </c>
      <c r="R48" s="7">
        <f t="shared" ca="1" si="31"/>
        <v>2.999850299401198</v>
      </c>
      <c r="S48" s="7">
        <f t="shared" ca="1" si="32"/>
        <v>0.63981572885817706</v>
      </c>
      <c r="T48" s="7">
        <f t="shared" ca="1" si="33"/>
        <v>6.4</v>
      </c>
      <c r="U48" s="7">
        <f t="shared" ca="1" si="34"/>
        <v>0.24997442586056981</v>
      </c>
      <c r="V48" s="7">
        <f t="shared" ca="1" si="35"/>
        <v>4.33</v>
      </c>
      <c r="W48" s="7">
        <f t="shared" ca="1" si="36"/>
        <v>0</v>
      </c>
      <c r="X48" s="7">
        <f t="shared" ca="1" si="37"/>
        <v>1.85</v>
      </c>
      <c r="Y48" s="7">
        <f t="shared" ca="1" si="38"/>
        <v>4.1399999999999997</v>
      </c>
      <c r="Z48" s="7">
        <f t="shared" ca="1" si="39"/>
        <v>0</v>
      </c>
      <c r="AA48" s="7" t="str">
        <f t="shared" si="30"/>
        <v/>
      </c>
    </row>
    <row r="49" spans="1:27" x14ac:dyDescent="0.2">
      <c r="A49" s="4">
        <v>-116.44776370281443</v>
      </c>
      <c r="B49" s="4">
        <v>36.476957977155287</v>
      </c>
      <c r="C49" s="5" t="s">
        <v>185</v>
      </c>
      <c r="D49" s="5" t="s">
        <v>219</v>
      </c>
      <c r="E49" s="7">
        <v>21.642120000000002</v>
      </c>
      <c r="F49" s="7">
        <v>0.97220000000000006</v>
      </c>
      <c r="G49" s="7">
        <v>39.082711000000003</v>
      </c>
      <c r="H49" s="7">
        <v>6.6466600000000007</v>
      </c>
      <c r="I49" s="7">
        <v>122</v>
      </c>
      <c r="J49" s="7">
        <v>0</v>
      </c>
      <c r="K49" s="7">
        <v>10.635900000000001</v>
      </c>
      <c r="L49" s="7">
        <v>27.857863999999999</v>
      </c>
      <c r="M49" s="7">
        <v>0</v>
      </c>
      <c r="P49" s="15">
        <f t="shared" si="19"/>
        <v>229</v>
      </c>
      <c r="Q49" s="11">
        <f t="shared" ca="1" si="20"/>
        <v>2.5365156654868822E-2</v>
      </c>
      <c r="R49" s="7">
        <f t="shared" ca="1" si="31"/>
        <v>1.0799461077844312</v>
      </c>
      <c r="S49" s="7">
        <f t="shared" ca="1" si="32"/>
        <v>7.9976966107272132E-2</v>
      </c>
      <c r="T49" s="7">
        <f t="shared" ca="1" si="33"/>
        <v>1.7</v>
      </c>
      <c r="U49" s="7">
        <f t="shared" ca="1" si="34"/>
        <v>0.16998260958518749</v>
      </c>
      <c r="V49" s="7">
        <f t="shared" ca="1" si="35"/>
        <v>2</v>
      </c>
      <c r="W49" s="7">
        <f t="shared" ca="1" si="36"/>
        <v>0</v>
      </c>
      <c r="X49" s="7">
        <f t="shared" ca="1" si="37"/>
        <v>0.3</v>
      </c>
      <c r="Y49" s="7">
        <f t="shared" ca="1" si="38"/>
        <v>0.57999999999999996</v>
      </c>
      <c r="Z49" s="7">
        <f t="shared" ca="1" si="39"/>
        <v>0</v>
      </c>
      <c r="AA49" s="7" t="str">
        <f t="shared" si="30"/>
        <v/>
      </c>
    </row>
    <row r="50" spans="1:27" x14ac:dyDescent="0.2">
      <c r="A50" s="4">
        <v>-116.46365790295961</v>
      </c>
      <c r="B50" s="4">
        <v>36.446621968127154</v>
      </c>
      <c r="C50" s="5" t="s">
        <v>185</v>
      </c>
      <c r="D50" s="5" t="s">
        <v>220</v>
      </c>
      <c r="E50" s="7">
        <v>42.883460000000007</v>
      </c>
      <c r="F50" s="7">
        <v>9.9650499999999997</v>
      </c>
      <c r="G50" s="7">
        <v>100.00576049999999</v>
      </c>
      <c r="H50" s="7">
        <v>12.120379999999999</v>
      </c>
      <c r="I50" s="7">
        <v>294.63</v>
      </c>
      <c r="J50" s="7">
        <v>0</v>
      </c>
      <c r="K50" s="7">
        <v>24.108040000000003</v>
      </c>
      <c r="L50" s="7">
        <v>89.337288000000001</v>
      </c>
      <c r="M50" s="7">
        <v>0</v>
      </c>
      <c r="P50" s="15">
        <f t="shared" si="19"/>
        <v>573</v>
      </c>
      <c r="Q50" s="11">
        <f t="shared" ca="1" si="20"/>
        <v>1.6653211638557625E-2</v>
      </c>
      <c r="R50" s="7">
        <f t="shared" ca="1" si="31"/>
        <v>2.1398932135728548</v>
      </c>
      <c r="S50" s="7">
        <f t="shared" ca="1" si="32"/>
        <v>0.81976390259953924</v>
      </c>
      <c r="T50" s="7">
        <f t="shared" ca="1" si="33"/>
        <v>4.3499999999999996</v>
      </c>
      <c r="U50" s="7">
        <f t="shared" ca="1" si="34"/>
        <v>0.30996828806710652</v>
      </c>
      <c r="V50" s="7">
        <f t="shared" ca="1" si="35"/>
        <v>4.83</v>
      </c>
      <c r="W50" s="7">
        <f t="shared" ca="1" si="36"/>
        <v>0</v>
      </c>
      <c r="X50" s="7">
        <f t="shared" ca="1" si="37"/>
        <v>0.68</v>
      </c>
      <c r="Y50" s="7">
        <f t="shared" ca="1" si="38"/>
        <v>1.86</v>
      </c>
      <c r="Z50" s="7">
        <f t="shared" ca="1" si="39"/>
        <v>0</v>
      </c>
      <c r="AA50" s="7" t="str">
        <f t="shared" si="30"/>
        <v/>
      </c>
    </row>
    <row r="51" spans="1:27" x14ac:dyDescent="0.2">
      <c r="A51" s="4">
        <v>-116.39532140229511</v>
      </c>
      <c r="B51" s="4">
        <v>36.421345248724535</v>
      </c>
      <c r="C51" s="5" t="s">
        <v>185</v>
      </c>
      <c r="D51" s="5" t="s">
        <v>221</v>
      </c>
      <c r="E51" s="7">
        <v>24.046800000000001</v>
      </c>
      <c r="F51" s="7">
        <v>11.90945</v>
      </c>
      <c r="G51" s="7">
        <v>94.947997900000004</v>
      </c>
      <c r="H51" s="7">
        <v>19.15802</v>
      </c>
      <c r="I51" s="7">
        <v>262.90999999999997</v>
      </c>
      <c r="J51" s="7">
        <v>0</v>
      </c>
      <c r="K51" s="7">
        <v>18.081030000000002</v>
      </c>
      <c r="L51" s="7">
        <v>99.904064000000005</v>
      </c>
      <c r="M51" s="7">
        <v>0</v>
      </c>
      <c r="P51" s="15">
        <f t="shared" si="19"/>
        <v>531</v>
      </c>
      <c r="Q51" s="11">
        <f t="shared" ca="1" si="20"/>
        <v>-7.3281054457843614E-3</v>
      </c>
      <c r="R51" s="7">
        <f t="shared" ca="1" si="31"/>
        <v>1.1999401197604791</v>
      </c>
      <c r="S51" s="7">
        <f t="shared" ca="1" si="32"/>
        <v>0.97971783481408348</v>
      </c>
      <c r="T51" s="7">
        <f t="shared" ca="1" si="33"/>
        <v>4.13</v>
      </c>
      <c r="U51" s="7">
        <f t="shared" ca="1" si="34"/>
        <v>0.48994987468671686</v>
      </c>
      <c r="V51" s="7">
        <f t="shared" ca="1" si="35"/>
        <v>4.3099999999999996</v>
      </c>
      <c r="W51" s="7">
        <f t="shared" ca="1" si="36"/>
        <v>0</v>
      </c>
      <c r="X51" s="7">
        <f t="shared" ca="1" si="37"/>
        <v>0.51</v>
      </c>
      <c r="Y51" s="7">
        <f t="shared" ca="1" si="38"/>
        <v>2.08</v>
      </c>
      <c r="Z51" s="7">
        <f t="shared" ca="1" si="39"/>
        <v>0</v>
      </c>
      <c r="AA51" s="7" t="str">
        <f t="shared" si="30"/>
        <v/>
      </c>
    </row>
    <row r="52" spans="1:27" x14ac:dyDescent="0.2">
      <c r="A52" s="4">
        <v>-116.42032220259021</v>
      </c>
      <c r="B52" s="4">
        <v>36.416345009113421</v>
      </c>
      <c r="C52" s="5" t="s">
        <v>185</v>
      </c>
      <c r="D52" s="5" t="s">
        <v>222</v>
      </c>
      <c r="E52" s="7">
        <v>29</v>
      </c>
      <c r="F52" s="7">
        <v>12</v>
      </c>
      <c r="G52" s="7">
        <v>120</v>
      </c>
      <c r="H52" s="7">
        <v>9.6999999999999993</v>
      </c>
      <c r="I52" s="7">
        <v>350</v>
      </c>
      <c r="J52" s="7">
        <v>0</v>
      </c>
      <c r="K52" s="7">
        <v>20</v>
      </c>
      <c r="L52" s="7">
        <v>74</v>
      </c>
      <c r="M52" s="7">
        <v>3.7</v>
      </c>
      <c r="P52" s="15">
        <f t="shared" si="19"/>
        <v>618</v>
      </c>
      <c r="Q52" s="11">
        <f t="shared" ca="1" si="20"/>
        <v>-8.4835752096709856E-3</v>
      </c>
      <c r="R52" s="7">
        <f t="shared" ca="1" si="31"/>
        <v>1.4471057884231537</v>
      </c>
      <c r="S52" s="7">
        <f t="shared" ca="1" si="32"/>
        <v>0.98716683119447179</v>
      </c>
      <c r="T52" s="7">
        <f t="shared" ca="1" si="33"/>
        <v>5.2196993192207159</v>
      </c>
      <c r="U52" s="7">
        <f t="shared" ca="1" si="34"/>
        <v>0.24806915247301928</v>
      </c>
      <c r="V52" s="7">
        <f t="shared" ca="1" si="35"/>
        <v>5.7377049180327866</v>
      </c>
      <c r="W52" s="7">
        <f t="shared" ca="1" si="36"/>
        <v>0</v>
      </c>
      <c r="X52" s="7">
        <f t="shared" ca="1" si="37"/>
        <v>0.56412715426057025</v>
      </c>
      <c r="Y52" s="7">
        <f t="shared" ca="1" si="38"/>
        <v>1.5406780649083505</v>
      </c>
      <c r="Z52" s="7">
        <f t="shared" ca="1" si="39"/>
        <v>0.19475324237830555</v>
      </c>
      <c r="AA52" s="7" t="str">
        <f t="shared" si="30"/>
        <v/>
      </c>
    </row>
    <row r="53" spans="1:27" x14ac:dyDescent="0.2">
      <c r="A53" s="4">
        <v>-116.42032220259154</v>
      </c>
      <c r="B53" s="4">
        <v>36.41440058910986</v>
      </c>
      <c r="C53" s="5" t="s">
        <v>185</v>
      </c>
      <c r="D53" s="5" t="s">
        <v>223</v>
      </c>
      <c r="E53" s="7">
        <v>34.066299999999998</v>
      </c>
      <c r="F53" s="7">
        <v>8.5067499999999985</v>
      </c>
      <c r="G53" s="7">
        <v>99.0861673</v>
      </c>
      <c r="H53" s="7">
        <v>11.7294</v>
      </c>
      <c r="I53" s="7">
        <v>224.48000000000002</v>
      </c>
      <c r="J53" s="7">
        <v>0</v>
      </c>
      <c r="K53" s="7">
        <v>30.844110000000004</v>
      </c>
      <c r="L53" s="7">
        <v>90.297903999999988</v>
      </c>
      <c r="M53" s="7">
        <v>0</v>
      </c>
      <c r="P53" s="15">
        <f t="shared" si="19"/>
        <v>499</v>
      </c>
      <c r="Q53" s="11">
        <f t="shared" ca="1" si="20"/>
        <v>4.3132188234873158E-2</v>
      </c>
      <c r="R53" s="7">
        <f t="shared" ca="1" si="31"/>
        <v>1.6999151696606787</v>
      </c>
      <c r="S53" s="7">
        <f t="shared" ca="1" si="32"/>
        <v>0.69979845343863101</v>
      </c>
      <c r="T53" s="7">
        <f t="shared" ca="1" si="33"/>
        <v>4.3099999999999996</v>
      </c>
      <c r="U53" s="7">
        <f t="shared" ca="1" si="34"/>
        <v>0.29996931103268376</v>
      </c>
      <c r="V53" s="7">
        <f t="shared" ca="1" si="35"/>
        <v>3.68</v>
      </c>
      <c r="W53" s="7">
        <f t="shared" ca="1" si="36"/>
        <v>0</v>
      </c>
      <c r="X53" s="7">
        <f t="shared" ca="1" si="37"/>
        <v>0.87</v>
      </c>
      <c r="Y53" s="7">
        <f t="shared" ca="1" si="38"/>
        <v>1.88</v>
      </c>
      <c r="Z53" s="7">
        <f t="shared" ca="1" si="39"/>
        <v>0</v>
      </c>
      <c r="AA53" s="7" t="str">
        <f t="shared" si="30"/>
        <v/>
      </c>
    </row>
    <row r="54" spans="1:27" x14ac:dyDescent="0.2">
      <c r="A54" s="4">
        <v>-116.588000003296</v>
      </c>
      <c r="B54" s="4">
        <v>36.583109270347649</v>
      </c>
      <c r="C54" s="5" t="s">
        <v>224</v>
      </c>
      <c r="D54" s="5" t="s">
        <v>225</v>
      </c>
      <c r="E54" s="7">
        <v>58.51388</v>
      </c>
      <c r="F54" s="7">
        <v>6.3193000000000001</v>
      </c>
      <c r="G54" s="7">
        <v>180.47016550000001</v>
      </c>
      <c r="H54" s="7">
        <v>12.902340000000001</v>
      </c>
      <c r="I54" s="7">
        <v>295.84999999999997</v>
      </c>
      <c r="J54" s="7">
        <v>0</v>
      </c>
      <c r="K54" s="7">
        <v>79.76925</v>
      </c>
      <c r="L54" s="7">
        <v>202.68997599999997</v>
      </c>
      <c r="M54" s="7">
        <v>0</v>
      </c>
      <c r="P54" s="15">
        <f t="shared" si="19"/>
        <v>837</v>
      </c>
      <c r="Q54" s="11">
        <f t="shared" ca="1" si="20"/>
        <v>1.3063431279811228E-2</v>
      </c>
      <c r="R54" s="7">
        <f t="shared" ca="1" si="31"/>
        <v>2.9198542914171659</v>
      </c>
      <c r="S54" s="7">
        <f t="shared" ca="1" si="32"/>
        <v>0.51985027969726882</v>
      </c>
      <c r="T54" s="7">
        <f t="shared" ca="1" si="33"/>
        <v>7.85</v>
      </c>
      <c r="U54" s="7">
        <f t="shared" ca="1" si="34"/>
        <v>0.32996624213595216</v>
      </c>
      <c r="V54" s="7">
        <f t="shared" ca="1" si="35"/>
        <v>4.8499999999999996</v>
      </c>
      <c r="W54" s="7">
        <f t="shared" ca="1" si="36"/>
        <v>0</v>
      </c>
      <c r="X54" s="7">
        <f t="shared" ca="1" si="37"/>
        <v>2.25</v>
      </c>
      <c r="Y54" s="7">
        <f t="shared" ca="1" si="38"/>
        <v>4.22</v>
      </c>
      <c r="Z54" s="7">
        <f t="shared" ca="1" si="39"/>
        <v>0</v>
      </c>
      <c r="AA54" s="7" t="str">
        <f t="shared" si="30"/>
        <v/>
      </c>
    </row>
    <row r="55" spans="1:27" x14ac:dyDescent="0.2">
      <c r="A55" s="4">
        <v>-116.61005120327403</v>
      </c>
      <c r="B55" s="4">
        <v>36.578285230679882</v>
      </c>
      <c r="C55" s="5" t="s">
        <v>224</v>
      </c>
      <c r="D55" s="5" t="s">
        <v>226</v>
      </c>
      <c r="E55" s="7">
        <v>52.902960000000007</v>
      </c>
      <c r="F55" s="7">
        <v>9.4789500000000011</v>
      </c>
      <c r="G55" s="7">
        <v>140.00806470000001</v>
      </c>
      <c r="H55" s="7">
        <v>10.165480000000001</v>
      </c>
      <c r="I55" s="7">
        <v>250.71</v>
      </c>
      <c r="J55" s="7">
        <v>0</v>
      </c>
      <c r="K55" s="7">
        <v>63.106340000000003</v>
      </c>
      <c r="L55" s="7">
        <v>179.63519200000002</v>
      </c>
      <c r="M55" s="7">
        <v>0</v>
      </c>
      <c r="P55" s="15">
        <f t="shared" si="19"/>
        <v>706</v>
      </c>
      <c r="Q55" s="11">
        <f t="shared" ca="1" si="20"/>
        <v>7.196899057112063E-3</v>
      </c>
      <c r="R55" s="7">
        <f t="shared" ca="1" si="31"/>
        <v>2.6398682634730544</v>
      </c>
      <c r="S55" s="7">
        <f t="shared" ca="1" si="32"/>
        <v>0.77977541954590335</v>
      </c>
      <c r="T55" s="7">
        <f t="shared" ca="1" si="33"/>
        <v>6.09</v>
      </c>
      <c r="U55" s="7">
        <f t="shared" ca="1" si="34"/>
        <v>0.2599734028949926</v>
      </c>
      <c r="V55" s="7">
        <f t="shared" ca="1" si="35"/>
        <v>4.1100000000000003</v>
      </c>
      <c r="W55" s="7">
        <f t="shared" ca="1" si="36"/>
        <v>0</v>
      </c>
      <c r="X55" s="7">
        <f t="shared" ca="1" si="37"/>
        <v>1.78</v>
      </c>
      <c r="Y55" s="7">
        <f t="shared" ca="1" si="38"/>
        <v>3.74</v>
      </c>
      <c r="Z55" s="7">
        <f t="shared" ca="1" si="39"/>
        <v>0</v>
      </c>
      <c r="AA55" s="7" t="str">
        <f t="shared" si="30"/>
        <v/>
      </c>
    </row>
    <row r="56" spans="1:27" x14ac:dyDescent="0.2">
      <c r="A56" s="4">
        <v>-116.60866200328158</v>
      </c>
      <c r="B56" s="4">
        <v>36.564396382525373</v>
      </c>
      <c r="C56" s="5" t="s">
        <v>224</v>
      </c>
      <c r="D56" s="5" t="s">
        <v>227</v>
      </c>
      <c r="E56" s="7">
        <v>54.906860000000009</v>
      </c>
      <c r="F56" s="7">
        <v>10.937250000000001</v>
      </c>
      <c r="G56" s="7">
        <v>150.12358990000001</v>
      </c>
      <c r="H56" s="7">
        <v>11.7294</v>
      </c>
      <c r="I56" s="7">
        <v>271.45</v>
      </c>
      <c r="J56" s="7">
        <v>0</v>
      </c>
      <c r="K56" s="7">
        <v>60.979160000000007</v>
      </c>
      <c r="L56" s="7">
        <v>190.20196799999999</v>
      </c>
      <c r="M56" s="7">
        <v>0</v>
      </c>
      <c r="P56" s="15">
        <f t="shared" si="19"/>
        <v>750</v>
      </c>
      <c r="Q56" s="11">
        <f t="shared" ca="1" si="20"/>
        <v>1.6484489543639631E-2</v>
      </c>
      <c r="R56" s="7">
        <f t="shared" ca="1" si="31"/>
        <v>2.7398632734530945</v>
      </c>
      <c r="S56" s="7">
        <f t="shared" ca="1" si="32"/>
        <v>0.89974086870681147</v>
      </c>
      <c r="T56" s="7">
        <f t="shared" ca="1" si="33"/>
        <v>6.53</v>
      </c>
      <c r="U56" s="7">
        <f t="shared" ca="1" si="34"/>
        <v>0.29996931103268376</v>
      </c>
      <c r="V56" s="7">
        <f t="shared" ca="1" si="35"/>
        <v>4.45</v>
      </c>
      <c r="W56" s="7">
        <f t="shared" ca="1" si="36"/>
        <v>0</v>
      </c>
      <c r="X56" s="7">
        <f t="shared" ca="1" si="37"/>
        <v>1.72</v>
      </c>
      <c r="Y56" s="7">
        <f t="shared" ca="1" si="38"/>
        <v>3.96</v>
      </c>
      <c r="Z56" s="7">
        <f t="shared" ca="1" si="39"/>
        <v>0</v>
      </c>
      <c r="AA56" s="7" t="str">
        <f t="shared" si="30"/>
        <v/>
      </c>
    </row>
    <row r="57" spans="1:27" x14ac:dyDescent="0.2">
      <c r="A57" s="4">
        <v>-116.60755070328716</v>
      </c>
      <c r="B57" s="4">
        <v>36.554396424003812</v>
      </c>
      <c r="C57" s="5" t="s">
        <v>224</v>
      </c>
      <c r="D57" s="5" t="s">
        <v>228</v>
      </c>
      <c r="E57" s="7">
        <v>66.128699999999995</v>
      </c>
      <c r="F57" s="7">
        <v>10.937250000000001</v>
      </c>
      <c r="G57" s="7">
        <v>169.8948437</v>
      </c>
      <c r="H57" s="7">
        <v>12.120379999999999</v>
      </c>
      <c r="I57" s="7">
        <v>239.12</v>
      </c>
      <c r="J57" s="7">
        <v>0</v>
      </c>
      <c r="K57" s="7">
        <v>82.96002</v>
      </c>
      <c r="L57" s="7">
        <v>235.35092</v>
      </c>
      <c r="M57" s="7">
        <v>0</v>
      </c>
      <c r="P57" s="15">
        <f t="shared" si="19"/>
        <v>817</v>
      </c>
      <c r="Q57" s="11">
        <f t="shared" ca="1" si="20"/>
        <v>3.207107957230175E-2</v>
      </c>
      <c r="R57" s="7">
        <f t="shared" ca="1" si="31"/>
        <v>3.2998353293413172</v>
      </c>
      <c r="S57" s="7">
        <f t="shared" ca="1" si="32"/>
        <v>0.89974086870681147</v>
      </c>
      <c r="T57" s="7">
        <f t="shared" ca="1" si="33"/>
        <v>7.39</v>
      </c>
      <c r="U57" s="7">
        <f t="shared" ca="1" si="34"/>
        <v>0.30996828806710652</v>
      </c>
      <c r="V57" s="7">
        <f t="shared" ca="1" si="35"/>
        <v>3.92</v>
      </c>
      <c r="W57" s="7">
        <f t="shared" ca="1" si="36"/>
        <v>0</v>
      </c>
      <c r="X57" s="7">
        <f t="shared" ca="1" si="37"/>
        <v>2.34</v>
      </c>
      <c r="Y57" s="7">
        <f t="shared" ca="1" si="38"/>
        <v>4.9000000000000004</v>
      </c>
      <c r="Z57" s="7">
        <f t="shared" ca="1" si="39"/>
        <v>0</v>
      </c>
      <c r="AA57" s="7" t="str">
        <f t="shared" si="30"/>
        <v/>
      </c>
    </row>
    <row r="58" spans="1:27" x14ac:dyDescent="0.2">
      <c r="A58" s="4">
        <v>-116.58699540330309</v>
      </c>
      <c r="B58" s="4">
        <v>36.566896811761886</v>
      </c>
      <c r="C58" s="5" t="s">
        <v>224</v>
      </c>
      <c r="D58" s="5" t="s">
        <v>229</v>
      </c>
      <c r="E58" s="7">
        <v>60.117000000000004</v>
      </c>
      <c r="F58" s="7">
        <v>7.7776000000000005</v>
      </c>
      <c r="G58" s="7">
        <v>157.02053890000002</v>
      </c>
      <c r="H58" s="7">
        <v>12.120379999999999</v>
      </c>
      <c r="I58" s="7">
        <v>301.95</v>
      </c>
      <c r="J58" s="7">
        <v>0</v>
      </c>
      <c r="K58" s="7">
        <v>69.133350000000007</v>
      </c>
      <c r="L58" s="7">
        <v>178.674576</v>
      </c>
      <c r="M58" s="7">
        <v>0</v>
      </c>
      <c r="P58" s="15">
        <f t="shared" si="19"/>
        <v>787</v>
      </c>
      <c r="Q58" s="11">
        <f t="shared" ca="1" si="20"/>
        <v>7.4596749629824459E-3</v>
      </c>
      <c r="R58" s="7">
        <f t="shared" ca="1" si="31"/>
        <v>2.999850299401198</v>
      </c>
      <c r="S58" s="7">
        <f t="shared" ca="1" si="32"/>
        <v>0.63981572885817706</v>
      </c>
      <c r="T58" s="7">
        <f t="shared" ca="1" si="33"/>
        <v>6.83</v>
      </c>
      <c r="U58" s="7">
        <f t="shared" ca="1" si="34"/>
        <v>0.30996828806710652</v>
      </c>
      <c r="V58" s="7">
        <f t="shared" ca="1" si="35"/>
        <v>4.95</v>
      </c>
      <c r="W58" s="7">
        <f t="shared" ca="1" si="36"/>
        <v>0</v>
      </c>
      <c r="X58" s="7">
        <f t="shared" ca="1" si="37"/>
        <v>1.95</v>
      </c>
      <c r="Y58" s="7">
        <f t="shared" ca="1" si="38"/>
        <v>3.72</v>
      </c>
      <c r="Z58" s="7">
        <f t="shared" ca="1" si="39"/>
        <v>0</v>
      </c>
      <c r="AA58" s="7" t="str">
        <f t="shared" si="30"/>
        <v/>
      </c>
    </row>
    <row r="59" spans="1:27" x14ac:dyDescent="0.2">
      <c r="A59" s="4">
        <v>-116.5297726032438</v>
      </c>
      <c r="B59" s="4">
        <v>36.544120256573798</v>
      </c>
      <c r="C59" s="5" t="s">
        <v>185</v>
      </c>
      <c r="D59" s="5" t="s">
        <v>230</v>
      </c>
      <c r="E59" s="7">
        <v>22.042900000000003</v>
      </c>
      <c r="F59" s="7">
        <v>2.1874499999999997</v>
      </c>
      <c r="G59" s="7">
        <v>68.969490000000008</v>
      </c>
      <c r="H59" s="7">
        <v>6.6466600000000007</v>
      </c>
      <c r="I59" s="7">
        <v>134.20000000000002</v>
      </c>
      <c r="J59" s="7">
        <v>0</v>
      </c>
      <c r="K59" s="7">
        <v>26.589750000000002</v>
      </c>
      <c r="L59" s="7">
        <v>67.24311999999999</v>
      </c>
      <c r="M59" s="7">
        <v>0</v>
      </c>
      <c r="P59" s="15">
        <f t="shared" si="19"/>
        <v>328</v>
      </c>
      <c r="Q59" s="11">
        <f t="shared" ca="1" si="20"/>
        <v>1.1349693372973851E-2</v>
      </c>
      <c r="R59" s="7">
        <f t="shared" ca="1" si="31"/>
        <v>1.0999451097804394</v>
      </c>
      <c r="S59" s="7">
        <f t="shared" ca="1" si="32"/>
        <v>0.17994817374136227</v>
      </c>
      <c r="T59" s="7">
        <f t="shared" ca="1" si="33"/>
        <v>3</v>
      </c>
      <c r="U59" s="7">
        <f t="shared" ca="1" si="34"/>
        <v>0.16998260958518749</v>
      </c>
      <c r="V59" s="7">
        <f t="shared" ca="1" si="35"/>
        <v>2.2000000000000002</v>
      </c>
      <c r="W59" s="7">
        <f t="shared" ca="1" si="36"/>
        <v>0</v>
      </c>
      <c r="X59" s="7">
        <f t="shared" ca="1" si="37"/>
        <v>0.75</v>
      </c>
      <c r="Y59" s="7">
        <f t="shared" ca="1" si="38"/>
        <v>1.4</v>
      </c>
      <c r="Z59" s="7">
        <f t="shared" ca="1" si="39"/>
        <v>0</v>
      </c>
      <c r="AA59" s="7" t="str">
        <f t="shared" si="30"/>
        <v/>
      </c>
    </row>
    <row r="60" spans="1:27" x14ac:dyDescent="0.2">
      <c r="A60" s="4">
        <v>-116.54089040331341</v>
      </c>
      <c r="B60" s="4">
        <v>36.458009509292388</v>
      </c>
      <c r="C60" s="5" t="s">
        <v>224</v>
      </c>
      <c r="D60" s="5" t="s">
        <v>231</v>
      </c>
      <c r="E60" s="7">
        <v>58.113100000000003</v>
      </c>
      <c r="F60" s="7">
        <v>18.957900000000002</v>
      </c>
      <c r="G60" s="7">
        <v>134.03070890000001</v>
      </c>
      <c r="H60" s="7">
        <v>19.15802</v>
      </c>
      <c r="I60" s="7">
        <v>437.97999999999996</v>
      </c>
      <c r="J60" s="7">
        <v>0</v>
      </c>
      <c r="K60" s="7">
        <v>31.907700000000002</v>
      </c>
      <c r="L60" s="7">
        <v>106.628376</v>
      </c>
      <c r="M60" s="7">
        <v>0</v>
      </c>
      <c r="P60" s="15">
        <f t="shared" si="19"/>
        <v>807</v>
      </c>
      <c r="Q60" s="11">
        <f t="shared" ca="1" si="20"/>
        <v>2.2740543075742921E-2</v>
      </c>
      <c r="R60" s="7">
        <f t="shared" ca="1" si="31"/>
        <v>2.8998552894211578</v>
      </c>
      <c r="S60" s="7">
        <f t="shared" ca="1" si="32"/>
        <v>1.5595508390918067</v>
      </c>
      <c r="T60" s="7">
        <f t="shared" ca="1" si="33"/>
        <v>5.83</v>
      </c>
      <c r="U60" s="7">
        <f t="shared" ca="1" si="34"/>
        <v>0.48994987468671686</v>
      </c>
      <c r="V60" s="7">
        <f t="shared" ca="1" si="35"/>
        <v>7.18</v>
      </c>
      <c r="W60" s="7">
        <f t="shared" ca="1" si="36"/>
        <v>0</v>
      </c>
      <c r="X60" s="7">
        <f t="shared" ca="1" si="37"/>
        <v>0.9</v>
      </c>
      <c r="Y60" s="7">
        <f t="shared" ca="1" si="38"/>
        <v>2.2200000000000002</v>
      </c>
      <c r="Z60" s="7">
        <f t="shared" ca="1" si="39"/>
        <v>0</v>
      </c>
      <c r="AA60" s="7" t="str">
        <f t="shared" si="30"/>
        <v/>
      </c>
    </row>
    <row r="61" spans="1:27" x14ac:dyDescent="0.2">
      <c r="A61" s="4">
        <v>-116.37914170204277</v>
      </c>
      <c r="B61" s="4">
        <v>36.468223532065281</v>
      </c>
      <c r="C61" s="5" t="s">
        <v>185</v>
      </c>
      <c r="D61" s="5" t="s">
        <v>232</v>
      </c>
      <c r="E61" s="7">
        <v>7.6148200000000008</v>
      </c>
      <c r="F61" s="7">
        <v>6.0762499999999999</v>
      </c>
      <c r="G61" s="7">
        <v>251.96853680000004</v>
      </c>
      <c r="H61" s="7">
        <v>27.368599999999997</v>
      </c>
      <c r="I61" s="7">
        <v>415.40999999999997</v>
      </c>
      <c r="J61" s="7">
        <v>0</v>
      </c>
      <c r="K61" s="7">
        <v>69.842410000000001</v>
      </c>
      <c r="L61" s="7">
        <v>175.79272800000001</v>
      </c>
      <c r="M61" s="7">
        <v>0</v>
      </c>
      <c r="P61" s="15">
        <f t="shared" si="19"/>
        <v>954</v>
      </c>
      <c r="Q61" s="11">
        <f t="shared" ca="1" si="20"/>
        <v>3.9938512885555298E-3</v>
      </c>
      <c r="R61" s="7">
        <f t="shared" ca="1" si="31"/>
        <v>0.37998103792415178</v>
      </c>
      <c r="S61" s="7">
        <f t="shared" ca="1" si="32"/>
        <v>0.49985603817045077</v>
      </c>
      <c r="T61" s="7">
        <f t="shared" ca="1" si="33"/>
        <v>10.96</v>
      </c>
      <c r="U61" s="7">
        <f t="shared" ca="1" si="34"/>
        <v>0.69992839240959537</v>
      </c>
      <c r="V61" s="7">
        <f t="shared" ca="1" si="35"/>
        <v>6.81</v>
      </c>
      <c r="W61" s="7">
        <f t="shared" ca="1" si="36"/>
        <v>0</v>
      </c>
      <c r="X61" s="7">
        <f t="shared" ca="1" si="37"/>
        <v>1.97</v>
      </c>
      <c r="Y61" s="7">
        <f t="shared" ca="1" si="38"/>
        <v>3.66</v>
      </c>
      <c r="Z61" s="7">
        <f t="shared" ca="1" si="39"/>
        <v>0</v>
      </c>
      <c r="AA61" s="7" t="str">
        <f t="shared" si="30"/>
        <v/>
      </c>
    </row>
    <row r="62" spans="1:27" x14ac:dyDescent="0.2">
      <c r="A62" s="4">
        <v>-116.44416699999999</v>
      </c>
      <c r="B62" s="4">
        <v>36.627777999999999</v>
      </c>
      <c r="C62" s="5" t="s">
        <v>185</v>
      </c>
      <c r="D62" s="5" t="s">
        <v>233</v>
      </c>
      <c r="E62" s="7">
        <v>22</v>
      </c>
      <c r="F62" s="7">
        <v>1.3</v>
      </c>
      <c r="G62" s="7">
        <v>49</v>
      </c>
      <c r="H62" s="7">
        <v>2.5</v>
      </c>
      <c r="I62" s="7">
        <v>150</v>
      </c>
      <c r="J62" s="7">
        <v>0</v>
      </c>
      <c r="K62" s="7">
        <v>7.4</v>
      </c>
      <c r="L62" s="7">
        <v>38</v>
      </c>
      <c r="M62" s="7">
        <v>0.9</v>
      </c>
      <c r="P62" s="15">
        <f t="shared" si="19"/>
        <v>271</v>
      </c>
      <c r="Q62" s="11">
        <f t="shared" ca="1" si="20"/>
        <v>-1.5379332685137007E-2</v>
      </c>
      <c r="R62" s="7">
        <f t="shared" ca="1" si="31"/>
        <v>1.097804391217565</v>
      </c>
      <c r="S62" s="7">
        <f t="shared" ca="1" si="32"/>
        <v>0.10694307337940112</v>
      </c>
      <c r="T62" s="7">
        <f t="shared" ca="1" si="33"/>
        <v>2.1313772220151259</v>
      </c>
      <c r="U62" s="7">
        <f t="shared" ca="1" si="34"/>
        <v>6.393534857552044E-2</v>
      </c>
      <c r="V62" s="7">
        <f t="shared" ca="1" si="35"/>
        <v>2.459016393442623</v>
      </c>
      <c r="W62" s="7">
        <f t="shared" ca="1" si="36"/>
        <v>0</v>
      </c>
      <c r="X62" s="7">
        <f t="shared" ca="1" si="37"/>
        <v>0.20872704707641102</v>
      </c>
      <c r="Y62" s="7">
        <f t="shared" ca="1" si="38"/>
        <v>0.79115900630428815</v>
      </c>
      <c r="Z62" s="7">
        <f t="shared" ca="1" si="39"/>
        <v>4.7372410308236482E-2</v>
      </c>
      <c r="AA62" s="7" t="str">
        <f t="shared" si="30"/>
        <v/>
      </c>
    </row>
    <row r="63" spans="1:27" x14ac:dyDescent="0.2">
      <c r="A63" s="4">
        <v>-116.51944399999999</v>
      </c>
      <c r="B63" s="4">
        <v>36.488889</v>
      </c>
      <c r="C63" s="5" t="s">
        <v>224</v>
      </c>
      <c r="D63" s="5" t="s">
        <v>234</v>
      </c>
      <c r="E63" s="7">
        <v>74</v>
      </c>
      <c r="F63" s="7">
        <v>24</v>
      </c>
      <c r="G63" s="7">
        <v>160</v>
      </c>
      <c r="H63" s="7">
        <v>16</v>
      </c>
      <c r="I63" s="7">
        <v>400</v>
      </c>
      <c r="J63" s="7">
        <v>0</v>
      </c>
      <c r="K63" s="7">
        <v>78</v>
      </c>
      <c r="L63" s="7">
        <v>180</v>
      </c>
      <c r="M63" s="7">
        <v>6.8</v>
      </c>
      <c r="P63" s="15">
        <f t="shared" si="19"/>
        <v>939</v>
      </c>
      <c r="Q63" s="11">
        <f t="shared" ca="1" si="20"/>
        <v>6.669850419283899E-3</v>
      </c>
      <c r="R63" s="7">
        <f t="shared" ca="1" si="31"/>
        <v>3.6926147704590822</v>
      </c>
      <c r="S63" s="7">
        <f t="shared" ca="1" si="32"/>
        <v>1.9743336623889436</v>
      </c>
      <c r="T63" s="7">
        <f t="shared" ca="1" si="33"/>
        <v>6.9595990922942876</v>
      </c>
      <c r="U63" s="7">
        <f t="shared" ca="1" si="34"/>
        <v>0.40918623088333084</v>
      </c>
      <c r="V63" s="7">
        <f t="shared" ca="1" si="35"/>
        <v>6.557377049180328</v>
      </c>
      <c r="W63" s="7">
        <f t="shared" ca="1" si="36"/>
        <v>0</v>
      </c>
      <c r="X63" s="7">
        <f t="shared" ca="1" si="37"/>
        <v>2.200095901616224</v>
      </c>
      <c r="Y63" s="7">
        <f t="shared" ca="1" si="38"/>
        <v>3.747595293020312</v>
      </c>
      <c r="Z63" s="7">
        <f t="shared" ca="1" si="39"/>
        <v>0.35792487788445343</v>
      </c>
      <c r="AA63" s="7" t="str">
        <f t="shared" si="30"/>
        <v/>
      </c>
    </row>
    <row r="64" spans="1:27" x14ac:dyDescent="0.2">
      <c r="A64" s="4">
        <v>-116.69305574765218</v>
      </c>
      <c r="B64" s="4">
        <v>36.763729885235151</v>
      </c>
      <c r="C64" s="5" t="s">
        <v>224</v>
      </c>
      <c r="D64" s="5" t="s">
        <v>235</v>
      </c>
      <c r="E64" s="7">
        <v>47</v>
      </c>
      <c r="F64" s="7">
        <v>18</v>
      </c>
      <c r="G64" s="7">
        <v>160</v>
      </c>
      <c r="H64" s="7">
        <v>11</v>
      </c>
      <c r="I64" s="7">
        <v>320</v>
      </c>
      <c r="J64" s="7">
        <v>0</v>
      </c>
      <c r="K64" s="7">
        <v>79</v>
      </c>
      <c r="L64" s="7">
        <v>190</v>
      </c>
      <c r="M64" s="7">
        <v>3.4</v>
      </c>
      <c r="P64" s="15">
        <f t="shared" si="19"/>
        <v>828</v>
      </c>
      <c r="Q64" s="11">
        <f t="shared" ca="1" si="20"/>
        <v>-2.390142237513785E-2</v>
      </c>
      <c r="R64" s="7">
        <f t="shared" ca="1" si="31"/>
        <v>2.345309381237525</v>
      </c>
      <c r="S64" s="7">
        <f t="shared" ca="1" si="32"/>
        <v>1.4807502467917077</v>
      </c>
      <c r="T64" s="7">
        <f t="shared" ca="1" si="33"/>
        <v>6.9595990922942876</v>
      </c>
      <c r="U64" s="7">
        <f t="shared" ca="1" si="34"/>
        <v>0.28131553373228996</v>
      </c>
      <c r="V64" s="7">
        <f t="shared" ca="1" si="35"/>
        <v>5.2459016393442619</v>
      </c>
      <c r="W64" s="7">
        <f t="shared" ca="1" si="36"/>
        <v>0</v>
      </c>
      <c r="X64" s="7">
        <f t="shared" ca="1" si="37"/>
        <v>2.2283022593292525</v>
      </c>
      <c r="Y64" s="7">
        <f t="shared" ca="1" si="38"/>
        <v>3.9557950315214403</v>
      </c>
      <c r="Z64" s="7">
        <f t="shared" ca="1" si="39"/>
        <v>0.17896243894222671</v>
      </c>
      <c r="AA64" s="7" t="str">
        <f t="shared" si="30"/>
        <v/>
      </c>
    </row>
    <row r="65" spans="1:27" x14ac:dyDescent="0.2">
      <c r="A65" s="4">
        <v>-116.27361027371379</v>
      </c>
      <c r="B65" s="4">
        <v>36.37290578815243</v>
      </c>
      <c r="C65" s="5" t="s">
        <v>236</v>
      </c>
      <c r="D65" s="5" t="s">
        <v>237</v>
      </c>
      <c r="E65" s="7">
        <v>43</v>
      </c>
      <c r="F65" s="7">
        <v>19</v>
      </c>
      <c r="G65" s="7">
        <v>97</v>
      </c>
      <c r="H65" s="7">
        <v>9.4</v>
      </c>
      <c r="I65" s="7">
        <v>318</v>
      </c>
      <c r="J65" s="7">
        <v>0</v>
      </c>
      <c r="K65" s="7">
        <v>27</v>
      </c>
      <c r="L65" s="7">
        <v>111</v>
      </c>
      <c r="M65" s="7">
        <v>1.3</v>
      </c>
      <c r="P65" s="15">
        <f t="shared" si="19"/>
        <v>626</v>
      </c>
      <c r="Q65" s="11">
        <f t="shared" ca="1" si="20"/>
        <v>-1.1242466591815515E-2</v>
      </c>
      <c r="R65" s="7">
        <f t="shared" ca="1" si="31"/>
        <v>2.1457085828343314</v>
      </c>
      <c r="S65" s="7">
        <f t="shared" ca="1" si="32"/>
        <v>1.5630141493912471</v>
      </c>
      <c r="T65" s="7">
        <f t="shared" ca="1" si="33"/>
        <v>4.2192569497034125</v>
      </c>
      <c r="U65" s="7">
        <f t="shared" ca="1" si="34"/>
        <v>0.24039691064395685</v>
      </c>
      <c r="V65" s="7">
        <f t="shared" ca="1" si="35"/>
        <v>5.2131147540983607</v>
      </c>
      <c r="W65" s="7">
        <f t="shared" ca="1" si="36"/>
        <v>0</v>
      </c>
      <c r="X65" s="7">
        <f t="shared" ca="1" si="37"/>
        <v>0.76157165825176987</v>
      </c>
      <c r="Y65" s="7">
        <f t="shared" ca="1" si="38"/>
        <v>2.3110170973625257</v>
      </c>
      <c r="Z65" s="7">
        <f t="shared" ca="1" si="39"/>
        <v>6.842681488967492E-2</v>
      </c>
      <c r="AA65" s="7" t="str">
        <f t="shared" si="30"/>
        <v/>
      </c>
    </row>
    <row r="66" spans="1:27" x14ac:dyDescent="0.2">
      <c r="A66" s="4">
        <v>-116.71944391264799</v>
      </c>
      <c r="B66" s="4">
        <v>36.970946955898697</v>
      </c>
      <c r="C66" s="5" t="s">
        <v>224</v>
      </c>
      <c r="D66" s="5" t="s">
        <v>238</v>
      </c>
      <c r="E66" s="7">
        <v>27.5</v>
      </c>
      <c r="F66" s="7">
        <v>0.4</v>
      </c>
      <c r="G66" s="7">
        <v>151</v>
      </c>
      <c r="H66" s="7">
        <v>6</v>
      </c>
      <c r="I66" s="7">
        <v>246</v>
      </c>
      <c r="J66" s="7">
        <v>0</v>
      </c>
      <c r="K66" s="7">
        <v>44</v>
      </c>
      <c r="L66" s="7">
        <v>121</v>
      </c>
      <c r="M66" s="7">
        <v>5.96</v>
      </c>
      <c r="P66" s="15">
        <f t="shared" si="19"/>
        <v>602</v>
      </c>
      <c r="Q66" s="11">
        <f t="shared" ca="1" si="20"/>
        <v>1.2279184835961895E-3</v>
      </c>
      <c r="R66" s="7">
        <f t="shared" ca="1" si="31"/>
        <v>1.372255489021956</v>
      </c>
      <c r="S66" s="7">
        <f t="shared" ca="1" si="32"/>
        <v>3.2905561039815727E-2</v>
      </c>
      <c r="T66" s="7">
        <f t="shared" ca="1" si="33"/>
        <v>6.5681216433527343</v>
      </c>
      <c r="U66" s="7">
        <f t="shared" ca="1" si="34"/>
        <v>0.15344483658124905</v>
      </c>
      <c r="V66" s="7">
        <f t="shared" ca="1" si="35"/>
        <v>4.0327868852459012</v>
      </c>
      <c r="W66" s="7">
        <f t="shared" ca="1" si="36"/>
        <v>0</v>
      </c>
      <c r="X66" s="7">
        <f t="shared" ca="1" si="37"/>
        <v>1.2410797393732547</v>
      </c>
      <c r="Y66" s="7">
        <f t="shared" ca="1" si="38"/>
        <v>2.5192168358636544</v>
      </c>
      <c r="Z66" s="7">
        <f t="shared" ca="1" si="39"/>
        <v>0.31371062826343271</v>
      </c>
      <c r="AA66" s="7" t="str">
        <f t="shared" si="30"/>
        <v/>
      </c>
    </row>
    <row r="67" spans="1:27" x14ac:dyDescent="0.2">
      <c r="A67" s="4">
        <v>-115.73888888888889</v>
      </c>
      <c r="B67" s="4">
        <v>36.413888888888884</v>
      </c>
      <c r="C67" s="5" t="s">
        <v>182</v>
      </c>
      <c r="D67" s="5" t="s">
        <v>239</v>
      </c>
      <c r="E67" s="7">
        <v>69</v>
      </c>
      <c r="F67" s="7">
        <v>16</v>
      </c>
      <c r="G67" s="7">
        <v>1.6</v>
      </c>
      <c r="H67" s="7">
        <v>0.4</v>
      </c>
      <c r="I67" s="7">
        <v>292</v>
      </c>
      <c r="J67" s="7">
        <v>0</v>
      </c>
      <c r="K67" s="7">
        <v>1.1000000000000001</v>
      </c>
      <c r="L67" s="7">
        <v>9</v>
      </c>
      <c r="M67" s="7">
        <v>0.2</v>
      </c>
      <c r="P67" s="15">
        <f t="shared" si="19"/>
        <v>389</v>
      </c>
      <c r="Q67" s="11">
        <f t="shared" ca="1" si="20"/>
        <v>-1.7925691016824393E-2</v>
      </c>
      <c r="R67" s="7">
        <f t="shared" ca="1" si="31"/>
        <v>3.44311377245509</v>
      </c>
      <c r="S67" s="7">
        <f t="shared" ca="1" si="32"/>
        <v>1.3162224415926291</v>
      </c>
      <c r="T67" s="7">
        <f t="shared" ca="1" si="33"/>
        <v>6.9595990922942885E-2</v>
      </c>
      <c r="U67" s="7">
        <f t="shared" ca="1" si="34"/>
        <v>1.0229655772083271E-2</v>
      </c>
      <c r="V67" s="7">
        <f t="shared" ca="1" si="35"/>
        <v>4.7868852459016393</v>
      </c>
      <c r="W67" s="7">
        <f t="shared" ca="1" si="36"/>
        <v>0</v>
      </c>
      <c r="X67" s="7">
        <f t="shared" ca="1" si="37"/>
        <v>3.1026993484331369E-2</v>
      </c>
      <c r="Y67" s="7">
        <f t="shared" ca="1" si="38"/>
        <v>0.18737976465101561</v>
      </c>
      <c r="Z67" s="7">
        <f t="shared" ca="1" si="39"/>
        <v>1.0527202290719219E-2</v>
      </c>
      <c r="AA67" s="7" t="str">
        <f t="shared" si="30"/>
        <v/>
      </c>
    </row>
    <row r="68" spans="1:27" x14ac:dyDescent="0.2">
      <c r="A68" s="4">
        <v>-116.32327306825213</v>
      </c>
      <c r="B68" s="4">
        <v>36.420139682985088</v>
      </c>
      <c r="C68" s="5" t="s">
        <v>236</v>
      </c>
      <c r="D68" s="5" t="s">
        <v>240</v>
      </c>
      <c r="E68" s="7">
        <v>46.324799999999996</v>
      </c>
      <c r="F68" s="7">
        <v>20.174199999999999</v>
      </c>
      <c r="G68" s="7">
        <v>72.651399999999995</v>
      </c>
      <c r="H68" s="7">
        <v>9.0279999999999987</v>
      </c>
      <c r="I68" s="7">
        <v>302</v>
      </c>
      <c r="J68" s="7">
        <v>0</v>
      </c>
      <c r="K68" s="7">
        <v>22.569800000000001</v>
      </c>
      <c r="L68" s="7">
        <v>85.544000000000011</v>
      </c>
      <c r="M68" s="7">
        <v>1.7129999999999999</v>
      </c>
      <c r="P68" s="15">
        <f t="shared" si="19"/>
        <v>560</v>
      </c>
      <c r="Q68" s="11">
        <f t="shared" ca="1" si="20"/>
        <v>-6.5015338939026857E-3</v>
      </c>
      <c r="R68" s="7">
        <f t="shared" ca="1" si="31"/>
        <v>2.3116167664670657</v>
      </c>
      <c r="S68" s="7">
        <f t="shared" ca="1" si="32"/>
        <v>1.6596084238236259</v>
      </c>
      <c r="T68" s="7">
        <f t="shared" ca="1" si="33"/>
        <v>3.1601538593369325</v>
      </c>
      <c r="U68" s="7">
        <f t="shared" ca="1" si="34"/>
        <v>0.23088333077591938</v>
      </c>
      <c r="V68" s="7">
        <f t="shared" ca="1" si="35"/>
        <v>4.9508196721311473</v>
      </c>
      <c r="W68" s="7">
        <f t="shared" ca="1" si="36"/>
        <v>0</v>
      </c>
      <c r="X68" s="7">
        <f t="shared" ca="1" si="37"/>
        <v>0.63661185231151096</v>
      </c>
      <c r="Y68" s="7">
        <f t="shared" ca="1" si="38"/>
        <v>1.7810238430340535</v>
      </c>
      <c r="Z68" s="7">
        <f t="shared" ca="1" si="39"/>
        <v>9.0165487620010101E-2</v>
      </c>
      <c r="AA68" s="7" t="str">
        <f t="shared" si="30"/>
        <v/>
      </c>
    </row>
    <row r="69" spans="1:27" x14ac:dyDescent="0.2">
      <c r="A69" s="4">
        <v>-116.41303859527677</v>
      </c>
      <c r="B69" s="4">
        <v>36.3027155523448</v>
      </c>
      <c r="C69" s="5" t="s">
        <v>224</v>
      </c>
      <c r="D69" s="5" t="s">
        <v>241</v>
      </c>
      <c r="E69" s="7">
        <v>1</v>
      </c>
      <c r="F69" s="7">
        <v>1.5</v>
      </c>
      <c r="G69" s="7">
        <v>325</v>
      </c>
      <c r="H69" s="7">
        <v>12</v>
      </c>
      <c r="I69" s="7">
        <v>525</v>
      </c>
      <c r="J69" s="7">
        <v>45</v>
      </c>
      <c r="K69" s="7">
        <v>55</v>
      </c>
      <c r="L69" s="7">
        <v>150</v>
      </c>
      <c r="M69" s="7">
        <v>6.65</v>
      </c>
      <c r="P69" s="15">
        <f t="shared" si="19"/>
        <v>1121</v>
      </c>
      <c r="Q69" s="11">
        <f t="shared" ca="1" si="20"/>
        <v>-1.728064438887451E-2</v>
      </c>
      <c r="R69" s="7">
        <f t="shared" ca="1" si="31"/>
        <v>4.9900199600798403E-2</v>
      </c>
      <c r="S69" s="7">
        <f t="shared" ca="1" si="32"/>
        <v>0.12339585389930897</v>
      </c>
      <c r="T69" s="7">
        <f t="shared" ca="1" si="33"/>
        <v>14.136685656222772</v>
      </c>
      <c r="U69" s="7">
        <f t="shared" ca="1" si="34"/>
        <v>0.3068896731624981</v>
      </c>
      <c r="V69" s="7">
        <f t="shared" ca="1" si="35"/>
        <v>8.6065573770491799</v>
      </c>
      <c r="W69" s="7">
        <f t="shared" ca="1" si="36"/>
        <v>1.5</v>
      </c>
      <c r="X69" s="7">
        <f t="shared" ca="1" si="37"/>
        <v>1.5513496742165682</v>
      </c>
      <c r="Y69" s="7">
        <f t="shared" ca="1" si="38"/>
        <v>3.1229960775169268</v>
      </c>
      <c r="Z69" s="7">
        <f t="shared" ca="1" si="39"/>
        <v>0.35002947616641406</v>
      </c>
      <c r="AA69" s="7" t="str">
        <f t="shared" si="30"/>
        <v/>
      </c>
    </row>
    <row r="70" spans="1:27" x14ac:dyDescent="0.2">
      <c r="A70" s="4">
        <v>-116.29083240116996</v>
      </c>
      <c r="B70" s="4">
        <v>36.423737438513257</v>
      </c>
      <c r="C70" s="5" t="s">
        <v>236</v>
      </c>
      <c r="D70" s="5" t="s">
        <v>242</v>
      </c>
      <c r="E70" s="7">
        <v>50.25</v>
      </c>
      <c r="F70" s="7">
        <v>20.75</v>
      </c>
      <c r="G70" s="7">
        <v>68</v>
      </c>
      <c r="H70" s="7">
        <v>7.5750000000000002</v>
      </c>
      <c r="I70" s="7">
        <v>300.25</v>
      </c>
      <c r="J70" s="7">
        <v>0</v>
      </c>
      <c r="K70" s="7">
        <v>23.75</v>
      </c>
      <c r="L70" s="7">
        <v>82.75</v>
      </c>
      <c r="M70" s="7">
        <v>1.5750000000000002</v>
      </c>
      <c r="P70" s="15">
        <f t="shared" si="19"/>
        <v>555</v>
      </c>
      <c r="Q70" s="11">
        <f t="shared" ca="1" si="20"/>
        <v>-2.1520181120052535E-3</v>
      </c>
      <c r="R70" s="7">
        <f t="shared" ca="1" si="31"/>
        <v>2.5074850299401197</v>
      </c>
      <c r="S70" s="7">
        <f t="shared" ca="1" si="32"/>
        <v>1.7069759789404408</v>
      </c>
      <c r="T70" s="7">
        <f t="shared" ca="1" si="33"/>
        <v>2.9578296142250724</v>
      </c>
      <c r="U70" s="7">
        <f t="shared" ca="1" si="34"/>
        <v>0.19372410618382693</v>
      </c>
      <c r="V70" s="7">
        <f t="shared" ca="1" si="35"/>
        <v>4.9221311475409832</v>
      </c>
      <c r="W70" s="7">
        <f t="shared" ca="1" si="36"/>
        <v>0</v>
      </c>
      <c r="X70" s="7">
        <f t="shared" ca="1" si="37"/>
        <v>0.66990099568442718</v>
      </c>
      <c r="Y70" s="7">
        <f t="shared" ca="1" si="38"/>
        <v>1.7228528360968378</v>
      </c>
      <c r="Z70" s="7">
        <f t="shared" ca="1" si="39"/>
        <v>8.290171803941386E-2</v>
      </c>
      <c r="AA70" s="7" t="str">
        <f t="shared" si="30"/>
        <v/>
      </c>
    </row>
    <row r="71" spans="1:27" x14ac:dyDescent="0.2">
      <c r="A71" s="4">
        <v>-116.28749986797646</v>
      </c>
      <c r="B71" s="4">
        <v>36.423182101605946</v>
      </c>
      <c r="C71" s="5" t="s">
        <v>236</v>
      </c>
      <c r="D71" s="5" t="s">
        <v>243</v>
      </c>
      <c r="E71" s="7">
        <v>46</v>
      </c>
      <c r="F71" s="7">
        <v>20</v>
      </c>
      <c r="G71" s="7">
        <v>69</v>
      </c>
      <c r="H71" s="7">
        <v>8.6</v>
      </c>
      <c r="I71" s="7">
        <v>300</v>
      </c>
      <c r="J71" s="7">
        <v>0</v>
      </c>
      <c r="K71" s="7">
        <v>20</v>
      </c>
      <c r="L71" s="7">
        <v>77</v>
      </c>
      <c r="M71" s="7">
        <v>1.7</v>
      </c>
      <c r="P71" s="15">
        <f t="shared" si="19"/>
        <v>542</v>
      </c>
      <c r="Q71" s="11">
        <f t="shared" ca="1" si="20"/>
        <v>-8.9470924141297516E-4</v>
      </c>
      <c r="R71" s="7">
        <f t="shared" ca="1" si="31"/>
        <v>2.2954091816367268</v>
      </c>
      <c r="S71" s="7">
        <f t="shared" ref="S71:S134" ca="1" si="40">IF(LEN(F71)&gt;0,F71/S$4,"")</f>
        <v>1.6452780519907864</v>
      </c>
      <c r="T71" s="7">
        <f t="shared" ref="T71:T134" ca="1" si="41">IF(LEN(G71)&gt;0,G71/T$4,"")</f>
        <v>3.0013271085519118</v>
      </c>
      <c r="U71" s="7">
        <f t="shared" ref="U71:U134" ca="1" si="42">IF(LEN(H71)&gt;0,H71/U$4,"")</f>
        <v>0.2199375990997903</v>
      </c>
      <c r="V71" s="7">
        <f t="shared" ref="V71:V134" ca="1" si="43">IF(LEN(I71)&gt;0,I71/V$4,"")</f>
        <v>4.918032786885246</v>
      </c>
      <c r="W71" s="7">
        <f t="shared" ref="W71:W134" ca="1" si="44">IF(LEN(J71)&gt;0,J71/W$4,"")</f>
        <v>0</v>
      </c>
      <c r="X71" s="7">
        <f t="shared" ref="X71:X134" ca="1" si="45">IF(LEN(K71)&gt;0,K71/X$4,"")</f>
        <v>0.56412715426057025</v>
      </c>
      <c r="Y71" s="7">
        <f t="shared" ref="Y71:Y134" ca="1" si="46">IF(LEN(L71)&gt;0,L71/Y$4,"")</f>
        <v>1.603137986458689</v>
      </c>
      <c r="Z71" s="7">
        <f t="shared" ref="Z71:Z134" ca="1" si="47">IF(LEN(M71)&gt;0,M71/Z$4,"")</f>
        <v>8.9481219471113357E-2</v>
      </c>
      <c r="AA71" s="7" t="str">
        <f t="shared" ref="AA71:AA134" si="48">IF(LEN(N71)&gt;0,N71/AA$4,"")</f>
        <v/>
      </c>
    </row>
    <row r="72" spans="1:27" x14ac:dyDescent="0.2">
      <c r="A72" s="4">
        <v>-116.34111110134145</v>
      </c>
      <c r="B72" s="4">
        <v>36.488736614895721</v>
      </c>
      <c r="C72" s="5" t="s">
        <v>236</v>
      </c>
      <c r="D72" s="5" t="s">
        <v>244</v>
      </c>
      <c r="E72" s="7">
        <v>48</v>
      </c>
      <c r="F72" s="7">
        <v>20</v>
      </c>
      <c r="G72" s="7">
        <v>69</v>
      </c>
      <c r="H72" s="7">
        <v>8.1999999999999993</v>
      </c>
      <c r="I72" s="7">
        <v>306</v>
      </c>
      <c r="J72" s="7">
        <v>0</v>
      </c>
      <c r="K72" s="7">
        <v>21</v>
      </c>
      <c r="L72" s="7">
        <v>80</v>
      </c>
      <c r="M72" s="7">
        <v>1.7</v>
      </c>
      <c r="P72" s="15">
        <f t="shared" ref="P72:P135" si="49">IF(LEN(E72)&gt;0,INT(SUM(E72:N72,0.5)),"")</f>
        <v>554</v>
      </c>
      <c r="Q72" s="11">
        <f t="shared" ref="Q72:Q135" ca="1" si="50">IF(LEN(E72)&gt;0,SUMPRODUCT(R72:AA72,$R$5:$AA$5)/SUM(R72:AA72),"")</f>
        <v>-7.6825775977845618E-3</v>
      </c>
      <c r="R72" s="7">
        <f t="shared" ref="R72:R135" ca="1" si="51">IF(LEN(E72)&gt;0,E72/R$4,"")</f>
        <v>2.3952095808383236</v>
      </c>
      <c r="S72" s="7">
        <f t="shared" ca="1" si="40"/>
        <v>1.6452780519907864</v>
      </c>
      <c r="T72" s="7">
        <f t="shared" ca="1" si="41"/>
        <v>3.0013271085519118</v>
      </c>
      <c r="U72" s="7">
        <f t="shared" ca="1" si="42"/>
        <v>0.20970794332770701</v>
      </c>
      <c r="V72" s="7">
        <f t="shared" ca="1" si="43"/>
        <v>5.0163934426229506</v>
      </c>
      <c r="W72" s="7">
        <f t="shared" ca="1" si="44"/>
        <v>0</v>
      </c>
      <c r="X72" s="7">
        <f t="shared" ca="1" si="45"/>
        <v>0.59233351197359885</v>
      </c>
      <c r="Y72" s="7">
        <f t="shared" ca="1" si="46"/>
        <v>1.6655979080090275</v>
      </c>
      <c r="Z72" s="7">
        <f t="shared" ca="1" si="47"/>
        <v>8.9481219471113357E-2</v>
      </c>
      <c r="AA72" s="7" t="str">
        <f t="shared" si="48"/>
        <v/>
      </c>
    </row>
    <row r="73" spans="1:27" x14ac:dyDescent="0.2">
      <c r="A73" s="4">
        <v>-116.3186104278751</v>
      </c>
      <c r="B73" s="4">
        <v>36.462069969871948</v>
      </c>
      <c r="C73" s="5" t="s">
        <v>236</v>
      </c>
      <c r="D73" s="5" t="s">
        <v>245</v>
      </c>
      <c r="E73" s="7">
        <v>45</v>
      </c>
      <c r="F73" s="7">
        <v>19</v>
      </c>
      <c r="G73" s="7">
        <v>72</v>
      </c>
      <c r="H73" s="7">
        <v>8.1999999999999993</v>
      </c>
      <c r="I73" s="7">
        <v>269</v>
      </c>
      <c r="J73" s="7">
        <v>0</v>
      </c>
      <c r="K73" s="7">
        <v>20</v>
      </c>
      <c r="L73" s="7">
        <v>82</v>
      </c>
      <c r="M73" s="7">
        <v>1.7</v>
      </c>
      <c r="P73" s="15">
        <f t="shared" si="49"/>
        <v>517</v>
      </c>
      <c r="Q73" s="11">
        <f t="shared" ca="1" si="50"/>
        <v>2.7252039984331511E-2</v>
      </c>
      <c r="R73" s="7">
        <f t="shared" ca="1" si="51"/>
        <v>2.2455089820359282</v>
      </c>
      <c r="S73" s="7">
        <f t="shared" ca="1" si="40"/>
        <v>1.5630141493912471</v>
      </c>
      <c r="T73" s="7">
        <f t="shared" ca="1" si="41"/>
        <v>3.1318195915324294</v>
      </c>
      <c r="U73" s="7">
        <f t="shared" ca="1" si="42"/>
        <v>0.20970794332770701</v>
      </c>
      <c r="V73" s="7">
        <f t="shared" ca="1" si="43"/>
        <v>4.4098360655737707</v>
      </c>
      <c r="W73" s="7">
        <f t="shared" ca="1" si="44"/>
        <v>0</v>
      </c>
      <c r="X73" s="7">
        <f t="shared" ca="1" si="45"/>
        <v>0.56412715426057025</v>
      </c>
      <c r="Y73" s="7">
        <f t="shared" ca="1" si="46"/>
        <v>1.7072378557092533</v>
      </c>
      <c r="Z73" s="7">
        <f t="shared" ca="1" si="47"/>
        <v>8.9481219471113357E-2</v>
      </c>
      <c r="AA73" s="7" t="str">
        <f t="shared" si="48"/>
        <v/>
      </c>
    </row>
    <row r="74" spans="1:27" x14ac:dyDescent="0.2">
      <c r="A74" s="4">
        <v>-116.02638788760622</v>
      </c>
      <c r="B74" s="4">
        <v>36.455681554450194</v>
      </c>
      <c r="C74" s="5" t="s">
        <v>182</v>
      </c>
      <c r="D74" s="5" t="s">
        <v>246</v>
      </c>
      <c r="E74" s="7">
        <v>57</v>
      </c>
      <c r="F74" s="7">
        <v>40</v>
      </c>
      <c r="G74" s="7">
        <v>27</v>
      </c>
      <c r="H74" s="7">
        <v>1.5</v>
      </c>
      <c r="I74" s="7">
        <v>265</v>
      </c>
      <c r="J74" s="7">
        <v>0</v>
      </c>
      <c r="K74" s="7">
        <v>12</v>
      </c>
      <c r="L74" s="7">
        <v>130</v>
      </c>
      <c r="M74" s="7">
        <v>0.2</v>
      </c>
      <c r="P74" s="15">
        <f t="shared" si="49"/>
        <v>533</v>
      </c>
      <c r="Q74" s="11">
        <f t="shared" ca="1" si="50"/>
        <v>-3.539669118192736E-3</v>
      </c>
      <c r="R74" s="7">
        <f t="shared" ca="1" si="51"/>
        <v>2.8443113772455093</v>
      </c>
      <c r="S74" s="7">
        <f t="shared" ca="1" si="40"/>
        <v>3.2905561039815727</v>
      </c>
      <c r="T74" s="7">
        <f t="shared" ca="1" si="41"/>
        <v>1.1744323468246611</v>
      </c>
      <c r="U74" s="7">
        <f t="shared" ca="1" si="42"/>
        <v>3.8361209145312263E-2</v>
      </c>
      <c r="V74" s="7">
        <f t="shared" ca="1" si="43"/>
        <v>4.3442622950819674</v>
      </c>
      <c r="W74" s="7">
        <f t="shared" ca="1" si="44"/>
        <v>0</v>
      </c>
      <c r="X74" s="7">
        <f t="shared" ca="1" si="45"/>
        <v>0.33847629255634215</v>
      </c>
      <c r="Y74" s="7">
        <f t="shared" ca="1" si="46"/>
        <v>2.7065966005146698</v>
      </c>
      <c r="Z74" s="7">
        <f t="shared" ca="1" si="47"/>
        <v>1.0527202290719219E-2</v>
      </c>
      <c r="AA74" s="7" t="str">
        <f t="shared" si="48"/>
        <v/>
      </c>
    </row>
    <row r="75" spans="1:27" x14ac:dyDescent="0.2">
      <c r="A75" s="4">
        <v>-116.8255550678028</v>
      </c>
      <c r="B75" s="4">
        <v>36.849838714032103</v>
      </c>
      <c r="C75" s="5" t="s">
        <v>224</v>
      </c>
      <c r="D75" s="5" t="s">
        <v>247</v>
      </c>
      <c r="E75" s="7">
        <v>27</v>
      </c>
      <c r="F75" s="7">
        <v>5.2</v>
      </c>
      <c r="G75" s="7">
        <v>110</v>
      </c>
      <c r="H75" s="7">
        <v>3.9</v>
      </c>
      <c r="I75" s="7">
        <v>224</v>
      </c>
      <c r="J75" s="7">
        <v>0</v>
      </c>
      <c r="K75" s="7">
        <v>34</v>
      </c>
      <c r="L75" s="7">
        <v>86</v>
      </c>
      <c r="M75" s="7">
        <v>1.5</v>
      </c>
      <c r="P75" s="15">
        <f t="shared" si="49"/>
        <v>492</v>
      </c>
      <c r="Q75" s="11">
        <f t="shared" ca="1" si="50"/>
        <v>1.2076002192025212E-2</v>
      </c>
      <c r="R75" s="7">
        <f t="shared" ca="1" si="51"/>
        <v>1.347305389221557</v>
      </c>
      <c r="S75" s="7">
        <f t="shared" ca="1" si="40"/>
        <v>0.42777229351760448</v>
      </c>
      <c r="T75" s="7">
        <f t="shared" ca="1" si="41"/>
        <v>4.7847243759523232</v>
      </c>
      <c r="U75" s="7">
        <f t="shared" ca="1" si="42"/>
        <v>9.9739143777811887E-2</v>
      </c>
      <c r="V75" s="7">
        <f t="shared" ca="1" si="43"/>
        <v>3.6721311475409837</v>
      </c>
      <c r="W75" s="7">
        <f t="shared" ca="1" si="44"/>
        <v>0</v>
      </c>
      <c r="X75" s="7">
        <f t="shared" ca="1" si="45"/>
        <v>0.95901616224296948</v>
      </c>
      <c r="Y75" s="7">
        <f t="shared" ca="1" si="46"/>
        <v>1.7905177511097046</v>
      </c>
      <c r="Z75" s="7">
        <f t="shared" ca="1" si="47"/>
        <v>7.8954017180394132E-2</v>
      </c>
      <c r="AA75" s="7" t="str">
        <f t="shared" si="48"/>
        <v/>
      </c>
    </row>
    <row r="76" spans="1:27" x14ac:dyDescent="0.2">
      <c r="A76" s="4">
        <v>-116.80527778503263</v>
      </c>
      <c r="B76" s="4">
        <v>36.849561129222074</v>
      </c>
      <c r="C76" s="5" t="s">
        <v>224</v>
      </c>
      <c r="D76" s="5" t="s">
        <v>248</v>
      </c>
      <c r="E76" s="7">
        <v>21</v>
      </c>
      <c r="F76" s="7">
        <v>4.8</v>
      </c>
      <c r="G76" s="7">
        <v>190</v>
      </c>
      <c r="H76" s="7">
        <v>4.4000000000000004</v>
      </c>
      <c r="I76" s="7">
        <v>286</v>
      </c>
      <c r="J76" s="7">
        <v>0</v>
      </c>
      <c r="K76" s="7">
        <v>64</v>
      </c>
      <c r="L76" s="7">
        <v>160</v>
      </c>
      <c r="M76" s="7">
        <v>3.8</v>
      </c>
      <c r="P76" s="15">
        <f t="shared" si="49"/>
        <v>734</v>
      </c>
      <c r="Q76" s="11">
        <f t="shared" ca="1" si="50"/>
        <v>-1.0336382494525983E-2</v>
      </c>
      <c r="R76" s="7">
        <f t="shared" ca="1" si="51"/>
        <v>1.0479041916167664</v>
      </c>
      <c r="S76" s="7">
        <f t="shared" ca="1" si="40"/>
        <v>0.3948667324777887</v>
      </c>
      <c r="T76" s="7">
        <f t="shared" ca="1" si="41"/>
        <v>8.2645239220994675</v>
      </c>
      <c r="U76" s="7">
        <f t="shared" ca="1" si="42"/>
        <v>0.11252621349291599</v>
      </c>
      <c r="V76" s="7">
        <f t="shared" ca="1" si="43"/>
        <v>4.6885245901639347</v>
      </c>
      <c r="W76" s="7">
        <f t="shared" ca="1" si="44"/>
        <v>0</v>
      </c>
      <c r="X76" s="7">
        <f t="shared" ca="1" si="45"/>
        <v>1.8052068936338248</v>
      </c>
      <c r="Y76" s="7">
        <f t="shared" ca="1" si="46"/>
        <v>3.331195816018055</v>
      </c>
      <c r="Z76" s="7">
        <f t="shared" ca="1" si="47"/>
        <v>0.20001684352366514</v>
      </c>
      <c r="AA76" s="7" t="str">
        <f t="shared" si="48"/>
        <v/>
      </c>
    </row>
    <row r="77" spans="1:27" x14ac:dyDescent="0.2">
      <c r="A77" s="4">
        <v>-116.46916666969277</v>
      </c>
      <c r="B77" s="4">
        <v>36.400434491570408</v>
      </c>
      <c r="C77" s="5" t="s">
        <v>224</v>
      </c>
      <c r="D77" s="5" t="s">
        <v>249</v>
      </c>
      <c r="E77" s="7">
        <v>32.799999999999997</v>
      </c>
      <c r="F77" s="7">
        <v>14.7</v>
      </c>
      <c r="G77" s="7">
        <v>225</v>
      </c>
      <c r="H77" s="7">
        <v>17.7</v>
      </c>
      <c r="I77" s="7">
        <v>497</v>
      </c>
      <c r="J77" s="7">
        <v>0.1</v>
      </c>
      <c r="K77" s="7">
        <v>41.4</v>
      </c>
      <c r="L77" s="7">
        <v>166</v>
      </c>
      <c r="M77" s="7">
        <v>0</v>
      </c>
      <c r="P77" s="15">
        <f t="shared" si="49"/>
        <v>995</v>
      </c>
      <c r="Q77" s="11">
        <f t="shared" ca="1" si="50"/>
        <v>1.202115866003616E-2</v>
      </c>
      <c r="R77" s="7">
        <f t="shared" ca="1" si="51"/>
        <v>1.6367265469061876</v>
      </c>
      <c r="S77" s="7">
        <f t="shared" ca="1" si="40"/>
        <v>1.2092793682132279</v>
      </c>
      <c r="T77" s="7">
        <f t="shared" ca="1" si="41"/>
        <v>9.7869362235388433</v>
      </c>
      <c r="U77" s="7">
        <f t="shared" ca="1" si="42"/>
        <v>0.45266226791468467</v>
      </c>
      <c r="V77" s="7">
        <f t="shared" ca="1" si="43"/>
        <v>8.1475409836065573</v>
      </c>
      <c r="W77" s="7">
        <f t="shared" ca="1" si="44"/>
        <v>3.3333333333333335E-3</v>
      </c>
      <c r="X77" s="7">
        <f t="shared" ca="1" si="45"/>
        <v>1.1677432093193805</v>
      </c>
      <c r="Y77" s="7">
        <f t="shared" ca="1" si="46"/>
        <v>3.4561156591187321</v>
      </c>
      <c r="Z77" s="7">
        <f t="shared" ca="1" si="47"/>
        <v>0</v>
      </c>
      <c r="AA77" s="7" t="str">
        <f t="shared" si="48"/>
        <v/>
      </c>
    </row>
    <row r="78" spans="1:27" x14ac:dyDescent="0.2">
      <c r="A78" s="4">
        <v>-116.38999956111361</v>
      </c>
      <c r="B78" s="4">
        <v>36.763174190434583</v>
      </c>
      <c r="C78" s="5" t="s">
        <v>250</v>
      </c>
      <c r="D78" s="5" t="s">
        <v>251</v>
      </c>
      <c r="E78" s="7">
        <v>14</v>
      </c>
      <c r="F78" s="7">
        <v>2.1</v>
      </c>
      <c r="G78" s="7">
        <v>38</v>
      </c>
      <c r="H78" s="7">
        <v>5.0999999999999996</v>
      </c>
      <c r="I78" s="7">
        <v>119</v>
      </c>
      <c r="J78" s="7">
        <v>0</v>
      </c>
      <c r="K78" s="7">
        <v>7.3</v>
      </c>
      <c r="L78" s="7">
        <v>22</v>
      </c>
      <c r="M78" s="7">
        <v>2.1</v>
      </c>
      <c r="P78" s="15">
        <f t="shared" si="49"/>
        <v>210</v>
      </c>
      <c r="Q78" s="11">
        <f t="shared" ca="1" si="50"/>
        <v>-1.3124788977611761E-2</v>
      </c>
      <c r="R78" s="7">
        <f t="shared" ca="1" si="51"/>
        <v>0.69860279441117767</v>
      </c>
      <c r="S78" s="7">
        <f t="shared" ca="1" si="40"/>
        <v>0.17275419545903259</v>
      </c>
      <c r="T78" s="7">
        <f t="shared" ca="1" si="41"/>
        <v>1.6529047844198934</v>
      </c>
      <c r="U78" s="7">
        <f t="shared" ca="1" si="42"/>
        <v>0.13042811109406169</v>
      </c>
      <c r="V78" s="7">
        <f t="shared" ca="1" si="43"/>
        <v>1.9508196721311475</v>
      </c>
      <c r="W78" s="7">
        <f t="shared" ca="1" si="44"/>
        <v>0</v>
      </c>
      <c r="X78" s="7">
        <f t="shared" ca="1" si="45"/>
        <v>0.20590641130510814</v>
      </c>
      <c r="Y78" s="7">
        <f t="shared" ca="1" si="46"/>
        <v>0.4580394247024826</v>
      </c>
      <c r="Z78" s="7">
        <f t="shared" ca="1" si="47"/>
        <v>0.1105356240525518</v>
      </c>
      <c r="AA78" s="7" t="str">
        <f t="shared" si="48"/>
        <v/>
      </c>
    </row>
    <row r="79" spans="1:27" x14ac:dyDescent="0.2">
      <c r="A79" s="4">
        <v>-116.39444392912344</v>
      </c>
      <c r="B79" s="4">
        <v>36.806229051500452</v>
      </c>
      <c r="C79" s="5" t="s">
        <v>250</v>
      </c>
      <c r="D79" s="5" t="s">
        <v>252</v>
      </c>
      <c r="E79" s="7">
        <v>12</v>
      </c>
      <c r="F79" s="7">
        <v>2.1</v>
      </c>
      <c r="G79" s="7">
        <v>42</v>
      </c>
      <c r="H79" s="7">
        <v>5</v>
      </c>
      <c r="I79" s="7">
        <v>124</v>
      </c>
      <c r="J79" s="7">
        <v>0</v>
      </c>
      <c r="K79" s="7">
        <v>7.1</v>
      </c>
      <c r="L79" s="7">
        <v>17</v>
      </c>
      <c r="M79" s="7">
        <v>2.4</v>
      </c>
      <c r="P79" s="15">
        <f t="shared" si="49"/>
        <v>212</v>
      </c>
      <c r="Q79" s="11">
        <f t="shared" ca="1" si="50"/>
        <v>2.3906069998202617E-3</v>
      </c>
      <c r="R79" s="7">
        <f t="shared" ca="1" si="51"/>
        <v>0.5988023952095809</v>
      </c>
      <c r="S79" s="7">
        <f t="shared" ca="1" si="40"/>
        <v>0.17275419545903259</v>
      </c>
      <c r="T79" s="7">
        <f t="shared" ca="1" si="41"/>
        <v>1.8268947617272506</v>
      </c>
      <c r="U79" s="7">
        <f t="shared" ca="1" si="42"/>
        <v>0.12787069715104088</v>
      </c>
      <c r="V79" s="7">
        <f t="shared" ca="1" si="43"/>
        <v>2.0327868852459017</v>
      </c>
      <c r="W79" s="7">
        <f t="shared" ca="1" si="44"/>
        <v>0</v>
      </c>
      <c r="X79" s="7">
        <f t="shared" ca="1" si="45"/>
        <v>0.20026513976250243</v>
      </c>
      <c r="Y79" s="7">
        <f t="shared" ca="1" si="46"/>
        <v>0.35393955545191835</v>
      </c>
      <c r="Z79" s="7">
        <f t="shared" ca="1" si="47"/>
        <v>0.12632642748863063</v>
      </c>
      <c r="AA79" s="7" t="str">
        <f t="shared" si="48"/>
        <v/>
      </c>
    </row>
    <row r="80" spans="1:27" x14ac:dyDescent="0.2">
      <c r="A80" s="4">
        <v>-116.27722177122692</v>
      </c>
      <c r="B80" s="4">
        <v>36.385960905227961</v>
      </c>
      <c r="C80" s="5" t="s">
        <v>236</v>
      </c>
      <c r="D80" s="5" t="s">
        <v>253</v>
      </c>
      <c r="E80" s="7">
        <v>45</v>
      </c>
      <c r="F80" s="7">
        <v>21</v>
      </c>
      <c r="G80" s="7">
        <v>68</v>
      </c>
      <c r="H80" s="7">
        <v>7.8</v>
      </c>
      <c r="I80" s="7">
        <v>300</v>
      </c>
      <c r="J80" s="7">
        <v>0</v>
      </c>
      <c r="K80" s="7">
        <v>20</v>
      </c>
      <c r="L80" s="7">
        <v>78</v>
      </c>
      <c r="M80" s="7">
        <v>1.5</v>
      </c>
      <c r="P80" s="15">
        <f t="shared" si="49"/>
        <v>541</v>
      </c>
      <c r="Q80" s="11">
        <f t="shared" ca="1" si="50"/>
        <v>-3.8219653433165944E-3</v>
      </c>
      <c r="R80" s="7">
        <f t="shared" ca="1" si="51"/>
        <v>2.2455089820359282</v>
      </c>
      <c r="S80" s="7">
        <f t="shared" ca="1" si="40"/>
        <v>1.7275419545903257</v>
      </c>
      <c r="T80" s="7">
        <f t="shared" ca="1" si="41"/>
        <v>2.9578296142250724</v>
      </c>
      <c r="U80" s="7">
        <f t="shared" ca="1" si="42"/>
        <v>0.19947828755562377</v>
      </c>
      <c r="V80" s="7">
        <f t="shared" ca="1" si="43"/>
        <v>4.918032786885246</v>
      </c>
      <c r="W80" s="7">
        <f t="shared" ca="1" si="44"/>
        <v>0</v>
      </c>
      <c r="X80" s="7">
        <f t="shared" ca="1" si="45"/>
        <v>0.56412715426057025</v>
      </c>
      <c r="Y80" s="7">
        <f t="shared" ca="1" si="46"/>
        <v>1.6239579603088019</v>
      </c>
      <c r="Z80" s="7">
        <f t="shared" ca="1" si="47"/>
        <v>7.8954017180394132E-2</v>
      </c>
      <c r="AA80" s="7" t="str">
        <f t="shared" si="48"/>
        <v/>
      </c>
    </row>
    <row r="81" spans="1:27" x14ac:dyDescent="0.2">
      <c r="A81" s="4">
        <v>-116.27111022965384</v>
      </c>
      <c r="B81" s="4">
        <v>36.397349549511411</v>
      </c>
      <c r="C81" s="5" t="s">
        <v>236</v>
      </c>
      <c r="D81" s="5" t="s">
        <v>254</v>
      </c>
      <c r="E81" s="7">
        <v>45</v>
      </c>
      <c r="F81" s="7">
        <v>19</v>
      </c>
      <c r="G81" s="7">
        <v>70</v>
      </c>
      <c r="H81" s="7">
        <v>7.8</v>
      </c>
      <c r="I81" s="7">
        <v>278</v>
      </c>
      <c r="J81" s="7">
        <v>0</v>
      </c>
      <c r="K81" s="7">
        <v>20</v>
      </c>
      <c r="L81" s="7">
        <v>79</v>
      </c>
      <c r="M81" s="7">
        <v>1.5</v>
      </c>
      <c r="P81" s="15">
        <f t="shared" si="49"/>
        <v>520</v>
      </c>
      <c r="Q81" s="11">
        <f t="shared" ca="1" si="50"/>
        <v>1.4936605149906097E-2</v>
      </c>
      <c r="R81" s="7">
        <f t="shared" ca="1" si="51"/>
        <v>2.2455089820359282</v>
      </c>
      <c r="S81" s="7">
        <f t="shared" ca="1" si="40"/>
        <v>1.5630141493912471</v>
      </c>
      <c r="T81" s="7">
        <f t="shared" ca="1" si="41"/>
        <v>3.0448246028787511</v>
      </c>
      <c r="U81" s="7">
        <f t="shared" ca="1" si="42"/>
        <v>0.19947828755562377</v>
      </c>
      <c r="V81" s="7">
        <f t="shared" ca="1" si="43"/>
        <v>4.557377049180328</v>
      </c>
      <c r="W81" s="7">
        <f t="shared" ca="1" si="44"/>
        <v>0</v>
      </c>
      <c r="X81" s="7">
        <f t="shared" ca="1" si="45"/>
        <v>0.56412715426057025</v>
      </c>
      <c r="Y81" s="7">
        <f t="shared" ca="1" si="46"/>
        <v>1.6447779341589148</v>
      </c>
      <c r="Z81" s="7">
        <f t="shared" ca="1" si="47"/>
        <v>7.8954017180394132E-2</v>
      </c>
      <c r="AA81" s="7" t="str">
        <f t="shared" si="48"/>
        <v/>
      </c>
    </row>
    <row r="82" spans="1:27" x14ac:dyDescent="0.2">
      <c r="A82" s="4">
        <v>-116.32555565164598</v>
      </c>
      <c r="B82" s="4">
        <v>36.465681185380326</v>
      </c>
      <c r="C82" s="5" t="s">
        <v>236</v>
      </c>
      <c r="D82" s="5" t="s">
        <v>255</v>
      </c>
      <c r="E82" s="7">
        <v>48</v>
      </c>
      <c r="F82" s="7">
        <v>19</v>
      </c>
      <c r="G82" s="7">
        <v>69</v>
      </c>
      <c r="H82" s="7">
        <v>7.8</v>
      </c>
      <c r="I82" s="7">
        <v>300</v>
      </c>
      <c r="J82" s="7">
        <v>0</v>
      </c>
      <c r="K82" s="7">
        <v>17</v>
      </c>
      <c r="L82" s="7">
        <v>75</v>
      </c>
      <c r="M82" s="7">
        <v>1.8</v>
      </c>
      <c r="P82" s="15">
        <f t="shared" si="49"/>
        <v>538</v>
      </c>
      <c r="Q82" s="11">
        <f t="shared" ca="1" si="50"/>
        <v>7.4049662117306415E-3</v>
      </c>
      <c r="R82" s="7">
        <f t="shared" ca="1" si="51"/>
        <v>2.3952095808383236</v>
      </c>
      <c r="S82" s="7">
        <f t="shared" ca="1" si="40"/>
        <v>1.5630141493912471</v>
      </c>
      <c r="T82" s="7">
        <f t="shared" ca="1" si="41"/>
        <v>3.0013271085519118</v>
      </c>
      <c r="U82" s="7">
        <f t="shared" ca="1" si="42"/>
        <v>0.19947828755562377</v>
      </c>
      <c r="V82" s="7">
        <f t="shared" ca="1" si="43"/>
        <v>4.918032786885246</v>
      </c>
      <c r="W82" s="7">
        <f t="shared" ca="1" si="44"/>
        <v>0</v>
      </c>
      <c r="X82" s="7">
        <f t="shared" ca="1" si="45"/>
        <v>0.47950808112148474</v>
      </c>
      <c r="Y82" s="7">
        <f t="shared" ca="1" si="46"/>
        <v>1.5614980387584634</v>
      </c>
      <c r="Z82" s="7">
        <f t="shared" ca="1" si="47"/>
        <v>9.4744820616472963E-2</v>
      </c>
      <c r="AA82" s="7" t="str">
        <f t="shared" si="48"/>
        <v/>
      </c>
    </row>
    <row r="83" spans="1:27" x14ac:dyDescent="0.2">
      <c r="A83" s="4">
        <v>-116.71472172908049</v>
      </c>
      <c r="B83" s="4">
        <v>36.379294727177658</v>
      </c>
      <c r="C83" s="5" t="s">
        <v>224</v>
      </c>
      <c r="D83" s="5" t="s">
        <v>256</v>
      </c>
      <c r="E83" s="7">
        <v>18.25</v>
      </c>
      <c r="F83" s="7">
        <v>8.9749999999999996</v>
      </c>
      <c r="G83" s="7">
        <v>165</v>
      </c>
      <c r="H83" s="7">
        <v>8.2250000000000014</v>
      </c>
      <c r="I83" s="7">
        <v>256</v>
      </c>
      <c r="J83" s="7">
        <v>1.75</v>
      </c>
      <c r="K83" s="7">
        <v>76.5</v>
      </c>
      <c r="L83" s="7">
        <v>115</v>
      </c>
      <c r="M83" s="7">
        <v>1.7000000000000002</v>
      </c>
      <c r="P83" s="15">
        <f t="shared" si="49"/>
        <v>651</v>
      </c>
      <c r="Q83" s="11">
        <f t="shared" ca="1" si="50"/>
        <v>7.796320494174243E-3</v>
      </c>
      <c r="R83" s="7">
        <f t="shared" ca="1" si="51"/>
        <v>0.91067864271457089</v>
      </c>
      <c r="S83" s="7">
        <f t="shared" ca="1" si="40"/>
        <v>0.73831852583086532</v>
      </c>
      <c r="T83" s="7">
        <f t="shared" ca="1" si="41"/>
        <v>7.1770865639284844</v>
      </c>
      <c r="U83" s="7">
        <f t="shared" ca="1" si="42"/>
        <v>0.21034729681346229</v>
      </c>
      <c r="V83" s="7">
        <f t="shared" ca="1" si="43"/>
        <v>4.1967213114754101</v>
      </c>
      <c r="W83" s="7">
        <f t="shared" ca="1" si="44"/>
        <v>5.8333333333333334E-2</v>
      </c>
      <c r="X83" s="7">
        <f t="shared" ca="1" si="45"/>
        <v>2.1577863650466815</v>
      </c>
      <c r="Y83" s="7">
        <f t="shared" ca="1" si="46"/>
        <v>2.3942969927629769</v>
      </c>
      <c r="Z83" s="7">
        <f t="shared" ca="1" si="47"/>
        <v>8.9481219471113371E-2</v>
      </c>
      <c r="AA83" s="7" t="str">
        <f t="shared" si="48"/>
        <v/>
      </c>
    </row>
    <row r="84" spans="1:27" x14ac:dyDescent="0.2">
      <c r="A84" s="4">
        <v>-116.82111054547865</v>
      </c>
      <c r="B84" s="4">
        <v>36.510679744636718</v>
      </c>
      <c r="C84" s="5" t="s">
        <v>257</v>
      </c>
      <c r="D84" s="5" t="s">
        <v>258</v>
      </c>
      <c r="E84" s="7">
        <v>43</v>
      </c>
      <c r="F84" s="7">
        <v>20</v>
      </c>
      <c r="G84" s="7">
        <v>140</v>
      </c>
      <c r="H84" s="7">
        <v>11</v>
      </c>
      <c r="I84" s="7">
        <v>350</v>
      </c>
      <c r="J84" s="7">
        <v>0</v>
      </c>
      <c r="K84" s="7">
        <v>38</v>
      </c>
      <c r="L84" s="7">
        <v>180</v>
      </c>
      <c r="M84" s="7">
        <v>6.4</v>
      </c>
      <c r="P84" s="15">
        <f t="shared" si="49"/>
        <v>788</v>
      </c>
      <c r="Q84" s="11">
        <f t="shared" ca="1" si="50"/>
        <v>-3.476739014387898E-2</v>
      </c>
      <c r="R84" s="7">
        <f t="shared" ca="1" si="51"/>
        <v>2.1457085828343314</v>
      </c>
      <c r="S84" s="7">
        <f t="shared" ca="1" si="40"/>
        <v>1.6452780519907864</v>
      </c>
      <c r="T84" s="7">
        <f t="shared" ca="1" si="41"/>
        <v>6.0896492057575022</v>
      </c>
      <c r="U84" s="7">
        <f t="shared" ca="1" si="42"/>
        <v>0.28131553373228996</v>
      </c>
      <c r="V84" s="7">
        <f t="shared" ca="1" si="43"/>
        <v>5.7377049180327866</v>
      </c>
      <c r="W84" s="7">
        <f t="shared" ca="1" si="44"/>
        <v>0</v>
      </c>
      <c r="X84" s="7">
        <f t="shared" ca="1" si="45"/>
        <v>1.0718415930950835</v>
      </c>
      <c r="Y84" s="7">
        <f t="shared" ca="1" si="46"/>
        <v>3.747595293020312</v>
      </c>
      <c r="Z84" s="7">
        <f t="shared" ca="1" si="47"/>
        <v>0.33687047330301501</v>
      </c>
      <c r="AA84" s="7" t="str">
        <f t="shared" si="48"/>
        <v/>
      </c>
    </row>
    <row r="85" spans="1:27" x14ac:dyDescent="0.2">
      <c r="A85" s="4">
        <v>-116.30833293885654</v>
      </c>
      <c r="B85" s="4">
        <v>36.431237894152915</v>
      </c>
      <c r="C85" s="5" t="s">
        <v>236</v>
      </c>
      <c r="D85" s="5" t="s">
        <v>259</v>
      </c>
      <c r="E85" s="7">
        <v>46</v>
      </c>
      <c r="F85" s="7">
        <v>22</v>
      </c>
      <c r="G85" s="7">
        <v>68</v>
      </c>
      <c r="H85" s="7">
        <v>8.4</v>
      </c>
      <c r="I85" s="7">
        <v>302</v>
      </c>
      <c r="J85" s="7">
        <v>0</v>
      </c>
      <c r="K85" s="7">
        <v>21</v>
      </c>
      <c r="L85" s="7">
        <v>76</v>
      </c>
      <c r="M85" s="7">
        <v>1.7</v>
      </c>
      <c r="P85" s="15">
        <f t="shared" si="49"/>
        <v>545</v>
      </c>
      <c r="Q85" s="11">
        <f t="shared" ca="1" si="50"/>
        <v>4.3411157230685664E-3</v>
      </c>
      <c r="R85" s="7">
        <f t="shared" ca="1" si="51"/>
        <v>2.2954091816367268</v>
      </c>
      <c r="S85" s="7">
        <f t="shared" ca="1" si="40"/>
        <v>1.809805857189865</v>
      </c>
      <c r="T85" s="7">
        <f t="shared" ca="1" si="41"/>
        <v>2.9578296142250724</v>
      </c>
      <c r="U85" s="7">
        <f t="shared" ca="1" si="42"/>
        <v>0.21482277121374868</v>
      </c>
      <c r="V85" s="7">
        <f t="shared" ca="1" si="43"/>
        <v>4.9508196721311473</v>
      </c>
      <c r="W85" s="7">
        <f t="shared" ca="1" si="44"/>
        <v>0</v>
      </c>
      <c r="X85" s="7">
        <f t="shared" ca="1" si="45"/>
        <v>0.59233351197359885</v>
      </c>
      <c r="Y85" s="7">
        <f t="shared" ca="1" si="46"/>
        <v>1.5823180126085763</v>
      </c>
      <c r="Z85" s="7">
        <f t="shared" ca="1" si="47"/>
        <v>8.9481219471113357E-2</v>
      </c>
      <c r="AA85" s="7" t="str">
        <f t="shared" si="48"/>
        <v/>
      </c>
    </row>
    <row r="86" spans="1:27" x14ac:dyDescent="0.2">
      <c r="A86" s="4">
        <v>-116.27055531209041</v>
      </c>
      <c r="B86" s="4">
        <v>36.399571995796158</v>
      </c>
      <c r="C86" s="5" t="s">
        <v>236</v>
      </c>
      <c r="D86" s="5" t="s">
        <v>260</v>
      </c>
      <c r="E86" s="7">
        <v>48</v>
      </c>
      <c r="F86" s="7">
        <v>21</v>
      </c>
      <c r="G86" s="7">
        <v>67</v>
      </c>
      <c r="H86" s="7">
        <v>7.1</v>
      </c>
      <c r="I86" s="7">
        <v>304</v>
      </c>
      <c r="J86" s="7">
        <v>0</v>
      </c>
      <c r="K86" s="7">
        <v>21</v>
      </c>
      <c r="L86" s="7">
        <v>76</v>
      </c>
      <c r="M86" s="7">
        <v>2</v>
      </c>
      <c r="P86" s="15">
        <f t="shared" si="49"/>
        <v>546</v>
      </c>
      <c r="Q86" s="11">
        <f t="shared" ca="1" si="50"/>
        <v>-3.0982923936127863E-3</v>
      </c>
      <c r="R86" s="7">
        <f t="shared" ca="1" si="51"/>
        <v>2.3952095808383236</v>
      </c>
      <c r="S86" s="7">
        <f t="shared" ca="1" si="40"/>
        <v>1.7275419545903257</v>
      </c>
      <c r="T86" s="7">
        <f t="shared" ca="1" si="41"/>
        <v>2.914332119898233</v>
      </c>
      <c r="U86" s="7">
        <f t="shared" ca="1" si="42"/>
        <v>0.18157638995447803</v>
      </c>
      <c r="V86" s="7">
        <f t="shared" ca="1" si="43"/>
        <v>4.9836065573770494</v>
      </c>
      <c r="W86" s="7">
        <f t="shared" ca="1" si="44"/>
        <v>0</v>
      </c>
      <c r="X86" s="7">
        <f t="shared" ca="1" si="45"/>
        <v>0.59233351197359885</v>
      </c>
      <c r="Y86" s="7">
        <f t="shared" ca="1" si="46"/>
        <v>1.5823180126085763</v>
      </c>
      <c r="Z86" s="7">
        <f t="shared" ca="1" si="47"/>
        <v>0.10527202290719219</v>
      </c>
      <c r="AA86" s="7" t="str">
        <f t="shared" si="48"/>
        <v/>
      </c>
    </row>
    <row r="87" spans="1:27" x14ac:dyDescent="0.2">
      <c r="A87" s="4">
        <v>-116.3255548597584</v>
      </c>
      <c r="B87" s="4">
        <v>36.477625216501259</v>
      </c>
      <c r="C87" s="5" t="s">
        <v>236</v>
      </c>
      <c r="D87" s="5" t="s">
        <v>261</v>
      </c>
      <c r="E87" s="7">
        <v>47</v>
      </c>
      <c r="F87" s="7">
        <v>21</v>
      </c>
      <c r="G87" s="7">
        <v>69</v>
      </c>
      <c r="H87" s="7">
        <v>7.8</v>
      </c>
      <c r="I87" s="7">
        <v>302</v>
      </c>
      <c r="J87" s="7">
        <v>0</v>
      </c>
      <c r="K87" s="7">
        <v>21</v>
      </c>
      <c r="L87" s="7">
        <v>78</v>
      </c>
      <c r="M87" s="7">
        <v>1.5</v>
      </c>
      <c r="P87" s="15">
        <f t="shared" si="49"/>
        <v>547</v>
      </c>
      <c r="Q87" s="11">
        <f t="shared" ca="1" si="50"/>
        <v>1.9002822880334104E-3</v>
      </c>
      <c r="R87" s="7">
        <f t="shared" ca="1" si="51"/>
        <v>2.345309381237525</v>
      </c>
      <c r="S87" s="7">
        <f t="shared" ca="1" si="40"/>
        <v>1.7275419545903257</v>
      </c>
      <c r="T87" s="7">
        <f t="shared" ca="1" si="41"/>
        <v>3.0013271085519118</v>
      </c>
      <c r="U87" s="7">
        <f t="shared" ca="1" si="42"/>
        <v>0.19947828755562377</v>
      </c>
      <c r="V87" s="7">
        <f t="shared" ca="1" si="43"/>
        <v>4.9508196721311473</v>
      </c>
      <c r="W87" s="7">
        <f t="shared" ca="1" si="44"/>
        <v>0</v>
      </c>
      <c r="X87" s="7">
        <f t="shared" ca="1" si="45"/>
        <v>0.59233351197359885</v>
      </c>
      <c r="Y87" s="7">
        <f t="shared" ca="1" si="46"/>
        <v>1.6239579603088019</v>
      </c>
      <c r="Z87" s="7">
        <f t="shared" ca="1" si="47"/>
        <v>7.8954017180394132E-2</v>
      </c>
      <c r="AA87" s="7" t="str">
        <f t="shared" si="48"/>
        <v/>
      </c>
    </row>
    <row r="88" spans="1:27" x14ac:dyDescent="0.2">
      <c r="A88" s="4">
        <v>-116.33305488041532</v>
      </c>
      <c r="B88" s="4">
        <v>36.478181227591541</v>
      </c>
      <c r="C88" s="5" t="s">
        <v>236</v>
      </c>
      <c r="D88" s="5" t="s">
        <v>262</v>
      </c>
      <c r="E88" s="7">
        <v>36</v>
      </c>
      <c r="F88" s="7">
        <v>17</v>
      </c>
      <c r="G88" s="7">
        <v>106</v>
      </c>
      <c r="H88" s="7">
        <v>10</v>
      </c>
      <c r="I88" s="7">
        <v>330</v>
      </c>
      <c r="J88" s="7">
        <v>0</v>
      </c>
      <c r="K88" s="7">
        <v>27</v>
      </c>
      <c r="L88" s="7">
        <v>93</v>
      </c>
      <c r="M88" s="7">
        <v>2</v>
      </c>
      <c r="P88" s="15">
        <f t="shared" si="49"/>
        <v>621</v>
      </c>
      <c r="Q88" s="11">
        <f t="shared" ca="1" si="50"/>
        <v>-9.3133302327884516E-3</v>
      </c>
      <c r="R88" s="7">
        <f t="shared" ca="1" si="51"/>
        <v>1.7964071856287427</v>
      </c>
      <c r="S88" s="7">
        <f t="shared" ca="1" si="40"/>
        <v>1.3984863441921684</v>
      </c>
      <c r="T88" s="7">
        <f t="shared" ca="1" si="41"/>
        <v>4.6107343986449658</v>
      </c>
      <c r="U88" s="7">
        <f t="shared" ca="1" si="42"/>
        <v>0.25574139430208176</v>
      </c>
      <c r="V88" s="7">
        <f t="shared" ca="1" si="43"/>
        <v>5.4098360655737707</v>
      </c>
      <c r="W88" s="7">
        <f t="shared" ca="1" si="44"/>
        <v>0</v>
      </c>
      <c r="X88" s="7">
        <f t="shared" ca="1" si="45"/>
        <v>0.76157165825176987</v>
      </c>
      <c r="Y88" s="7">
        <f t="shared" ca="1" si="46"/>
        <v>1.9362575680604945</v>
      </c>
      <c r="Z88" s="7">
        <f t="shared" ca="1" si="47"/>
        <v>0.10527202290719219</v>
      </c>
      <c r="AA88" s="7" t="str">
        <f t="shared" si="48"/>
        <v/>
      </c>
    </row>
    <row r="89" spans="1:27" x14ac:dyDescent="0.2">
      <c r="A89" s="4">
        <v>-116.83638928813674</v>
      </c>
      <c r="B89" s="4">
        <v>36.455959560480721</v>
      </c>
      <c r="C89" s="5" t="s">
        <v>257</v>
      </c>
      <c r="D89" s="5" t="s">
        <v>263</v>
      </c>
      <c r="E89" s="7">
        <v>36</v>
      </c>
      <c r="F89" s="7">
        <v>19</v>
      </c>
      <c r="G89" s="7">
        <v>150</v>
      </c>
      <c r="H89" s="7">
        <v>11</v>
      </c>
      <c r="I89" s="7">
        <v>340</v>
      </c>
      <c r="J89" s="7">
        <v>0</v>
      </c>
      <c r="K89" s="7">
        <v>37</v>
      </c>
      <c r="L89" s="7">
        <v>160</v>
      </c>
      <c r="M89" s="7">
        <v>7.1</v>
      </c>
      <c r="P89" s="15">
        <f t="shared" si="49"/>
        <v>760</v>
      </c>
      <c r="Q89" s="11">
        <f t="shared" ca="1" si="50"/>
        <v>-7.6610050631149736E-3</v>
      </c>
      <c r="R89" s="7">
        <f t="shared" ca="1" si="51"/>
        <v>1.7964071856287427</v>
      </c>
      <c r="S89" s="7">
        <f t="shared" ca="1" si="40"/>
        <v>1.5630141493912471</v>
      </c>
      <c r="T89" s="7">
        <f t="shared" ca="1" si="41"/>
        <v>6.5246241490258949</v>
      </c>
      <c r="U89" s="7">
        <f t="shared" ca="1" si="42"/>
        <v>0.28131553373228996</v>
      </c>
      <c r="V89" s="7">
        <f t="shared" ca="1" si="43"/>
        <v>5.5737704918032787</v>
      </c>
      <c r="W89" s="7">
        <f t="shared" ca="1" si="44"/>
        <v>0</v>
      </c>
      <c r="X89" s="7">
        <f t="shared" ca="1" si="45"/>
        <v>1.043635235382055</v>
      </c>
      <c r="Y89" s="7">
        <f t="shared" ca="1" si="46"/>
        <v>3.331195816018055</v>
      </c>
      <c r="Z89" s="7">
        <f t="shared" ca="1" si="47"/>
        <v>0.37371568132053223</v>
      </c>
      <c r="AA89" s="7" t="str">
        <f t="shared" si="48"/>
        <v/>
      </c>
    </row>
    <row r="90" spans="1:27" x14ac:dyDescent="0.2">
      <c r="A90" s="4">
        <v>-116.8302777796808</v>
      </c>
      <c r="B90" s="4">
        <v>36.440834067704124</v>
      </c>
      <c r="C90" s="5" t="s">
        <v>257</v>
      </c>
      <c r="D90" s="5" t="s">
        <v>264</v>
      </c>
      <c r="E90" s="7">
        <v>39</v>
      </c>
      <c r="F90" s="7">
        <v>20</v>
      </c>
      <c r="G90" s="7">
        <v>160</v>
      </c>
      <c r="H90" s="7">
        <v>11</v>
      </c>
      <c r="I90" s="7">
        <v>350</v>
      </c>
      <c r="J90" s="7">
        <v>0</v>
      </c>
      <c r="K90" s="7">
        <v>41</v>
      </c>
      <c r="L90" s="7">
        <v>190</v>
      </c>
      <c r="M90" s="7">
        <v>6.9</v>
      </c>
      <c r="P90" s="15">
        <f t="shared" si="49"/>
        <v>818</v>
      </c>
      <c r="Q90" s="11">
        <f t="shared" ca="1" si="50"/>
        <v>-1.727561197517841E-2</v>
      </c>
      <c r="R90" s="7">
        <f t="shared" ca="1" si="51"/>
        <v>1.9461077844311379</v>
      </c>
      <c r="S90" s="7">
        <f t="shared" ca="1" si="40"/>
        <v>1.6452780519907864</v>
      </c>
      <c r="T90" s="7">
        <f t="shared" ca="1" si="41"/>
        <v>6.9595990922942876</v>
      </c>
      <c r="U90" s="7">
        <f t="shared" ca="1" si="42"/>
        <v>0.28131553373228996</v>
      </c>
      <c r="V90" s="7">
        <f t="shared" ca="1" si="43"/>
        <v>5.7377049180327866</v>
      </c>
      <c r="W90" s="7">
        <f t="shared" ca="1" si="44"/>
        <v>0</v>
      </c>
      <c r="X90" s="7">
        <f t="shared" ca="1" si="45"/>
        <v>1.156460666234169</v>
      </c>
      <c r="Y90" s="7">
        <f t="shared" ca="1" si="46"/>
        <v>3.9557950315214403</v>
      </c>
      <c r="Z90" s="7">
        <f t="shared" ca="1" si="47"/>
        <v>0.36318847902981305</v>
      </c>
      <c r="AA90" s="7" t="str">
        <f t="shared" si="48"/>
        <v/>
      </c>
    </row>
    <row r="91" spans="1:27" x14ac:dyDescent="0.2">
      <c r="A91" s="4">
        <v>-116.11638872778029</v>
      </c>
      <c r="B91" s="4">
        <v>36.757618384756171</v>
      </c>
      <c r="C91" s="5" t="s">
        <v>182</v>
      </c>
      <c r="D91" s="5" t="s">
        <v>265</v>
      </c>
      <c r="E91" s="7">
        <v>45</v>
      </c>
      <c r="F91" s="7">
        <v>16</v>
      </c>
      <c r="G91" s="7">
        <v>62</v>
      </c>
      <c r="H91" s="7">
        <v>9</v>
      </c>
      <c r="I91" s="7">
        <v>250</v>
      </c>
      <c r="J91" s="7">
        <v>0</v>
      </c>
      <c r="K91" s="7">
        <v>15</v>
      </c>
      <c r="L91" s="7">
        <v>82</v>
      </c>
      <c r="M91" s="7">
        <v>3.2</v>
      </c>
      <c r="P91" s="15">
        <f t="shared" si="49"/>
        <v>482</v>
      </c>
      <c r="Q91" s="11">
        <f t="shared" ca="1" si="50"/>
        <v>7.1096631906907579E-3</v>
      </c>
      <c r="R91" s="7">
        <f t="shared" ca="1" si="51"/>
        <v>2.2455089820359282</v>
      </c>
      <c r="S91" s="7">
        <f t="shared" ca="1" si="40"/>
        <v>1.3162224415926291</v>
      </c>
      <c r="T91" s="7">
        <f t="shared" ca="1" si="41"/>
        <v>2.6968446482640367</v>
      </c>
      <c r="U91" s="7">
        <f t="shared" ca="1" si="42"/>
        <v>0.23016725487187359</v>
      </c>
      <c r="V91" s="7">
        <f t="shared" ca="1" si="43"/>
        <v>4.0983606557377046</v>
      </c>
      <c r="W91" s="7">
        <f t="shared" ca="1" si="44"/>
        <v>0</v>
      </c>
      <c r="X91" s="7">
        <f t="shared" ca="1" si="45"/>
        <v>0.42309536569542772</v>
      </c>
      <c r="Y91" s="7">
        <f t="shared" ca="1" si="46"/>
        <v>1.7072378557092533</v>
      </c>
      <c r="Z91" s="7">
        <f t="shared" ca="1" si="47"/>
        <v>0.1684352366515075</v>
      </c>
      <c r="AA91" s="7" t="str">
        <f t="shared" si="48"/>
        <v/>
      </c>
    </row>
    <row r="92" spans="1:27" x14ac:dyDescent="0.2">
      <c r="A92" s="4">
        <v>-116.43972222472398</v>
      </c>
      <c r="B92" s="4">
        <v>36.852223434699084</v>
      </c>
      <c r="C92" s="5" t="s">
        <v>250</v>
      </c>
      <c r="D92" s="5" t="s">
        <v>266</v>
      </c>
      <c r="E92" s="7">
        <v>16.83276</v>
      </c>
      <c r="F92" s="7">
        <v>0.48610000000000003</v>
      </c>
      <c r="G92" s="7">
        <v>45.979660000000003</v>
      </c>
      <c r="H92" s="7">
        <v>3.5188199999999998</v>
      </c>
      <c r="I92" s="7">
        <v>134.20000000000002</v>
      </c>
      <c r="J92" s="7">
        <v>0</v>
      </c>
      <c r="K92" s="7">
        <v>8.5087200000000003</v>
      </c>
      <c r="L92" s="7">
        <v>22.094168</v>
      </c>
      <c r="M92" s="7">
        <v>0</v>
      </c>
      <c r="P92" s="15">
        <f t="shared" si="49"/>
        <v>232</v>
      </c>
      <c r="Q92" s="11">
        <f t="shared" ca="1" si="50"/>
        <v>1.1914498554963083E-2</v>
      </c>
      <c r="R92" s="7">
        <f t="shared" ca="1" si="51"/>
        <v>0.83995808383233539</v>
      </c>
      <c r="S92" s="7">
        <f t="shared" ca="1" si="40"/>
        <v>3.9988483053636066E-2</v>
      </c>
      <c r="T92" s="7">
        <f t="shared" ca="1" si="41"/>
        <v>2</v>
      </c>
      <c r="U92" s="7">
        <f t="shared" ca="1" si="42"/>
        <v>8.9990793309805125E-2</v>
      </c>
      <c r="V92" s="7">
        <f t="shared" ca="1" si="43"/>
        <v>2.2000000000000002</v>
      </c>
      <c r="W92" s="7">
        <f t="shared" ca="1" si="44"/>
        <v>0</v>
      </c>
      <c r="X92" s="7">
        <f t="shared" ca="1" si="45"/>
        <v>0.24</v>
      </c>
      <c r="Y92" s="7">
        <f t="shared" ca="1" si="46"/>
        <v>0.46</v>
      </c>
      <c r="Z92" s="7">
        <f t="shared" ca="1" si="47"/>
        <v>0</v>
      </c>
      <c r="AA92" s="7" t="str">
        <f t="shared" si="48"/>
        <v/>
      </c>
    </row>
    <row r="93" spans="1:27" x14ac:dyDescent="0.2">
      <c r="A93" s="4">
        <v>-116.42861111722368</v>
      </c>
      <c r="B93" s="4">
        <v>36.827338989547648</v>
      </c>
      <c r="C93" s="5" t="s">
        <v>250</v>
      </c>
      <c r="D93" s="5" t="s">
        <v>267</v>
      </c>
      <c r="E93" s="7">
        <v>12</v>
      </c>
      <c r="F93" s="7">
        <v>0.3</v>
      </c>
      <c r="G93" s="7">
        <v>54</v>
      </c>
      <c r="H93" s="7">
        <v>2</v>
      </c>
      <c r="I93" s="7">
        <v>140</v>
      </c>
      <c r="J93" s="7">
        <v>0</v>
      </c>
      <c r="K93" s="7">
        <v>7</v>
      </c>
      <c r="L93" s="7">
        <v>22</v>
      </c>
      <c r="M93" s="7">
        <v>2.1</v>
      </c>
      <c r="P93" s="15">
        <f t="shared" si="49"/>
        <v>239</v>
      </c>
      <c r="Q93" s="11">
        <f t="shared" ca="1" si="50"/>
        <v>-6.1806866222265536E-3</v>
      </c>
      <c r="R93" s="7">
        <f t="shared" ca="1" si="51"/>
        <v>0.5988023952095809</v>
      </c>
      <c r="S93" s="7">
        <f t="shared" ca="1" si="40"/>
        <v>2.4679170779861793E-2</v>
      </c>
      <c r="T93" s="7">
        <f t="shared" ca="1" si="41"/>
        <v>2.3488646936493223</v>
      </c>
      <c r="U93" s="7">
        <f t="shared" ca="1" si="42"/>
        <v>5.1148278860416355E-2</v>
      </c>
      <c r="V93" s="7">
        <f t="shared" ca="1" si="43"/>
        <v>2.2950819672131146</v>
      </c>
      <c r="W93" s="7">
        <f t="shared" ca="1" si="44"/>
        <v>0</v>
      </c>
      <c r="X93" s="7">
        <f t="shared" ca="1" si="45"/>
        <v>0.19744450399119959</v>
      </c>
      <c r="Y93" s="7">
        <f t="shared" ca="1" si="46"/>
        <v>0.4580394247024826</v>
      </c>
      <c r="Z93" s="7">
        <f t="shared" ca="1" si="47"/>
        <v>0.1105356240525518</v>
      </c>
      <c r="AA93" s="7" t="str">
        <f t="shared" si="48"/>
        <v/>
      </c>
    </row>
    <row r="94" spans="1:27" x14ac:dyDescent="0.2">
      <c r="A94" s="4">
        <v>-116.37388889049005</v>
      </c>
      <c r="B94" s="4">
        <v>36.94139023293809</v>
      </c>
      <c r="C94" s="5" t="s">
        <v>250</v>
      </c>
      <c r="D94" s="5" t="s">
        <v>268</v>
      </c>
      <c r="E94" s="7">
        <v>10</v>
      </c>
      <c r="F94" s="7">
        <v>0.2</v>
      </c>
      <c r="G94" s="7">
        <v>44</v>
      </c>
      <c r="H94" s="7">
        <v>1.2</v>
      </c>
      <c r="I94" s="7">
        <v>107</v>
      </c>
      <c r="J94" s="7">
        <v>0</v>
      </c>
      <c r="K94" s="7">
        <v>9.9</v>
      </c>
      <c r="L94" s="7">
        <v>21</v>
      </c>
      <c r="M94" s="7">
        <v>0.9</v>
      </c>
      <c r="P94" s="15">
        <f t="shared" si="49"/>
        <v>194</v>
      </c>
      <c r="Q94" s="11">
        <f t="shared" ca="1" si="50"/>
        <v>-1.1631188582627407E-2</v>
      </c>
      <c r="R94" s="7">
        <f t="shared" ca="1" si="51"/>
        <v>0.49900199600798406</v>
      </c>
      <c r="S94" s="7">
        <f t="shared" ca="1" si="40"/>
        <v>1.6452780519907863E-2</v>
      </c>
      <c r="T94" s="7">
        <f t="shared" ca="1" si="41"/>
        <v>1.9138897503809291</v>
      </c>
      <c r="U94" s="7">
        <f t="shared" ca="1" si="42"/>
        <v>3.0688967316249809E-2</v>
      </c>
      <c r="V94" s="7">
        <f t="shared" ca="1" si="43"/>
        <v>1.7540983606557377</v>
      </c>
      <c r="W94" s="7">
        <f t="shared" ca="1" si="44"/>
        <v>0</v>
      </c>
      <c r="X94" s="7">
        <f t="shared" ca="1" si="45"/>
        <v>0.27924294135898231</v>
      </c>
      <c r="Y94" s="7">
        <f t="shared" ca="1" si="46"/>
        <v>0.43721945085236974</v>
      </c>
      <c r="Z94" s="7">
        <f t="shared" ca="1" si="47"/>
        <v>4.7372410308236482E-2</v>
      </c>
      <c r="AA94" s="7" t="str">
        <f t="shared" si="48"/>
        <v/>
      </c>
    </row>
    <row r="95" spans="1:27" x14ac:dyDescent="0.2">
      <c r="A95" s="4">
        <v>-116.45972167142359</v>
      </c>
      <c r="B95" s="4">
        <v>36.887615865633954</v>
      </c>
      <c r="C95" s="5" t="s">
        <v>250</v>
      </c>
      <c r="D95" s="5" t="s">
        <v>269</v>
      </c>
      <c r="E95" s="7">
        <v>7.4333333333333336</v>
      </c>
      <c r="F95" s="7">
        <v>0.41500000000000004</v>
      </c>
      <c r="G95" s="7">
        <v>47.5</v>
      </c>
      <c r="H95" s="7">
        <v>5.833333333333333</v>
      </c>
      <c r="I95" s="7">
        <v>121.5</v>
      </c>
      <c r="J95" s="7">
        <v>0</v>
      </c>
      <c r="K95" s="7">
        <v>6.5500000000000007</v>
      </c>
      <c r="L95" s="7">
        <v>13.833333333333334</v>
      </c>
      <c r="M95" s="7">
        <v>1.05</v>
      </c>
      <c r="P95" s="15">
        <f t="shared" si="49"/>
        <v>204</v>
      </c>
      <c r="Q95" s="11">
        <f t="shared" ca="1" si="50"/>
        <v>1.9560566950047199E-2</v>
      </c>
      <c r="R95" s="7">
        <f t="shared" ca="1" si="51"/>
        <v>0.37092481703260149</v>
      </c>
      <c r="S95" s="7">
        <f t="shared" ca="1" si="40"/>
        <v>3.413951957880882E-2</v>
      </c>
      <c r="T95" s="7">
        <f t="shared" ca="1" si="41"/>
        <v>2.0661309805248669</v>
      </c>
      <c r="U95" s="7">
        <f t="shared" ca="1" si="42"/>
        <v>0.14918248000954767</v>
      </c>
      <c r="V95" s="7">
        <f t="shared" ca="1" si="43"/>
        <v>1.9918032786885247</v>
      </c>
      <c r="W95" s="7">
        <f t="shared" ca="1" si="44"/>
        <v>0</v>
      </c>
      <c r="X95" s="7">
        <f t="shared" ca="1" si="45"/>
        <v>0.18475164302033678</v>
      </c>
      <c r="Y95" s="7">
        <f t="shared" ca="1" si="46"/>
        <v>0.28800963825989434</v>
      </c>
      <c r="Z95" s="7">
        <f t="shared" ca="1" si="47"/>
        <v>5.5267812026275898E-2</v>
      </c>
      <c r="AA95" s="7" t="str">
        <f t="shared" si="48"/>
        <v/>
      </c>
    </row>
    <row r="96" spans="1:27" x14ac:dyDescent="0.2">
      <c r="A96" s="4">
        <v>-116.45111111371956</v>
      </c>
      <c r="B96" s="4">
        <v>36.853890080109721</v>
      </c>
      <c r="C96" s="5" t="s">
        <v>250</v>
      </c>
      <c r="D96" s="5" t="s">
        <v>270</v>
      </c>
      <c r="E96" s="7">
        <v>13</v>
      </c>
      <c r="F96" s="7">
        <v>0.2</v>
      </c>
      <c r="G96" s="7">
        <v>57</v>
      </c>
      <c r="H96" s="7">
        <v>2.1</v>
      </c>
      <c r="I96" s="7">
        <v>139</v>
      </c>
      <c r="J96" s="7">
        <v>0</v>
      </c>
      <c r="K96" s="7">
        <v>5.9</v>
      </c>
      <c r="L96" s="7">
        <v>19</v>
      </c>
      <c r="M96" s="7">
        <v>2.5</v>
      </c>
      <c r="P96" s="15">
        <f t="shared" si="49"/>
        <v>239</v>
      </c>
      <c r="Q96" s="11">
        <f t="shared" ca="1" si="50"/>
        <v>3.6616628227376831E-2</v>
      </c>
      <c r="R96" s="7">
        <f t="shared" ca="1" si="51"/>
        <v>0.64870259481037928</v>
      </c>
      <c r="S96" s="7">
        <f t="shared" ca="1" si="40"/>
        <v>1.6452780519907863E-2</v>
      </c>
      <c r="T96" s="7">
        <f t="shared" ca="1" si="41"/>
        <v>2.4793571766298399</v>
      </c>
      <c r="U96" s="7">
        <f t="shared" ca="1" si="42"/>
        <v>5.370569280343717E-2</v>
      </c>
      <c r="V96" s="7">
        <f t="shared" ca="1" si="43"/>
        <v>2.278688524590164</v>
      </c>
      <c r="W96" s="7">
        <f t="shared" ca="1" si="44"/>
        <v>0</v>
      </c>
      <c r="X96" s="7">
        <f t="shared" ca="1" si="45"/>
        <v>0.16641751050686823</v>
      </c>
      <c r="Y96" s="7">
        <f t="shared" ca="1" si="46"/>
        <v>0.39557950315214407</v>
      </c>
      <c r="Z96" s="7">
        <f t="shared" ca="1" si="47"/>
        <v>0.13159002863399022</v>
      </c>
      <c r="AA96" s="7" t="str">
        <f t="shared" si="48"/>
        <v/>
      </c>
    </row>
    <row r="97" spans="1:27" x14ac:dyDescent="0.2">
      <c r="A97" s="4">
        <v>-116.45333333595404</v>
      </c>
      <c r="B97" s="4">
        <v>36.866112298237184</v>
      </c>
      <c r="C97" s="5" t="s">
        <v>250</v>
      </c>
      <c r="D97" s="5" t="s">
        <v>271</v>
      </c>
      <c r="E97" s="7">
        <v>4.4085800000000006</v>
      </c>
      <c r="F97" s="7">
        <v>0</v>
      </c>
      <c r="G97" s="7">
        <v>51.037422600000006</v>
      </c>
      <c r="H97" s="7">
        <v>2.3458799999999997</v>
      </c>
      <c r="I97" s="7">
        <v>114.67999999999999</v>
      </c>
      <c r="J97" s="7">
        <v>0</v>
      </c>
      <c r="K97" s="7">
        <v>5.6724800000000002</v>
      </c>
      <c r="L97" s="7">
        <v>18.251704</v>
      </c>
      <c r="M97" s="7">
        <v>0</v>
      </c>
      <c r="P97" s="15">
        <f t="shared" si="49"/>
        <v>196</v>
      </c>
      <c r="Q97" s="11">
        <f t="shared" ca="1" si="50"/>
        <v>1.6256740327306667E-2</v>
      </c>
      <c r="R97" s="7">
        <f t="shared" ca="1" si="51"/>
        <v>0.21998902195608785</v>
      </c>
      <c r="S97" s="7">
        <f t="shared" ca="1" si="40"/>
        <v>0</v>
      </c>
      <c r="T97" s="7">
        <f t="shared" ca="1" si="41"/>
        <v>2.2200000000000002</v>
      </c>
      <c r="U97" s="7">
        <f t="shared" ca="1" si="42"/>
        <v>5.9993862206536748E-2</v>
      </c>
      <c r="V97" s="7">
        <f t="shared" ca="1" si="43"/>
        <v>1.88</v>
      </c>
      <c r="W97" s="7">
        <f t="shared" ca="1" si="44"/>
        <v>0</v>
      </c>
      <c r="X97" s="7">
        <f t="shared" ca="1" si="45"/>
        <v>0.16</v>
      </c>
      <c r="Y97" s="7">
        <f t="shared" ca="1" si="46"/>
        <v>0.38</v>
      </c>
      <c r="Z97" s="7">
        <f t="shared" ca="1" si="47"/>
        <v>0</v>
      </c>
      <c r="AA97" s="7" t="str">
        <f t="shared" si="48"/>
        <v/>
      </c>
    </row>
    <row r="98" spans="1:27" x14ac:dyDescent="0.2">
      <c r="A98" s="4">
        <v>-116.44833333592376</v>
      </c>
      <c r="B98" s="4">
        <v>36.842223418584069</v>
      </c>
      <c r="C98" s="5" t="s">
        <v>250</v>
      </c>
      <c r="D98" s="5" t="s">
        <v>272</v>
      </c>
      <c r="E98" s="7">
        <v>17</v>
      </c>
      <c r="F98" s="7">
        <v>0.3</v>
      </c>
      <c r="G98" s="7">
        <v>73</v>
      </c>
      <c r="H98" s="7">
        <v>2.6</v>
      </c>
      <c r="I98" s="7">
        <v>173</v>
      </c>
      <c r="J98" s="7">
        <v>0</v>
      </c>
      <c r="K98" s="7">
        <v>6.9</v>
      </c>
      <c r="L98" s="7">
        <v>26</v>
      </c>
      <c r="M98" s="7">
        <v>4.8</v>
      </c>
      <c r="P98" s="15">
        <f t="shared" si="49"/>
        <v>304</v>
      </c>
      <c r="Q98" s="11">
        <f t="shared" ca="1" si="50"/>
        <v>3.654291519602864E-2</v>
      </c>
      <c r="R98" s="7">
        <f t="shared" ca="1" si="51"/>
        <v>0.84830339321357284</v>
      </c>
      <c r="S98" s="7">
        <f t="shared" ca="1" si="40"/>
        <v>2.4679170779861793E-2</v>
      </c>
      <c r="T98" s="7">
        <f t="shared" ca="1" si="41"/>
        <v>3.1753170858592688</v>
      </c>
      <c r="U98" s="7">
        <f t="shared" ca="1" si="42"/>
        <v>6.6492762518541262E-2</v>
      </c>
      <c r="V98" s="7">
        <f t="shared" ca="1" si="43"/>
        <v>2.8360655737704916</v>
      </c>
      <c r="W98" s="7">
        <f t="shared" ca="1" si="44"/>
        <v>0</v>
      </c>
      <c r="X98" s="7">
        <f t="shared" ca="1" si="45"/>
        <v>0.19462386821989675</v>
      </c>
      <c r="Y98" s="7">
        <f t="shared" ca="1" si="46"/>
        <v>0.54131932010293393</v>
      </c>
      <c r="Z98" s="7">
        <f t="shared" ca="1" si="47"/>
        <v>0.25265285497726125</v>
      </c>
      <c r="AA98" s="7" t="str">
        <f t="shared" si="48"/>
        <v/>
      </c>
    </row>
    <row r="99" spans="1:27" x14ac:dyDescent="0.2">
      <c r="A99" s="4">
        <v>-116.46527778050499</v>
      </c>
      <c r="B99" s="4">
        <v>36.856112276499644</v>
      </c>
      <c r="C99" s="5" t="s">
        <v>250</v>
      </c>
      <c r="D99" s="5" t="s">
        <v>273</v>
      </c>
      <c r="E99" s="7">
        <v>1.9</v>
      </c>
      <c r="F99" s="7">
        <v>0.01</v>
      </c>
      <c r="G99" s="7">
        <v>60</v>
      </c>
      <c r="H99" s="7">
        <v>2.1</v>
      </c>
      <c r="I99" s="7">
        <v>126</v>
      </c>
      <c r="J99" s="7">
        <v>0</v>
      </c>
      <c r="K99" s="7">
        <v>6.1</v>
      </c>
      <c r="L99" s="7">
        <v>16</v>
      </c>
      <c r="M99" s="7">
        <v>1.4</v>
      </c>
      <c r="P99" s="15">
        <f t="shared" si="49"/>
        <v>214</v>
      </c>
      <c r="Q99" s="11">
        <f t="shared" ca="1" si="50"/>
        <v>2.1234947794128822E-2</v>
      </c>
      <c r="R99" s="7">
        <f t="shared" ca="1" si="51"/>
        <v>9.4810379241516959E-2</v>
      </c>
      <c r="S99" s="7">
        <f t="shared" ca="1" si="40"/>
        <v>8.2263902599539324E-4</v>
      </c>
      <c r="T99" s="7">
        <f t="shared" ca="1" si="41"/>
        <v>2.609849659610358</v>
      </c>
      <c r="U99" s="7">
        <f t="shared" ca="1" si="42"/>
        <v>5.370569280343717E-2</v>
      </c>
      <c r="V99" s="7">
        <f t="shared" ca="1" si="43"/>
        <v>2.0655737704918034</v>
      </c>
      <c r="W99" s="7">
        <f t="shared" ca="1" si="44"/>
        <v>0</v>
      </c>
      <c r="X99" s="7">
        <f t="shared" ca="1" si="45"/>
        <v>0.17205878204947392</v>
      </c>
      <c r="Y99" s="7">
        <f t="shared" ca="1" si="46"/>
        <v>0.33311958160180549</v>
      </c>
      <c r="Z99" s="7">
        <f t="shared" ca="1" si="47"/>
        <v>7.3690416035034526E-2</v>
      </c>
      <c r="AA99" s="7" t="str">
        <f t="shared" si="48"/>
        <v/>
      </c>
    </row>
    <row r="100" spans="1:27" x14ac:dyDescent="0.2">
      <c r="A100" s="4">
        <v>-116.48194444729897</v>
      </c>
      <c r="B100" s="4">
        <v>36.846945580309125</v>
      </c>
      <c r="C100" s="5" t="s">
        <v>250</v>
      </c>
      <c r="D100" s="5" t="s">
        <v>274</v>
      </c>
      <c r="E100" s="7">
        <v>4.0999999999999996</v>
      </c>
      <c r="F100" s="7">
        <v>0.1</v>
      </c>
      <c r="G100" s="7">
        <v>86</v>
      </c>
      <c r="H100" s="7">
        <v>1.3</v>
      </c>
      <c r="I100" s="7">
        <v>182</v>
      </c>
      <c r="J100" s="7">
        <v>0</v>
      </c>
      <c r="K100" s="7">
        <v>7.6</v>
      </c>
      <c r="L100" s="7">
        <v>29</v>
      </c>
      <c r="M100" s="7">
        <v>4.7</v>
      </c>
      <c r="P100" s="15">
        <f t="shared" si="49"/>
        <v>315</v>
      </c>
      <c r="Q100" s="11">
        <f t="shared" ca="1" si="50"/>
        <v>-7.7520328009566602E-3</v>
      </c>
      <c r="R100" s="7">
        <f t="shared" ca="1" si="51"/>
        <v>0.20459081836327345</v>
      </c>
      <c r="S100" s="7">
        <f t="shared" ca="1" si="40"/>
        <v>8.2263902599539317E-3</v>
      </c>
      <c r="T100" s="7">
        <f t="shared" ca="1" si="41"/>
        <v>3.74078451210818</v>
      </c>
      <c r="U100" s="7">
        <f t="shared" ca="1" si="42"/>
        <v>3.3246381259270631E-2</v>
      </c>
      <c r="V100" s="7">
        <f t="shared" ca="1" si="43"/>
        <v>2.9836065573770494</v>
      </c>
      <c r="W100" s="7">
        <f t="shared" ca="1" si="44"/>
        <v>0</v>
      </c>
      <c r="X100" s="7">
        <f t="shared" ca="1" si="45"/>
        <v>0.2143683186190167</v>
      </c>
      <c r="Y100" s="7">
        <f t="shared" ca="1" si="46"/>
        <v>0.60377924165327246</v>
      </c>
      <c r="Z100" s="7">
        <f t="shared" ca="1" si="47"/>
        <v>0.24738925383190163</v>
      </c>
      <c r="AA100" s="7" t="str">
        <f t="shared" si="48"/>
        <v/>
      </c>
    </row>
    <row r="101" spans="1:27" x14ac:dyDescent="0.2">
      <c r="A101" s="4">
        <v>-116.55194444762448</v>
      </c>
      <c r="B101" s="4">
        <v>36.792223244369296</v>
      </c>
      <c r="C101" s="5" t="s">
        <v>250</v>
      </c>
      <c r="D101" s="5" t="s">
        <v>275</v>
      </c>
      <c r="E101" s="7">
        <v>10</v>
      </c>
      <c r="F101" s="7">
        <v>1.5</v>
      </c>
      <c r="G101" s="7">
        <v>79</v>
      </c>
      <c r="H101" s="7">
        <v>1.9</v>
      </c>
      <c r="I101" s="7">
        <v>165</v>
      </c>
      <c r="J101" s="7">
        <v>0</v>
      </c>
      <c r="K101" s="7">
        <v>10</v>
      </c>
      <c r="L101" s="7">
        <v>44</v>
      </c>
      <c r="M101" s="7">
        <v>2.7</v>
      </c>
      <c r="P101" s="15">
        <f t="shared" si="49"/>
        <v>314</v>
      </c>
      <c r="Q101" s="11">
        <f t="shared" ca="1" si="50"/>
        <v>7.6189287608515767E-3</v>
      </c>
      <c r="R101" s="7">
        <f t="shared" ca="1" si="51"/>
        <v>0.49900199600798406</v>
      </c>
      <c r="S101" s="7">
        <f t="shared" ca="1" si="40"/>
        <v>0.12339585389930897</v>
      </c>
      <c r="T101" s="7">
        <f t="shared" ca="1" si="41"/>
        <v>3.4363020518203049</v>
      </c>
      <c r="U101" s="7">
        <f t="shared" ca="1" si="42"/>
        <v>4.8590864917395532E-2</v>
      </c>
      <c r="V101" s="7">
        <f t="shared" ca="1" si="43"/>
        <v>2.7049180327868854</v>
      </c>
      <c r="W101" s="7">
        <f t="shared" ca="1" si="44"/>
        <v>0</v>
      </c>
      <c r="X101" s="7">
        <f t="shared" ca="1" si="45"/>
        <v>0.28206357713028513</v>
      </c>
      <c r="Y101" s="7">
        <f t="shared" ca="1" si="46"/>
        <v>0.9160788494049652</v>
      </c>
      <c r="Z101" s="7">
        <f t="shared" ca="1" si="47"/>
        <v>0.14211723092470946</v>
      </c>
      <c r="AA101" s="7" t="str">
        <f t="shared" si="48"/>
        <v/>
      </c>
    </row>
    <row r="102" spans="1:27" x14ac:dyDescent="0.2">
      <c r="A102" s="4">
        <v>-116.02323209089829</v>
      </c>
      <c r="B102" s="4">
        <v>37.059435610383851</v>
      </c>
      <c r="C102" s="5" t="s">
        <v>182</v>
      </c>
      <c r="D102" s="5" t="s">
        <v>276</v>
      </c>
      <c r="E102" s="7">
        <v>41</v>
      </c>
      <c r="F102" s="7">
        <v>17</v>
      </c>
      <c r="G102" s="7">
        <v>54</v>
      </c>
      <c r="H102" s="7">
        <v>9.6999999999999993</v>
      </c>
      <c r="I102" s="7">
        <v>270</v>
      </c>
      <c r="J102" s="7">
        <v>0</v>
      </c>
      <c r="K102" s="7">
        <v>32</v>
      </c>
      <c r="L102" s="7">
        <v>41</v>
      </c>
      <c r="M102" s="7">
        <v>0.8</v>
      </c>
      <c r="P102" s="15">
        <f t="shared" si="49"/>
        <v>466</v>
      </c>
      <c r="Q102" s="11">
        <f t="shared" ca="1" si="50"/>
        <v>-1.4938364198329562E-2</v>
      </c>
      <c r="R102" s="7">
        <f t="shared" ca="1" si="51"/>
        <v>2.0459081836327346</v>
      </c>
      <c r="S102" s="7">
        <f t="shared" ca="1" si="40"/>
        <v>1.3984863441921684</v>
      </c>
      <c r="T102" s="7">
        <f t="shared" ca="1" si="41"/>
        <v>2.3488646936493223</v>
      </c>
      <c r="U102" s="7">
        <f t="shared" ca="1" si="42"/>
        <v>0.24806915247301928</v>
      </c>
      <c r="V102" s="7">
        <f t="shared" ca="1" si="43"/>
        <v>4.4262295081967213</v>
      </c>
      <c r="W102" s="7">
        <f t="shared" ca="1" si="44"/>
        <v>0</v>
      </c>
      <c r="X102" s="7">
        <f t="shared" ca="1" si="45"/>
        <v>0.9026034468169124</v>
      </c>
      <c r="Y102" s="7">
        <f t="shared" ca="1" si="46"/>
        <v>0.85361892785462667</v>
      </c>
      <c r="Z102" s="7">
        <f t="shared" ca="1" si="47"/>
        <v>4.2108809162876876E-2</v>
      </c>
      <c r="AA102" s="7" t="str">
        <f t="shared" si="48"/>
        <v/>
      </c>
    </row>
    <row r="103" spans="1:27" x14ac:dyDescent="0.2">
      <c r="A103" s="4">
        <v>-116.05805507892666</v>
      </c>
      <c r="B103" s="4">
        <v>36.99344673350209</v>
      </c>
      <c r="C103" s="5" t="s">
        <v>182</v>
      </c>
      <c r="D103" s="5" t="s">
        <v>277</v>
      </c>
      <c r="E103" s="7">
        <v>20.214285714285715</v>
      </c>
      <c r="F103" s="7">
        <v>12.428571428571429</v>
      </c>
      <c r="G103" s="7">
        <v>38.857142857142854</v>
      </c>
      <c r="H103" s="7">
        <v>7.6142857142857148</v>
      </c>
      <c r="I103" s="7">
        <v>194.28571428571428</v>
      </c>
      <c r="J103" s="7">
        <v>0</v>
      </c>
      <c r="K103" s="7">
        <v>5.7142857142857144</v>
      </c>
      <c r="L103" s="7">
        <v>20.857142857142858</v>
      </c>
      <c r="M103" s="7">
        <v>0.9285714285714286</v>
      </c>
      <c r="P103" s="15">
        <f t="shared" si="49"/>
        <v>301</v>
      </c>
      <c r="Q103" s="11">
        <f t="shared" ca="1" si="50"/>
        <v>1.1196974197672033E-2</v>
      </c>
      <c r="R103" s="7">
        <f t="shared" ca="1" si="51"/>
        <v>1.0086968919304249</v>
      </c>
      <c r="S103" s="7">
        <f t="shared" ca="1" si="40"/>
        <v>1.0224227894514173</v>
      </c>
      <c r="T103" s="7">
        <f t="shared" ca="1" si="41"/>
        <v>1.6901883509857556</v>
      </c>
      <c r="U103" s="7">
        <f t="shared" ca="1" si="42"/>
        <v>0.19472880451858512</v>
      </c>
      <c r="V103" s="7">
        <f t="shared" ca="1" si="43"/>
        <v>3.1850117096018735</v>
      </c>
      <c r="W103" s="7">
        <f t="shared" ca="1" si="44"/>
        <v>0</v>
      </c>
      <c r="X103" s="7">
        <f t="shared" ca="1" si="45"/>
        <v>0.1611791869315915</v>
      </c>
      <c r="Y103" s="7">
        <f t="shared" ca="1" si="46"/>
        <v>0.43424516887378217</v>
      </c>
      <c r="Z103" s="7">
        <f t="shared" ca="1" si="47"/>
        <v>4.8876296349767805E-2</v>
      </c>
      <c r="AA103" s="7" t="str">
        <f t="shared" si="48"/>
        <v/>
      </c>
    </row>
    <row r="104" spans="1:27" x14ac:dyDescent="0.2">
      <c r="A104" s="4">
        <v>-116.00944443292516</v>
      </c>
      <c r="B104" s="4">
        <v>36.91861344708466</v>
      </c>
      <c r="C104" s="5" t="s">
        <v>182</v>
      </c>
      <c r="D104" s="5" t="s">
        <v>278</v>
      </c>
      <c r="E104" s="7">
        <v>74</v>
      </c>
      <c r="F104" s="7">
        <v>30</v>
      </c>
      <c r="G104" s="7">
        <v>123</v>
      </c>
      <c r="H104" s="7">
        <v>14</v>
      </c>
      <c r="I104" s="7">
        <v>584</v>
      </c>
      <c r="J104" s="7">
        <v>0</v>
      </c>
      <c r="K104" s="7">
        <v>32</v>
      </c>
      <c r="L104" s="7">
        <v>67</v>
      </c>
      <c r="M104" s="7">
        <v>1.1000000000000001</v>
      </c>
      <c r="P104" s="15">
        <f t="shared" si="49"/>
        <v>925</v>
      </c>
      <c r="Q104" s="11">
        <f t="shared" ca="1" si="50"/>
        <v>-2.5401405189656766E-3</v>
      </c>
      <c r="R104" s="7">
        <f t="shared" ca="1" si="51"/>
        <v>3.6926147704590822</v>
      </c>
      <c r="S104" s="7">
        <f t="shared" ca="1" si="40"/>
        <v>2.4679170779861797</v>
      </c>
      <c r="T104" s="7">
        <f t="shared" ca="1" si="41"/>
        <v>5.350191802201234</v>
      </c>
      <c r="U104" s="7">
        <f t="shared" ca="1" si="42"/>
        <v>0.35803795202291444</v>
      </c>
      <c r="V104" s="7">
        <f t="shared" ca="1" si="43"/>
        <v>9.5737704918032787</v>
      </c>
      <c r="W104" s="7">
        <f t="shared" ca="1" si="44"/>
        <v>0</v>
      </c>
      <c r="X104" s="7">
        <f t="shared" ca="1" si="45"/>
        <v>0.9026034468169124</v>
      </c>
      <c r="Y104" s="7">
        <f t="shared" ca="1" si="46"/>
        <v>1.3949382479575605</v>
      </c>
      <c r="Z104" s="7">
        <f t="shared" ca="1" si="47"/>
        <v>5.7899612598955708E-2</v>
      </c>
      <c r="AA104" s="7" t="str">
        <f t="shared" si="48"/>
        <v/>
      </c>
    </row>
    <row r="105" spans="1:27" x14ac:dyDescent="0.2">
      <c r="C105" s="5"/>
      <c r="P105" s="15" t="str">
        <f t="shared" si="49"/>
        <v/>
      </c>
      <c r="Q105" s="11" t="str">
        <f t="shared" si="50"/>
        <v/>
      </c>
      <c r="R105" s="7" t="str">
        <f t="shared" si="51"/>
        <v/>
      </c>
      <c r="S105" s="7" t="str">
        <f t="shared" si="40"/>
        <v/>
      </c>
      <c r="T105" s="7" t="str">
        <f t="shared" si="41"/>
        <v/>
      </c>
      <c r="U105" s="7" t="str">
        <f t="shared" si="42"/>
        <v/>
      </c>
      <c r="V105" s="7" t="str">
        <f t="shared" si="43"/>
        <v/>
      </c>
      <c r="W105" s="7" t="str">
        <f t="shared" si="44"/>
        <v/>
      </c>
      <c r="X105" s="7" t="str">
        <f t="shared" si="45"/>
        <v/>
      </c>
      <c r="Y105" s="7" t="str">
        <f t="shared" si="46"/>
        <v/>
      </c>
      <c r="Z105" s="7" t="str">
        <f t="shared" si="47"/>
        <v/>
      </c>
      <c r="AA105" s="7" t="str">
        <f t="shared" si="48"/>
        <v/>
      </c>
    </row>
    <row r="106" spans="1:27" x14ac:dyDescent="0.2">
      <c r="C106" s="5"/>
      <c r="P106" s="15" t="str">
        <f t="shared" si="49"/>
        <v/>
      </c>
      <c r="Q106" s="11" t="str">
        <f t="shared" si="50"/>
        <v/>
      </c>
      <c r="R106" s="7" t="str">
        <f t="shared" si="51"/>
        <v/>
      </c>
      <c r="S106" s="7" t="str">
        <f t="shared" si="40"/>
        <v/>
      </c>
      <c r="T106" s="7" t="str">
        <f t="shared" si="41"/>
        <v/>
      </c>
      <c r="U106" s="7" t="str">
        <f t="shared" si="42"/>
        <v/>
      </c>
      <c r="V106" s="7" t="str">
        <f t="shared" si="43"/>
        <v/>
      </c>
      <c r="W106" s="7" t="str">
        <f t="shared" si="44"/>
        <v/>
      </c>
      <c r="X106" s="7" t="str">
        <f t="shared" si="45"/>
        <v/>
      </c>
      <c r="Y106" s="7" t="str">
        <f t="shared" si="46"/>
        <v/>
      </c>
      <c r="Z106" s="7" t="str">
        <f t="shared" si="47"/>
        <v/>
      </c>
      <c r="AA106" s="7" t="str">
        <f t="shared" si="48"/>
        <v/>
      </c>
    </row>
    <row r="107" spans="1:27" x14ac:dyDescent="0.2">
      <c r="C107" s="5"/>
      <c r="P107" s="15" t="str">
        <f t="shared" si="49"/>
        <v/>
      </c>
      <c r="Q107" s="11" t="str">
        <f t="shared" si="50"/>
        <v/>
      </c>
      <c r="R107" s="7" t="str">
        <f t="shared" si="51"/>
        <v/>
      </c>
      <c r="S107" s="7" t="str">
        <f t="shared" si="40"/>
        <v/>
      </c>
      <c r="T107" s="7" t="str">
        <f t="shared" si="41"/>
        <v/>
      </c>
      <c r="U107" s="7" t="str">
        <f t="shared" si="42"/>
        <v/>
      </c>
      <c r="V107" s="7" t="str">
        <f t="shared" si="43"/>
        <v/>
      </c>
      <c r="W107" s="7" t="str">
        <f t="shared" si="44"/>
        <v/>
      </c>
      <c r="X107" s="7" t="str">
        <f t="shared" si="45"/>
        <v/>
      </c>
      <c r="Y107" s="7" t="str">
        <f t="shared" si="46"/>
        <v/>
      </c>
      <c r="Z107" s="7" t="str">
        <f t="shared" si="47"/>
        <v/>
      </c>
      <c r="AA107" s="7" t="str">
        <f t="shared" si="48"/>
        <v/>
      </c>
    </row>
    <row r="108" spans="1:27" x14ac:dyDescent="0.2">
      <c r="C108" s="5"/>
      <c r="P108" s="15" t="str">
        <f t="shared" si="49"/>
        <v/>
      </c>
      <c r="Q108" s="11" t="str">
        <f t="shared" si="50"/>
        <v/>
      </c>
      <c r="R108" s="7" t="str">
        <f t="shared" si="51"/>
        <v/>
      </c>
      <c r="S108" s="7" t="str">
        <f t="shared" si="40"/>
        <v/>
      </c>
      <c r="T108" s="7" t="str">
        <f t="shared" si="41"/>
        <v/>
      </c>
      <c r="U108" s="7" t="str">
        <f t="shared" si="42"/>
        <v/>
      </c>
      <c r="V108" s="7" t="str">
        <f t="shared" si="43"/>
        <v/>
      </c>
      <c r="W108" s="7" t="str">
        <f t="shared" si="44"/>
        <v/>
      </c>
      <c r="X108" s="7" t="str">
        <f t="shared" si="45"/>
        <v/>
      </c>
      <c r="Y108" s="7" t="str">
        <f t="shared" si="46"/>
        <v/>
      </c>
      <c r="Z108" s="7" t="str">
        <f t="shared" si="47"/>
        <v/>
      </c>
      <c r="AA108" s="7" t="str">
        <f t="shared" si="48"/>
        <v/>
      </c>
    </row>
    <row r="109" spans="1:27" x14ac:dyDescent="0.2">
      <c r="C109" s="5"/>
      <c r="P109" s="15" t="str">
        <f t="shared" si="49"/>
        <v/>
      </c>
      <c r="Q109" s="11" t="str">
        <f t="shared" si="50"/>
        <v/>
      </c>
      <c r="R109" s="7" t="str">
        <f t="shared" si="51"/>
        <v/>
      </c>
      <c r="S109" s="7" t="str">
        <f t="shared" si="40"/>
        <v/>
      </c>
      <c r="T109" s="7" t="str">
        <f t="shared" si="41"/>
        <v/>
      </c>
      <c r="U109" s="7" t="str">
        <f t="shared" si="42"/>
        <v/>
      </c>
      <c r="V109" s="7" t="str">
        <f t="shared" si="43"/>
        <v/>
      </c>
      <c r="W109" s="7" t="str">
        <f t="shared" si="44"/>
        <v/>
      </c>
      <c r="X109" s="7" t="str">
        <f t="shared" si="45"/>
        <v/>
      </c>
      <c r="Y109" s="7" t="str">
        <f t="shared" si="46"/>
        <v/>
      </c>
      <c r="Z109" s="7" t="str">
        <f t="shared" si="47"/>
        <v/>
      </c>
      <c r="AA109" s="7" t="str">
        <f t="shared" si="48"/>
        <v/>
      </c>
    </row>
    <row r="110" spans="1:27" x14ac:dyDescent="0.2">
      <c r="C110" s="5"/>
      <c r="P110" s="15" t="str">
        <f t="shared" si="49"/>
        <v/>
      </c>
      <c r="Q110" s="11" t="str">
        <f t="shared" si="50"/>
        <v/>
      </c>
      <c r="R110" s="7" t="str">
        <f t="shared" si="51"/>
        <v/>
      </c>
      <c r="S110" s="7" t="str">
        <f t="shared" si="40"/>
        <v/>
      </c>
      <c r="T110" s="7" t="str">
        <f t="shared" si="41"/>
        <v/>
      </c>
      <c r="U110" s="7" t="str">
        <f t="shared" si="42"/>
        <v/>
      </c>
      <c r="V110" s="7" t="str">
        <f t="shared" si="43"/>
        <v/>
      </c>
      <c r="W110" s="7" t="str">
        <f t="shared" si="44"/>
        <v/>
      </c>
      <c r="X110" s="7" t="str">
        <f t="shared" si="45"/>
        <v/>
      </c>
      <c r="Y110" s="7" t="str">
        <f t="shared" si="46"/>
        <v/>
      </c>
      <c r="Z110" s="7" t="str">
        <f t="shared" si="47"/>
        <v/>
      </c>
      <c r="AA110" s="7" t="str">
        <f t="shared" si="48"/>
        <v/>
      </c>
    </row>
    <row r="111" spans="1:27" x14ac:dyDescent="0.2">
      <c r="C111" s="5"/>
      <c r="P111" s="15" t="str">
        <f t="shared" si="49"/>
        <v/>
      </c>
      <c r="Q111" s="11" t="str">
        <f t="shared" si="50"/>
        <v/>
      </c>
      <c r="R111" s="7" t="str">
        <f t="shared" si="51"/>
        <v/>
      </c>
      <c r="S111" s="7" t="str">
        <f t="shared" si="40"/>
        <v/>
      </c>
      <c r="T111" s="7" t="str">
        <f t="shared" si="41"/>
        <v/>
      </c>
      <c r="U111" s="7" t="str">
        <f t="shared" si="42"/>
        <v/>
      </c>
      <c r="V111" s="7" t="str">
        <f t="shared" si="43"/>
        <v/>
      </c>
      <c r="W111" s="7" t="str">
        <f t="shared" si="44"/>
        <v/>
      </c>
      <c r="X111" s="7" t="str">
        <f t="shared" si="45"/>
        <v/>
      </c>
      <c r="Y111" s="7" t="str">
        <f t="shared" si="46"/>
        <v/>
      </c>
      <c r="Z111" s="7" t="str">
        <f t="shared" si="47"/>
        <v/>
      </c>
      <c r="AA111" s="7" t="str">
        <f t="shared" si="48"/>
        <v/>
      </c>
    </row>
    <row r="112" spans="1:27" x14ac:dyDescent="0.2">
      <c r="C112" s="5"/>
      <c r="P112" s="15" t="str">
        <f t="shared" si="49"/>
        <v/>
      </c>
      <c r="Q112" s="11" t="str">
        <f t="shared" si="50"/>
        <v/>
      </c>
      <c r="R112" s="7" t="str">
        <f t="shared" si="51"/>
        <v/>
      </c>
      <c r="S112" s="7" t="str">
        <f t="shared" si="40"/>
        <v/>
      </c>
      <c r="T112" s="7" t="str">
        <f t="shared" si="41"/>
        <v/>
      </c>
      <c r="U112" s="7" t="str">
        <f t="shared" si="42"/>
        <v/>
      </c>
      <c r="V112" s="7" t="str">
        <f t="shared" si="43"/>
        <v/>
      </c>
      <c r="W112" s="7" t="str">
        <f t="shared" si="44"/>
        <v/>
      </c>
      <c r="X112" s="7" t="str">
        <f t="shared" si="45"/>
        <v/>
      </c>
      <c r="Y112" s="7" t="str">
        <f t="shared" si="46"/>
        <v/>
      </c>
      <c r="Z112" s="7" t="str">
        <f t="shared" si="47"/>
        <v/>
      </c>
      <c r="AA112" s="7" t="str">
        <f t="shared" si="48"/>
        <v/>
      </c>
    </row>
    <row r="113" spans="3:27" x14ac:dyDescent="0.2">
      <c r="C113" s="5"/>
      <c r="P113" s="15" t="str">
        <f t="shared" si="49"/>
        <v/>
      </c>
      <c r="Q113" s="11" t="str">
        <f t="shared" si="50"/>
        <v/>
      </c>
      <c r="R113" s="7" t="str">
        <f t="shared" si="51"/>
        <v/>
      </c>
      <c r="S113" s="7" t="str">
        <f t="shared" si="40"/>
        <v/>
      </c>
      <c r="T113" s="7" t="str">
        <f t="shared" si="41"/>
        <v/>
      </c>
      <c r="U113" s="7" t="str">
        <f t="shared" si="42"/>
        <v/>
      </c>
      <c r="V113" s="7" t="str">
        <f t="shared" si="43"/>
        <v/>
      </c>
      <c r="W113" s="7" t="str">
        <f t="shared" si="44"/>
        <v/>
      </c>
      <c r="X113" s="7" t="str">
        <f t="shared" si="45"/>
        <v/>
      </c>
      <c r="Y113" s="7" t="str">
        <f t="shared" si="46"/>
        <v/>
      </c>
      <c r="Z113" s="7" t="str">
        <f t="shared" si="47"/>
        <v/>
      </c>
      <c r="AA113" s="7" t="str">
        <f t="shared" si="48"/>
        <v/>
      </c>
    </row>
    <row r="114" spans="3:27" x14ac:dyDescent="0.2">
      <c r="C114" s="5"/>
      <c r="P114" s="15" t="str">
        <f t="shared" si="49"/>
        <v/>
      </c>
      <c r="Q114" s="11" t="str">
        <f t="shared" si="50"/>
        <v/>
      </c>
      <c r="R114" s="7" t="str">
        <f t="shared" si="51"/>
        <v/>
      </c>
      <c r="S114" s="7" t="str">
        <f t="shared" si="40"/>
        <v/>
      </c>
      <c r="T114" s="7" t="str">
        <f t="shared" si="41"/>
        <v/>
      </c>
      <c r="U114" s="7" t="str">
        <f t="shared" si="42"/>
        <v/>
      </c>
      <c r="V114" s="7" t="str">
        <f t="shared" si="43"/>
        <v/>
      </c>
      <c r="W114" s="7" t="str">
        <f t="shared" si="44"/>
        <v/>
      </c>
      <c r="X114" s="7" t="str">
        <f t="shared" si="45"/>
        <v/>
      </c>
      <c r="Y114" s="7" t="str">
        <f t="shared" si="46"/>
        <v/>
      </c>
      <c r="Z114" s="7" t="str">
        <f t="shared" si="47"/>
        <v/>
      </c>
      <c r="AA114" s="7" t="str">
        <f t="shared" si="48"/>
        <v/>
      </c>
    </row>
    <row r="115" spans="3:27" x14ac:dyDescent="0.2">
      <c r="C115" s="5"/>
      <c r="P115" s="15" t="str">
        <f t="shared" si="49"/>
        <v/>
      </c>
      <c r="Q115" s="11" t="str">
        <f t="shared" si="50"/>
        <v/>
      </c>
      <c r="R115" s="7" t="str">
        <f t="shared" si="51"/>
        <v/>
      </c>
      <c r="S115" s="7" t="str">
        <f t="shared" si="40"/>
        <v/>
      </c>
      <c r="T115" s="7" t="str">
        <f t="shared" si="41"/>
        <v/>
      </c>
      <c r="U115" s="7" t="str">
        <f t="shared" si="42"/>
        <v/>
      </c>
      <c r="V115" s="7" t="str">
        <f t="shared" si="43"/>
        <v/>
      </c>
      <c r="W115" s="7" t="str">
        <f t="shared" si="44"/>
        <v/>
      </c>
      <c r="X115" s="7" t="str">
        <f t="shared" si="45"/>
        <v/>
      </c>
      <c r="Y115" s="7" t="str">
        <f t="shared" si="46"/>
        <v/>
      </c>
      <c r="Z115" s="7" t="str">
        <f t="shared" si="47"/>
        <v/>
      </c>
      <c r="AA115" s="7" t="str">
        <f t="shared" si="48"/>
        <v/>
      </c>
    </row>
    <row r="116" spans="3:27" x14ac:dyDescent="0.2">
      <c r="C116" s="5"/>
      <c r="P116" s="15" t="str">
        <f t="shared" si="49"/>
        <v/>
      </c>
      <c r="Q116" s="11" t="str">
        <f t="shared" si="50"/>
        <v/>
      </c>
      <c r="R116" s="7" t="str">
        <f t="shared" si="51"/>
        <v/>
      </c>
      <c r="S116" s="7" t="str">
        <f t="shared" si="40"/>
        <v/>
      </c>
      <c r="T116" s="7" t="str">
        <f t="shared" si="41"/>
        <v/>
      </c>
      <c r="U116" s="7" t="str">
        <f t="shared" si="42"/>
        <v/>
      </c>
      <c r="V116" s="7" t="str">
        <f t="shared" si="43"/>
        <v/>
      </c>
      <c r="W116" s="7" t="str">
        <f t="shared" si="44"/>
        <v/>
      </c>
      <c r="X116" s="7" t="str">
        <f t="shared" si="45"/>
        <v/>
      </c>
      <c r="Y116" s="7" t="str">
        <f t="shared" si="46"/>
        <v/>
      </c>
      <c r="Z116" s="7" t="str">
        <f t="shared" si="47"/>
        <v/>
      </c>
      <c r="AA116" s="7" t="str">
        <f t="shared" si="48"/>
        <v/>
      </c>
    </row>
    <row r="117" spans="3:27" x14ac:dyDescent="0.2">
      <c r="C117" s="5"/>
      <c r="P117" s="15" t="str">
        <f t="shared" si="49"/>
        <v/>
      </c>
      <c r="Q117" s="11" t="str">
        <f t="shared" si="50"/>
        <v/>
      </c>
      <c r="R117" s="7" t="str">
        <f t="shared" si="51"/>
        <v/>
      </c>
      <c r="S117" s="7" t="str">
        <f t="shared" si="40"/>
        <v/>
      </c>
      <c r="T117" s="7" t="str">
        <f t="shared" si="41"/>
        <v/>
      </c>
      <c r="U117" s="7" t="str">
        <f t="shared" si="42"/>
        <v/>
      </c>
      <c r="V117" s="7" t="str">
        <f t="shared" si="43"/>
        <v/>
      </c>
      <c r="W117" s="7" t="str">
        <f t="shared" si="44"/>
        <v/>
      </c>
      <c r="X117" s="7" t="str">
        <f t="shared" si="45"/>
        <v/>
      </c>
      <c r="Y117" s="7" t="str">
        <f t="shared" si="46"/>
        <v/>
      </c>
      <c r="Z117" s="7" t="str">
        <f t="shared" si="47"/>
        <v/>
      </c>
      <c r="AA117" s="7" t="str">
        <f t="shared" si="48"/>
        <v/>
      </c>
    </row>
    <row r="118" spans="3:27" x14ac:dyDescent="0.2">
      <c r="C118" s="5"/>
      <c r="P118" s="15" t="str">
        <f t="shared" si="49"/>
        <v/>
      </c>
      <c r="Q118" s="11" t="str">
        <f t="shared" si="50"/>
        <v/>
      </c>
      <c r="R118" s="7" t="str">
        <f t="shared" si="51"/>
        <v/>
      </c>
      <c r="S118" s="7" t="str">
        <f t="shared" si="40"/>
        <v/>
      </c>
      <c r="T118" s="7" t="str">
        <f t="shared" si="41"/>
        <v/>
      </c>
      <c r="U118" s="7" t="str">
        <f t="shared" si="42"/>
        <v/>
      </c>
      <c r="V118" s="7" t="str">
        <f t="shared" si="43"/>
        <v/>
      </c>
      <c r="W118" s="7" t="str">
        <f t="shared" si="44"/>
        <v/>
      </c>
      <c r="X118" s="7" t="str">
        <f t="shared" si="45"/>
        <v/>
      </c>
      <c r="Y118" s="7" t="str">
        <f t="shared" si="46"/>
        <v/>
      </c>
      <c r="Z118" s="7" t="str">
        <f t="shared" si="47"/>
        <v/>
      </c>
      <c r="AA118" s="7" t="str">
        <f t="shared" si="48"/>
        <v/>
      </c>
    </row>
    <row r="119" spans="3:27" x14ac:dyDescent="0.2">
      <c r="C119" s="5"/>
      <c r="P119" s="15" t="str">
        <f t="shared" si="49"/>
        <v/>
      </c>
      <c r="Q119" s="11" t="str">
        <f t="shared" si="50"/>
        <v/>
      </c>
      <c r="R119" s="7" t="str">
        <f t="shared" si="51"/>
        <v/>
      </c>
      <c r="S119" s="7" t="str">
        <f t="shared" si="40"/>
        <v/>
      </c>
      <c r="T119" s="7" t="str">
        <f t="shared" si="41"/>
        <v/>
      </c>
      <c r="U119" s="7" t="str">
        <f t="shared" si="42"/>
        <v/>
      </c>
      <c r="V119" s="7" t="str">
        <f t="shared" si="43"/>
        <v/>
      </c>
      <c r="W119" s="7" t="str">
        <f t="shared" si="44"/>
        <v/>
      </c>
      <c r="X119" s="7" t="str">
        <f t="shared" si="45"/>
        <v/>
      </c>
      <c r="Y119" s="7" t="str">
        <f t="shared" si="46"/>
        <v/>
      </c>
      <c r="Z119" s="7" t="str">
        <f t="shared" si="47"/>
        <v/>
      </c>
      <c r="AA119" s="7" t="str">
        <f t="shared" si="48"/>
        <v/>
      </c>
    </row>
    <row r="120" spans="3:27" x14ac:dyDescent="0.2">
      <c r="C120" s="5"/>
      <c r="P120" s="15" t="str">
        <f t="shared" si="49"/>
        <v/>
      </c>
      <c r="Q120" s="11" t="str">
        <f t="shared" si="50"/>
        <v/>
      </c>
      <c r="R120" s="7" t="str">
        <f t="shared" si="51"/>
        <v/>
      </c>
      <c r="S120" s="7" t="str">
        <f t="shared" si="40"/>
        <v/>
      </c>
      <c r="T120" s="7" t="str">
        <f t="shared" si="41"/>
        <v/>
      </c>
      <c r="U120" s="7" t="str">
        <f t="shared" si="42"/>
        <v/>
      </c>
      <c r="V120" s="7" t="str">
        <f t="shared" si="43"/>
        <v/>
      </c>
      <c r="W120" s="7" t="str">
        <f t="shared" si="44"/>
        <v/>
      </c>
      <c r="X120" s="7" t="str">
        <f t="shared" si="45"/>
        <v/>
      </c>
      <c r="Y120" s="7" t="str">
        <f t="shared" si="46"/>
        <v/>
      </c>
      <c r="Z120" s="7" t="str">
        <f t="shared" si="47"/>
        <v/>
      </c>
      <c r="AA120" s="7" t="str">
        <f t="shared" si="48"/>
        <v/>
      </c>
    </row>
    <row r="121" spans="3:27" x14ac:dyDescent="0.2">
      <c r="C121" s="5"/>
      <c r="P121" s="15" t="str">
        <f t="shared" si="49"/>
        <v/>
      </c>
      <c r="Q121" s="11" t="str">
        <f t="shared" si="50"/>
        <v/>
      </c>
      <c r="R121" s="7" t="str">
        <f t="shared" si="51"/>
        <v/>
      </c>
      <c r="S121" s="7" t="str">
        <f t="shared" si="40"/>
        <v/>
      </c>
      <c r="T121" s="7" t="str">
        <f t="shared" si="41"/>
        <v/>
      </c>
      <c r="U121" s="7" t="str">
        <f t="shared" si="42"/>
        <v/>
      </c>
      <c r="V121" s="7" t="str">
        <f t="shared" si="43"/>
        <v/>
      </c>
      <c r="W121" s="7" t="str">
        <f t="shared" si="44"/>
        <v/>
      </c>
      <c r="X121" s="7" t="str">
        <f t="shared" si="45"/>
        <v/>
      </c>
      <c r="Y121" s="7" t="str">
        <f t="shared" si="46"/>
        <v/>
      </c>
      <c r="Z121" s="7" t="str">
        <f t="shared" si="47"/>
        <v/>
      </c>
      <c r="AA121" s="7" t="str">
        <f t="shared" si="48"/>
        <v/>
      </c>
    </row>
    <row r="122" spans="3:27" x14ac:dyDescent="0.2">
      <c r="C122" s="5"/>
      <c r="P122" s="15" t="str">
        <f t="shared" si="49"/>
        <v/>
      </c>
      <c r="Q122" s="11" t="str">
        <f t="shared" si="50"/>
        <v/>
      </c>
      <c r="R122" s="7" t="str">
        <f t="shared" si="51"/>
        <v/>
      </c>
      <c r="S122" s="7" t="str">
        <f t="shared" si="40"/>
        <v/>
      </c>
      <c r="T122" s="7" t="str">
        <f t="shared" si="41"/>
        <v/>
      </c>
      <c r="U122" s="7" t="str">
        <f t="shared" si="42"/>
        <v/>
      </c>
      <c r="V122" s="7" t="str">
        <f t="shared" si="43"/>
        <v/>
      </c>
      <c r="W122" s="7" t="str">
        <f t="shared" si="44"/>
        <v/>
      </c>
      <c r="X122" s="7" t="str">
        <f t="shared" si="45"/>
        <v/>
      </c>
      <c r="Y122" s="7" t="str">
        <f t="shared" si="46"/>
        <v/>
      </c>
      <c r="Z122" s="7" t="str">
        <f t="shared" si="47"/>
        <v/>
      </c>
      <c r="AA122" s="7" t="str">
        <f t="shared" si="48"/>
        <v/>
      </c>
    </row>
    <row r="123" spans="3:27" x14ac:dyDescent="0.2">
      <c r="C123" s="5"/>
      <c r="P123" s="15" t="str">
        <f t="shared" si="49"/>
        <v/>
      </c>
      <c r="Q123" s="11" t="str">
        <f t="shared" si="50"/>
        <v/>
      </c>
      <c r="R123" s="7" t="str">
        <f t="shared" si="51"/>
        <v/>
      </c>
      <c r="S123" s="7" t="str">
        <f t="shared" si="40"/>
        <v/>
      </c>
      <c r="T123" s="7" t="str">
        <f t="shared" si="41"/>
        <v/>
      </c>
      <c r="U123" s="7" t="str">
        <f t="shared" si="42"/>
        <v/>
      </c>
      <c r="V123" s="7" t="str">
        <f t="shared" si="43"/>
        <v/>
      </c>
      <c r="W123" s="7" t="str">
        <f t="shared" si="44"/>
        <v/>
      </c>
      <c r="X123" s="7" t="str">
        <f t="shared" si="45"/>
        <v/>
      </c>
      <c r="Y123" s="7" t="str">
        <f t="shared" si="46"/>
        <v/>
      </c>
      <c r="Z123" s="7" t="str">
        <f t="shared" si="47"/>
        <v/>
      </c>
      <c r="AA123" s="7" t="str">
        <f t="shared" si="48"/>
        <v/>
      </c>
    </row>
    <row r="124" spans="3:27" x14ac:dyDescent="0.2">
      <c r="C124" s="5"/>
      <c r="P124" s="15" t="str">
        <f t="shared" si="49"/>
        <v/>
      </c>
      <c r="Q124" s="11" t="str">
        <f t="shared" si="50"/>
        <v/>
      </c>
      <c r="R124" s="7" t="str">
        <f t="shared" si="51"/>
        <v/>
      </c>
      <c r="S124" s="7" t="str">
        <f t="shared" si="40"/>
        <v/>
      </c>
      <c r="T124" s="7" t="str">
        <f t="shared" si="41"/>
        <v/>
      </c>
      <c r="U124" s="7" t="str">
        <f t="shared" si="42"/>
        <v/>
      </c>
      <c r="V124" s="7" t="str">
        <f t="shared" si="43"/>
        <v/>
      </c>
      <c r="W124" s="7" t="str">
        <f t="shared" si="44"/>
        <v/>
      </c>
      <c r="X124" s="7" t="str">
        <f t="shared" si="45"/>
        <v/>
      </c>
      <c r="Y124" s="7" t="str">
        <f t="shared" si="46"/>
        <v/>
      </c>
      <c r="Z124" s="7" t="str">
        <f t="shared" si="47"/>
        <v/>
      </c>
      <c r="AA124" s="7" t="str">
        <f t="shared" si="48"/>
        <v/>
      </c>
    </row>
    <row r="125" spans="3:27" x14ac:dyDescent="0.2">
      <c r="C125" s="5"/>
      <c r="P125" s="15" t="str">
        <f t="shared" si="49"/>
        <v/>
      </c>
      <c r="Q125" s="11" t="str">
        <f t="shared" si="50"/>
        <v/>
      </c>
      <c r="R125" s="7" t="str">
        <f t="shared" si="51"/>
        <v/>
      </c>
      <c r="S125" s="7" t="str">
        <f t="shared" si="40"/>
        <v/>
      </c>
      <c r="T125" s="7" t="str">
        <f t="shared" si="41"/>
        <v/>
      </c>
      <c r="U125" s="7" t="str">
        <f t="shared" si="42"/>
        <v/>
      </c>
      <c r="V125" s="7" t="str">
        <f t="shared" si="43"/>
        <v/>
      </c>
      <c r="W125" s="7" t="str">
        <f t="shared" si="44"/>
        <v/>
      </c>
      <c r="X125" s="7" t="str">
        <f t="shared" si="45"/>
        <v/>
      </c>
      <c r="Y125" s="7" t="str">
        <f t="shared" si="46"/>
        <v/>
      </c>
      <c r="Z125" s="7" t="str">
        <f t="shared" si="47"/>
        <v/>
      </c>
      <c r="AA125" s="7" t="str">
        <f t="shared" si="48"/>
        <v/>
      </c>
    </row>
    <row r="126" spans="3:27" x14ac:dyDescent="0.2">
      <c r="C126" s="5"/>
      <c r="P126" s="15" t="str">
        <f t="shared" si="49"/>
        <v/>
      </c>
      <c r="Q126" s="11" t="str">
        <f t="shared" si="50"/>
        <v/>
      </c>
      <c r="R126" s="7" t="str">
        <f t="shared" si="51"/>
        <v/>
      </c>
      <c r="S126" s="7" t="str">
        <f t="shared" si="40"/>
        <v/>
      </c>
      <c r="T126" s="7" t="str">
        <f t="shared" si="41"/>
        <v/>
      </c>
      <c r="U126" s="7" t="str">
        <f t="shared" si="42"/>
        <v/>
      </c>
      <c r="V126" s="7" t="str">
        <f t="shared" si="43"/>
        <v/>
      </c>
      <c r="W126" s="7" t="str">
        <f t="shared" si="44"/>
        <v/>
      </c>
      <c r="X126" s="7" t="str">
        <f t="shared" si="45"/>
        <v/>
      </c>
      <c r="Y126" s="7" t="str">
        <f t="shared" si="46"/>
        <v/>
      </c>
      <c r="Z126" s="7" t="str">
        <f t="shared" si="47"/>
        <v/>
      </c>
      <c r="AA126" s="7" t="str">
        <f t="shared" si="48"/>
        <v/>
      </c>
    </row>
    <row r="127" spans="3:27" x14ac:dyDescent="0.2">
      <c r="C127" s="5"/>
      <c r="P127" s="15" t="str">
        <f t="shared" si="49"/>
        <v/>
      </c>
      <c r="Q127" s="11" t="str">
        <f t="shared" si="50"/>
        <v/>
      </c>
      <c r="R127" s="7" t="str">
        <f t="shared" si="51"/>
        <v/>
      </c>
      <c r="S127" s="7" t="str">
        <f t="shared" si="40"/>
        <v/>
      </c>
      <c r="T127" s="7" t="str">
        <f t="shared" si="41"/>
        <v/>
      </c>
      <c r="U127" s="7" t="str">
        <f t="shared" si="42"/>
        <v/>
      </c>
      <c r="V127" s="7" t="str">
        <f t="shared" si="43"/>
        <v/>
      </c>
      <c r="W127" s="7" t="str">
        <f t="shared" si="44"/>
        <v/>
      </c>
      <c r="X127" s="7" t="str">
        <f t="shared" si="45"/>
        <v/>
      </c>
      <c r="Y127" s="7" t="str">
        <f t="shared" si="46"/>
        <v/>
      </c>
      <c r="Z127" s="7" t="str">
        <f t="shared" si="47"/>
        <v/>
      </c>
      <c r="AA127" s="7" t="str">
        <f t="shared" si="48"/>
        <v/>
      </c>
    </row>
    <row r="128" spans="3:27" x14ac:dyDescent="0.2">
      <c r="C128" s="5"/>
      <c r="P128" s="15" t="str">
        <f t="shared" si="49"/>
        <v/>
      </c>
      <c r="Q128" s="11" t="str">
        <f t="shared" si="50"/>
        <v/>
      </c>
      <c r="R128" s="7" t="str">
        <f t="shared" si="51"/>
        <v/>
      </c>
      <c r="S128" s="7" t="str">
        <f t="shared" si="40"/>
        <v/>
      </c>
      <c r="T128" s="7" t="str">
        <f t="shared" si="41"/>
        <v/>
      </c>
      <c r="U128" s="7" t="str">
        <f t="shared" si="42"/>
        <v/>
      </c>
      <c r="V128" s="7" t="str">
        <f t="shared" si="43"/>
        <v/>
      </c>
      <c r="W128" s="7" t="str">
        <f t="shared" si="44"/>
        <v/>
      </c>
      <c r="X128" s="7" t="str">
        <f t="shared" si="45"/>
        <v/>
      </c>
      <c r="Y128" s="7" t="str">
        <f t="shared" si="46"/>
        <v/>
      </c>
      <c r="Z128" s="7" t="str">
        <f t="shared" si="47"/>
        <v/>
      </c>
      <c r="AA128" s="7" t="str">
        <f t="shared" si="48"/>
        <v/>
      </c>
    </row>
    <row r="129" spans="3:27" x14ac:dyDescent="0.2">
      <c r="C129" s="5"/>
      <c r="P129" s="15" t="str">
        <f t="shared" si="49"/>
        <v/>
      </c>
      <c r="Q129" s="11" t="str">
        <f t="shared" si="50"/>
        <v/>
      </c>
      <c r="R129" s="7" t="str">
        <f t="shared" si="51"/>
        <v/>
      </c>
      <c r="S129" s="7" t="str">
        <f t="shared" si="40"/>
        <v/>
      </c>
      <c r="T129" s="7" t="str">
        <f t="shared" si="41"/>
        <v/>
      </c>
      <c r="U129" s="7" t="str">
        <f t="shared" si="42"/>
        <v/>
      </c>
      <c r="V129" s="7" t="str">
        <f t="shared" si="43"/>
        <v/>
      </c>
      <c r="W129" s="7" t="str">
        <f t="shared" si="44"/>
        <v/>
      </c>
      <c r="X129" s="7" t="str">
        <f t="shared" si="45"/>
        <v/>
      </c>
      <c r="Y129" s="7" t="str">
        <f t="shared" si="46"/>
        <v/>
      </c>
      <c r="Z129" s="7" t="str">
        <f t="shared" si="47"/>
        <v/>
      </c>
      <c r="AA129" s="7" t="str">
        <f t="shared" si="48"/>
        <v/>
      </c>
    </row>
    <row r="130" spans="3:27" x14ac:dyDescent="0.2">
      <c r="C130" s="5"/>
      <c r="P130" s="15" t="str">
        <f t="shared" si="49"/>
        <v/>
      </c>
      <c r="Q130" s="11" t="str">
        <f t="shared" si="50"/>
        <v/>
      </c>
      <c r="R130" s="7" t="str">
        <f t="shared" si="51"/>
        <v/>
      </c>
      <c r="S130" s="7" t="str">
        <f t="shared" si="40"/>
        <v/>
      </c>
      <c r="T130" s="7" t="str">
        <f t="shared" si="41"/>
        <v/>
      </c>
      <c r="U130" s="7" t="str">
        <f t="shared" si="42"/>
        <v/>
      </c>
      <c r="V130" s="7" t="str">
        <f t="shared" si="43"/>
        <v/>
      </c>
      <c r="W130" s="7" t="str">
        <f t="shared" si="44"/>
        <v/>
      </c>
      <c r="X130" s="7" t="str">
        <f t="shared" si="45"/>
        <v/>
      </c>
      <c r="Y130" s="7" t="str">
        <f t="shared" si="46"/>
        <v/>
      </c>
      <c r="Z130" s="7" t="str">
        <f t="shared" si="47"/>
        <v/>
      </c>
      <c r="AA130" s="7" t="str">
        <f t="shared" si="48"/>
        <v/>
      </c>
    </row>
    <row r="131" spans="3:27" x14ac:dyDescent="0.2">
      <c r="C131" s="5"/>
      <c r="P131" s="15" t="str">
        <f t="shared" si="49"/>
        <v/>
      </c>
      <c r="Q131" s="11" t="str">
        <f t="shared" si="50"/>
        <v/>
      </c>
      <c r="R131" s="7" t="str">
        <f t="shared" si="51"/>
        <v/>
      </c>
      <c r="S131" s="7" t="str">
        <f t="shared" si="40"/>
        <v/>
      </c>
      <c r="T131" s="7" t="str">
        <f t="shared" si="41"/>
        <v/>
      </c>
      <c r="U131" s="7" t="str">
        <f t="shared" si="42"/>
        <v/>
      </c>
      <c r="V131" s="7" t="str">
        <f t="shared" si="43"/>
        <v/>
      </c>
      <c r="W131" s="7" t="str">
        <f t="shared" si="44"/>
        <v/>
      </c>
      <c r="X131" s="7" t="str">
        <f t="shared" si="45"/>
        <v/>
      </c>
      <c r="Y131" s="7" t="str">
        <f t="shared" si="46"/>
        <v/>
      </c>
      <c r="Z131" s="7" t="str">
        <f t="shared" si="47"/>
        <v/>
      </c>
      <c r="AA131" s="7" t="str">
        <f t="shared" si="48"/>
        <v/>
      </c>
    </row>
    <row r="132" spans="3:27" x14ac:dyDescent="0.2">
      <c r="C132" s="5"/>
      <c r="P132" s="15" t="str">
        <f t="shared" si="49"/>
        <v/>
      </c>
      <c r="Q132" s="11" t="str">
        <f t="shared" si="50"/>
        <v/>
      </c>
      <c r="R132" s="7" t="str">
        <f t="shared" si="51"/>
        <v/>
      </c>
      <c r="S132" s="7" t="str">
        <f t="shared" si="40"/>
        <v/>
      </c>
      <c r="T132" s="7" t="str">
        <f t="shared" si="41"/>
        <v/>
      </c>
      <c r="U132" s="7" t="str">
        <f t="shared" si="42"/>
        <v/>
      </c>
      <c r="V132" s="7" t="str">
        <f t="shared" si="43"/>
        <v/>
      </c>
      <c r="W132" s="7" t="str">
        <f t="shared" si="44"/>
        <v/>
      </c>
      <c r="X132" s="7" t="str">
        <f t="shared" si="45"/>
        <v/>
      </c>
      <c r="Y132" s="7" t="str">
        <f t="shared" si="46"/>
        <v/>
      </c>
      <c r="Z132" s="7" t="str">
        <f t="shared" si="47"/>
        <v/>
      </c>
      <c r="AA132" s="7" t="str">
        <f t="shared" si="48"/>
        <v/>
      </c>
    </row>
    <row r="133" spans="3:27" x14ac:dyDescent="0.2">
      <c r="C133" s="5"/>
      <c r="P133" s="15" t="str">
        <f t="shared" si="49"/>
        <v/>
      </c>
      <c r="Q133" s="11" t="str">
        <f t="shared" si="50"/>
        <v/>
      </c>
      <c r="R133" s="7" t="str">
        <f t="shared" si="51"/>
        <v/>
      </c>
      <c r="S133" s="7" t="str">
        <f t="shared" si="40"/>
        <v/>
      </c>
      <c r="T133" s="7" t="str">
        <f t="shared" si="41"/>
        <v/>
      </c>
      <c r="U133" s="7" t="str">
        <f t="shared" si="42"/>
        <v/>
      </c>
      <c r="V133" s="7" t="str">
        <f t="shared" si="43"/>
        <v/>
      </c>
      <c r="W133" s="7" t="str">
        <f t="shared" si="44"/>
        <v/>
      </c>
      <c r="X133" s="7" t="str">
        <f t="shared" si="45"/>
        <v/>
      </c>
      <c r="Y133" s="7" t="str">
        <f t="shared" si="46"/>
        <v/>
      </c>
      <c r="Z133" s="7" t="str">
        <f t="shared" si="47"/>
        <v/>
      </c>
      <c r="AA133" s="7" t="str">
        <f t="shared" si="48"/>
        <v/>
      </c>
    </row>
    <row r="134" spans="3:27" x14ac:dyDescent="0.2">
      <c r="C134" s="5"/>
      <c r="P134" s="15" t="str">
        <f t="shared" si="49"/>
        <v/>
      </c>
      <c r="Q134" s="11" t="str">
        <f t="shared" si="50"/>
        <v/>
      </c>
      <c r="R134" s="7" t="str">
        <f t="shared" si="51"/>
        <v/>
      </c>
      <c r="S134" s="7" t="str">
        <f t="shared" si="40"/>
        <v/>
      </c>
      <c r="T134" s="7" t="str">
        <f t="shared" si="41"/>
        <v/>
      </c>
      <c r="U134" s="7" t="str">
        <f t="shared" si="42"/>
        <v/>
      </c>
      <c r="V134" s="7" t="str">
        <f t="shared" si="43"/>
        <v/>
      </c>
      <c r="W134" s="7" t="str">
        <f t="shared" si="44"/>
        <v/>
      </c>
      <c r="X134" s="7" t="str">
        <f t="shared" si="45"/>
        <v/>
      </c>
      <c r="Y134" s="7" t="str">
        <f t="shared" si="46"/>
        <v/>
      </c>
      <c r="Z134" s="7" t="str">
        <f t="shared" si="47"/>
        <v/>
      </c>
      <c r="AA134" s="7" t="str">
        <f t="shared" si="48"/>
        <v/>
      </c>
    </row>
    <row r="135" spans="3:27" x14ac:dyDescent="0.2">
      <c r="C135" s="5"/>
      <c r="P135" s="15" t="str">
        <f t="shared" si="49"/>
        <v/>
      </c>
      <c r="Q135" s="11" t="str">
        <f t="shared" si="50"/>
        <v/>
      </c>
      <c r="R135" s="7" t="str">
        <f t="shared" si="51"/>
        <v/>
      </c>
      <c r="S135" s="7" t="str">
        <f t="shared" ref="S135:S198" si="52">IF(LEN(F135)&gt;0,F135/S$4,"")</f>
        <v/>
      </c>
      <c r="T135" s="7" t="str">
        <f t="shared" ref="T135:T198" si="53">IF(LEN(G135)&gt;0,G135/T$4,"")</f>
        <v/>
      </c>
      <c r="U135" s="7" t="str">
        <f t="shared" ref="U135:U198" si="54">IF(LEN(H135)&gt;0,H135/U$4,"")</f>
        <v/>
      </c>
      <c r="V135" s="7" t="str">
        <f t="shared" ref="V135:V198" si="55">IF(LEN(I135)&gt;0,I135/V$4,"")</f>
        <v/>
      </c>
      <c r="W135" s="7" t="str">
        <f t="shared" ref="W135:W198" si="56">IF(LEN(J135)&gt;0,J135/W$4,"")</f>
        <v/>
      </c>
      <c r="X135" s="7" t="str">
        <f t="shared" ref="X135:X198" si="57">IF(LEN(K135)&gt;0,K135/X$4,"")</f>
        <v/>
      </c>
      <c r="Y135" s="7" t="str">
        <f t="shared" ref="Y135:Y198" si="58">IF(LEN(L135)&gt;0,L135/Y$4,"")</f>
        <v/>
      </c>
      <c r="Z135" s="7" t="str">
        <f t="shared" ref="Z135:Z198" si="59">IF(LEN(M135)&gt;0,M135/Z$4,"")</f>
        <v/>
      </c>
      <c r="AA135" s="7" t="str">
        <f t="shared" ref="AA135:AA198" si="60">IF(LEN(N135)&gt;0,N135/AA$4,"")</f>
        <v/>
      </c>
    </row>
    <row r="136" spans="3:27" x14ac:dyDescent="0.2">
      <c r="C136" s="5"/>
      <c r="P136" s="15" t="str">
        <f t="shared" ref="P136:P199" si="61">IF(LEN(E136)&gt;0,INT(SUM(E136:N136,0.5)),"")</f>
        <v/>
      </c>
      <c r="Q136" s="11" t="str">
        <f t="shared" ref="Q136:Q199" si="62">IF(LEN(E136)&gt;0,SUMPRODUCT(R136:AA136,$R$5:$AA$5)/SUM(R136:AA136),"")</f>
        <v/>
      </c>
      <c r="R136" s="7" t="str">
        <f t="shared" ref="R136:R199" si="63">IF(LEN(E136)&gt;0,E136/R$4,"")</f>
        <v/>
      </c>
      <c r="S136" s="7" t="str">
        <f t="shared" si="52"/>
        <v/>
      </c>
      <c r="T136" s="7" t="str">
        <f t="shared" si="53"/>
        <v/>
      </c>
      <c r="U136" s="7" t="str">
        <f t="shared" si="54"/>
        <v/>
      </c>
      <c r="V136" s="7" t="str">
        <f t="shared" si="55"/>
        <v/>
      </c>
      <c r="W136" s="7" t="str">
        <f t="shared" si="56"/>
        <v/>
      </c>
      <c r="X136" s="7" t="str">
        <f t="shared" si="57"/>
        <v/>
      </c>
      <c r="Y136" s="7" t="str">
        <f t="shared" si="58"/>
        <v/>
      </c>
      <c r="Z136" s="7" t="str">
        <f t="shared" si="59"/>
        <v/>
      </c>
      <c r="AA136" s="7" t="str">
        <f t="shared" si="60"/>
        <v/>
      </c>
    </row>
    <row r="137" spans="3:27" x14ac:dyDescent="0.2">
      <c r="C137" s="5"/>
      <c r="P137" s="15" t="str">
        <f t="shared" si="61"/>
        <v/>
      </c>
      <c r="Q137" s="11" t="str">
        <f t="shared" si="62"/>
        <v/>
      </c>
      <c r="R137" s="7" t="str">
        <f t="shared" si="63"/>
        <v/>
      </c>
      <c r="S137" s="7" t="str">
        <f t="shared" si="52"/>
        <v/>
      </c>
      <c r="T137" s="7" t="str">
        <f t="shared" si="53"/>
        <v/>
      </c>
      <c r="U137" s="7" t="str">
        <f t="shared" si="54"/>
        <v/>
      </c>
      <c r="V137" s="7" t="str">
        <f t="shared" si="55"/>
        <v/>
      </c>
      <c r="W137" s="7" t="str">
        <f t="shared" si="56"/>
        <v/>
      </c>
      <c r="X137" s="7" t="str">
        <f t="shared" si="57"/>
        <v/>
      </c>
      <c r="Y137" s="7" t="str">
        <f t="shared" si="58"/>
        <v/>
      </c>
      <c r="Z137" s="7" t="str">
        <f t="shared" si="59"/>
        <v/>
      </c>
      <c r="AA137" s="7" t="str">
        <f t="shared" si="60"/>
        <v/>
      </c>
    </row>
    <row r="138" spans="3:27" x14ac:dyDescent="0.2">
      <c r="C138" s="5"/>
      <c r="P138" s="15" t="str">
        <f t="shared" si="61"/>
        <v/>
      </c>
      <c r="Q138" s="11" t="str">
        <f t="shared" si="62"/>
        <v/>
      </c>
      <c r="R138" s="7" t="str">
        <f t="shared" si="63"/>
        <v/>
      </c>
      <c r="S138" s="7" t="str">
        <f t="shared" si="52"/>
        <v/>
      </c>
      <c r="T138" s="7" t="str">
        <f t="shared" si="53"/>
        <v/>
      </c>
      <c r="U138" s="7" t="str">
        <f t="shared" si="54"/>
        <v/>
      </c>
      <c r="V138" s="7" t="str">
        <f t="shared" si="55"/>
        <v/>
      </c>
      <c r="W138" s="7" t="str">
        <f t="shared" si="56"/>
        <v/>
      </c>
      <c r="X138" s="7" t="str">
        <f t="shared" si="57"/>
        <v/>
      </c>
      <c r="Y138" s="7" t="str">
        <f t="shared" si="58"/>
        <v/>
      </c>
      <c r="Z138" s="7" t="str">
        <f t="shared" si="59"/>
        <v/>
      </c>
      <c r="AA138" s="7" t="str">
        <f t="shared" si="60"/>
        <v/>
      </c>
    </row>
    <row r="139" spans="3:27" x14ac:dyDescent="0.2">
      <c r="C139" s="5"/>
      <c r="P139" s="15" t="str">
        <f t="shared" si="61"/>
        <v/>
      </c>
      <c r="Q139" s="11" t="str">
        <f t="shared" si="62"/>
        <v/>
      </c>
      <c r="R139" s="7" t="str">
        <f t="shared" si="63"/>
        <v/>
      </c>
      <c r="S139" s="7" t="str">
        <f t="shared" si="52"/>
        <v/>
      </c>
      <c r="T139" s="7" t="str">
        <f t="shared" si="53"/>
        <v/>
      </c>
      <c r="U139" s="7" t="str">
        <f t="shared" si="54"/>
        <v/>
      </c>
      <c r="V139" s="7" t="str">
        <f t="shared" si="55"/>
        <v/>
      </c>
      <c r="W139" s="7" t="str">
        <f t="shared" si="56"/>
        <v/>
      </c>
      <c r="X139" s="7" t="str">
        <f t="shared" si="57"/>
        <v/>
      </c>
      <c r="Y139" s="7" t="str">
        <f t="shared" si="58"/>
        <v/>
      </c>
      <c r="Z139" s="7" t="str">
        <f t="shared" si="59"/>
        <v/>
      </c>
      <c r="AA139" s="7" t="str">
        <f t="shared" si="60"/>
        <v/>
      </c>
    </row>
    <row r="140" spans="3:27" x14ac:dyDescent="0.2">
      <c r="C140" s="5"/>
      <c r="P140" s="15" t="str">
        <f t="shared" si="61"/>
        <v/>
      </c>
      <c r="Q140" s="11" t="str">
        <f t="shared" si="62"/>
        <v/>
      </c>
      <c r="R140" s="7" t="str">
        <f t="shared" si="63"/>
        <v/>
      </c>
      <c r="S140" s="7" t="str">
        <f t="shared" si="52"/>
        <v/>
      </c>
      <c r="T140" s="7" t="str">
        <f t="shared" si="53"/>
        <v/>
      </c>
      <c r="U140" s="7" t="str">
        <f t="shared" si="54"/>
        <v/>
      </c>
      <c r="V140" s="7" t="str">
        <f t="shared" si="55"/>
        <v/>
      </c>
      <c r="W140" s="7" t="str">
        <f t="shared" si="56"/>
        <v/>
      </c>
      <c r="X140" s="7" t="str">
        <f t="shared" si="57"/>
        <v/>
      </c>
      <c r="Y140" s="7" t="str">
        <f t="shared" si="58"/>
        <v/>
      </c>
      <c r="Z140" s="7" t="str">
        <f t="shared" si="59"/>
        <v/>
      </c>
      <c r="AA140" s="7" t="str">
        <f t="shared" si="60"/>
        <v/>
      </c>
    </row>
    <row r="141" spans="3:27" x14ac:dyDescent="0.2">
      <c r="C141" s="5"/>
      <c r="P141" s="15" t="str">
        <f t="shared" si="61"/>
        <v/>
      </c>
      <c r="Q141" s="11" t="str">
        <f t="shared" si="62"/>
        <v/>
      </c>
      <c r="R141" s="7" t="str">
        <f t="shared" si="63"/>
        <v/>
      </c>
      <c r="S141" s="7" t="str">
        <f t="shared" si="52"/>
        <v/>
      </c>
      <c r="T141" s="7" t="str">
        <f t="shared" si="53"/>
        <v/>
      </c>
      <c r="U141" s="7" t="str">
        <f t="shared" si="54"/>
        <v/>
      </c>
      <c r="V141" s="7" t="str">
        <f t="shared" si="55"/>
        <v/>
      </c>
      <c r="W141" s="7" t="str">
        <f t="shared" si="56"/>
        <v/>
      </c>
      <c r="X141" s="7" t="str">
        <f t="shared" si="57"/>
        <v/>
      </c>
      <c r="Y141" s="7" t="str">
        <f t="shared" si="58"/>
        <v/>
      </c>
      <c r="Z141" s="7" t="str">
        <f t="shared" si="59"/>
        <v/>
      </c>
      <c r="AA141" s="7" t="str">
        <f t="shared" si="60"/>
        <v/>
      </c>
    </row>
    <row r="142" spans="3:27" x14ac:dyDescent="0.2">
      <c r="C142" s="5"/>
      <c r="P142" s="15" t="str">
        <f t="shared" si="61"/>
        <v/>
      </c>
      <c r="Q142" s="11" t="str">
        <f t="shared" si="62"/>
        <v/>
      </c>
      <c r="R142" s="7" t="str">
        <f t="shared" si="63"/>
        <v/>
      </c>
      <c r="S142" s="7" t="str">
        <f t="shared" si="52"/>
        <v/>
      </c>
      <c r="T142" s="7" t="str">
        <f t="shared" si="53"/>
        <v/>
      </c>
      <c r="U142" s="7" t="str">
        <f t="shared" si="54"/>
        <v/>
      </c>
      <c r="V142" s="7" t="str">
        <f t="shared" si="55"/>
        <v/>
      </c>
      <c r="W142" s="7" t="str">
        <f t="shared" si="56"/>
        <v/>
      </c>
      <c r="X142" s="7" t="str">
        <f t="shared" si="57"/>
        <v/>
      </c>
      <c r="Y142" s="7" t="str">
        <f t="shared" si="58"/>
        <v/>
      </c>
      <c r="Z142" s="7" t="str">
        <f t="shared" si="59"/>
        <v/>
      </c>
      <c r="AA142" s="7" t="str">
        <f t="shared" si="60"/>
        <v/>
      </c>
    </row>
    <row r="143" spans="3:27" x14ac:dyDescent="0.2">
      <c r="C143" s="5"/>
      <c r="P143" s="15" t="str">
        <f t="shared" si="61"/>
        <v/>
      </c>
      <c r="Q143" s="11" t="str">
        <f t="shared" si="62"/>
        <v/>
      </c>
      <c r="R143" s="7" t="str">
        <f t="shared" si="63"/>
        <v/>
      </c>
      <c r="S143" s="7" t="str">
        <f t="shared" si="52"/>
        <v/>
      </c>
      <c r="T143" s="7" t="str">
        <f t="shared" si="53"/>
        <v/>
      </c>
      <c r="U143" s="7" t="str">
        <f t="shared" si="54"/>
        <v/>
      </c>
      <c r="V143" s="7" t="str">
        <f t="shared" si="55"/>
        <v/>
      </c>
      <c r="W143" s="7" t="str">
        <f t="shared" si="56"/>
        <v/>
      </c>
      <c r="X143" s="7" t="str">
        <f t="shared" si="57"/>
        <v/>
      </c>
      <c r="Y143" s="7" t="str">
        <f t="shared" si="58"/>
        <v/>
      </c>
      <c r="Z143" s="7" t="str">
        <f t="shared" si="59"/>
        <v/>
      </c>
      <c r="AA143" s="7" t="str">
        <f t="shared" si="60"/>
        <v/>
      </c>
    </row>
    <row r="144" spans="3:27" x14ac:dyDescent="0.2">
      <c r="C144" s="5"/>
      <c r="P144" s="15" t="str">
        <f t="shared" si="61"/>
        <v/>
      </c>
      <c r="Q144" s="11" t="str">
        <f t="shared" si="62"/>
        <v/>
      </c>
      <c r="R144" s="7" t="str">
        <f t="shared" si="63"/>
        <v/>
      </c>
      <c r="S144" s="7" t="str">
        <f t="shared" si="52"/>
        <v/>
      </c>
      <c r="T144" s="7" t="str">
        <f t="shared" si="53"/>
        <v/>
      </c>
      <c r="U144" s="7" t="str">
        <f t="shared" si="54"/>
        <v/>
      </c>
      <c r="V144" s="7" t="str">
        <f t="shared" si="55"/>
        <v/>
      </c>
      <c r="W144" s="7" t="str">
        <f t="shared" si="56"/>
        <v/>
      </c>
      <c r="X144" s="7" t="str">
        <f t="shared" si="57"/>
        <v/>
      </c>
      <c r="Y144" s="7" t="str">
        <f t="shared" si="58"/>
        <v/>
      </c>
      <c r="Z144" s="7" t="str">
        <f t="shared" si="59"/>
        <v/>
      </c>
      <c r="AA144" s="7" t="str">
        <f t="shared" si="60"/>
        <v/>
      </c>
    </row>
    <row r="145" spans="3:27" x14ac:dyDescent="0.2">
      <c r="C145" s="5"/>
      <c r="P145" s="15" t="str">
        <f t="shared" si="61"/>
        <v/>
      </c>
      <c r="Q145" s="11" t="str">
        <f t="shared" si="62"/>
        <v/>
      </c>
      <c r="R145" s="7" t="str">
        <f t="shared" si="63"/>
        <v/>
      </c>
      <c r="S145" s="7" t="str">
        <f t="shared" si="52"/>
        <v/>
      </c>
      <c r="T145" s="7" t="str">
        <f t="shared" si="53"/>
        <v/>
      </c>
      <c r="U145" s="7" t="str">
        <f t="shared" si="54"/>
        <v/>
      </c>
      <c r="V145" s="7" t="str">
        <f t="shared" si="55"/>
        <v/>
      </c>
      <c r="W145" s="7" t="str">
        <f t="shared" si="56"/>
        <v/>
      </c>
      <c r="X145" s="7" t="str">
        <f t="shared" si="57"/>
        <v/>
      </c>
      <c r="Y145" s="7" t="str">
        <f t="shared" si="58"/>
        <v/>
      </c>
      <c r="Z145" s="7" t="str">
        <f t="shared" si="59"/>
        <v/>
      </c>
      <c r="AA145" s="7" t="str">
        <f t="shared" si="60"/>
        <v/>
      </c>
    </row>
    <row r="146" spans="3:27" x14ac:dyDescent="0.2">
      <c r="C146" s="5"/>
      <c r="P146" s="15" t="str">
        <f t="shared" si="61"/>
        <v/>
      </c>
      <c r="Q146" s="11" t="str">
        <f t="shared" si="62"/>
        <v/>
      </c>
      <c r="R146" s="7" t="str">
        <f t="shared" si="63"/>
        <v/>
      </c>
      <c r="S146" s="7" t="str">
        <f t="shared" si="52"/>
        <v/>
      </c>
      <c r="T146" s="7" t="str">
        <f t="shared" si="53"/>
        <v/>
      </c>
      <c r="U146" s="7" t="str">
        <f t="shared" si="54"/>
        <v/>
      </c>
      <c r="V146" s="7" t="str">
        <f t="shared" si="55"/>
        <v/>
      </c>
      <c r="W146" s="7" t="str">
        <f t="shared" si="56"/>
        <v/>
      </c>
      <c r="X146" s="7" t="str">
        <f t="shared" si="57"/>
        <v/>
      </c>
      <c r="Y146" s="7" t="str">
        <f t="shared" si="58"/>
        <v/>
      </c>
      <c r="Z146" s="7" t="str">
        <f t="shared" si="59"/>
        <v/>
      </c>
      <c r="AA146" s="7" t="str">
        <f t="shared" si="60"/>
        <v/>
      </c>
    </row>
    <row r="147" spans="3:27" x14ac:dyDescent="0.2">
      <c r="C147" s="5"/>
      <c r="P147" s="15" t="str">
        <f t="shared" si="61"/>
        <v/>
      </c>
      <c r="Q147" s="11" t="str">
        <f t="shared" si="62"/>
        <v/>
      </c>
      <c r="R147" s="7" t="str">
        <f t="shared" si="63"/>
        <v/>
      </c>
      <c r="S147" s="7" t="str">
        <f t="shared" si="52"/>
        <v/>
      </c>
      <c r="T147" s="7" t="str">
        <f t="shared" si="53"/>
        <v/>
      </c>
      <c r="U147" s="7" t="str">
        <f t="shared" si="54"/>
        <v/>
      </c>
      <c r="V147" s="7" t="str">
        <f t="shared" si="55"/>
        <v/>
      </c>
      <c r="W147" s="7" t="str">
        <f t="shared" si="56"/>
        <v/>
      </c>
      <c r="X147" s="7" t="str">
        <f t="shared" si="57"/>
        <v/>
      </c>
      <c r="Y147" s="7" t="str">
        <f t="shared" si="58"/>
        <v/>
      </c>
      <c r="Z147" s="7" t="str">
        <f t="shared" si="59"/>
        <v/>
      </c>
      <c r="AA147" s="7" t="str">
        <f t="shared" si="60"/>
        <v/>
      </c>
    </row>
    <row r="148" spans="3:27" x14ac:dyDescent="0.2">
      <c r="C148" s="5"/>
      <c r="P148" s="15" t="str">
        <f t="shared" si="61"/>
        <v/>
      </c>
      <c r="Q148" s="11" t="str">
        <f t="shared" si="62"/>
        <v/>
      </c>
      <c r="R148" s="7" t="str">
        <f t="shared" si="63"/>
        <v/>
      </c>
      <c r="S148" s="7" t="str">
        <f t="shared" si="52"/>
        <v/>
      </c>
      <c r="T148" s="7" t="str">
        <f t="shared" si="53"/>
        <v/>
      </c>
      <c r="U148" s="7" t="str">
        <f t="shared" si="54"/>
        <v/>
      </c>
      <c r="V148" s="7" t="str">
        <f t="shared" si="55"/>
        <v/>
      </c>
      <c r="W148" s="7" t="str">
        <f t="shared" si="56"/>
        <v/>
      </c>
      <c r="X148" s="7" t="str">
        <f t="shared" si="57"/>
        <v/>
      </c>
      <c r="Y148" s="7" t="str">
        <f t="shared" si="58"/>
        <v/>
      </c>
      <c r="Z148" s="7" t="str">
        <f t="shared" si="59"/>
        <v/>
      </c>
      <c r="AA148" s="7" t="str">
        <f t="shared" si="60"/>
        <v/>
      </c>
    </row>
    <row r="149" spans="3:27" x14ac:dyDescent="0.2">
      <c r="C149" s="5"/>
      <c r="P149" s="15" t="str">
        <f t="shared" si="61"/>
        <v/>
      </c>
      <c r="Q149" s="11" t="str">
        <f t="shared" si="62"/>
        <v/>
      </c>
      <c r="R149" s="7" t="str">
        <f t="shared" si="63"/>
        <v/>
      </c>
      <c r="S149" s="7" t="str">
        <f t="shared" si="52"/>
        <v/>
      </c>
      <c r="T149" s="7" t="str">
        <f t="shared" si="53"/>
        <v/>
      </c>
      <c r="U149" s="7" t="str">
        <f t="shared" si="54"/>
        <v/>
      </c>
      <c r="V149" s="7" t="str">
        <f t="shared" si="55"/>
        <v/>
      </c>
      <c r="W149" s="7" t="str">
        <f t="shared" si="56"/>
        <v/>
      </c>
      <c r="X149" s="7" t="str">
        <f t="shared" si="57"/>
        <v/>
      </c>
      <c r="Y149" s="7" t="str">
        <f t="shared" si="58"/>
        <v/>
      </c>
      <c r="Z149" s="7" t="str">
        <f t="shared" si="59"/>
        <v/>
      </c>
      <c r="AA149" s="7" t="str">
        <f t="shared" si="60"/>
        <v/>
      </c>
    </row>
    <row r="150" spans="3:27" x14ac:dyDescent="0.2">
      <c r="C150" s="5"/>
      <c r="P150" s="15" t="str">
        <f t="shared" si="61"/>
        <v/>
      </c>
      <c r="Q150" s="11" t="str">
        <f t="shared" si="62"/>
        <v/>
      </c>
      <c r="R150" s="7" t="str">
        <f t="shared" si="63"/>
        <v/>
      </c>
      <c r="S150" s="7" t="str">
        <f t="shared" si="52"/>
        <v/>
      </c>
      <c r="T150" s="7" t="str">
        <f t="shared" si="53"/>
        <v/>
      </c>
      <c r="U150" s="7" t="str">
        <f t="shared" si="54"/>
        <v/>
      </c>
      <c r="V150" s="7" t="str">
        <f t="shared" si="55"/>
        <v/>
      </c>
      <c r="W150" s="7" t="str">
        <f t="shared" si="56"/>
        <v/>
      </c>
      <c r="X150" s="7" t="str">
        <f t="shared" si="57"/>
        <v/>
      </c>
      <c r="Y150" s="7" t="str">
        <f t="shared" si="58"/>
        <v/>
      </c>
      <c r="Z150" s="7" t="str">
        <f t="shared" si="59"/>
        <v/>
      </c>
      <c r="AA150" s="7" t="str">
        <f t="shared" si="60"/>
        <v/>
      </c>
    </row>
    <row r="151" spans="3:27" x14ac:dyDescent="0.2">
      <c r="C151" s="5"/>
      <c r="P151" s="15" t="str">
        <f t="shared" si="61"/>
        <v/>
      </c>
      <c r="Q151" s="11" t="str">
        <f t="shared" si="62"/>
        <v/>
      </c>
      <c r="R151" s="7" t="str">
        <f t="shared" si="63"/>
        <v/>
      </c>
      <c r="S151" s="7" t="str">
        <f t="shared" si="52"/>
        <v/>
      </c>
      <c r="T151" s="7" t="str">
        <f t="shared" si="53"/>
        <v/>
      </c>
      <c r="U151" s="7" t="str">
        <f t="shared" si="54"/>
        <v/>
      </c>
      <c r="V151" s="7" t="str">
        <f t="shared" si="55"/>
        <v/>
      </c>
      <c r="W151" s="7" t="str">
        <f t="shared" si="56"/>
        <v/>
      </c>
      <c r="X151" s="7" t="str">
        <f t="shared" si="57"/>
        <v/>
      </c>
      <c r="Y151" s="7" t="str">
        <f t="shared" si="58"/>
        <v/>
      </c>
      <c r="Z151" s="7" t="str">
        <f t="shared" si="59"/>
        <v/>
      </c>
      <c r="AA151" s="7" t="str">
        <f t="shared" si="60"/>
        <v/>
      </c>
    </row>
    <row r="152" spans="3:27" x14ac:dyDescent="0.2">
      <c r="C152" s="5"/>
      <c r="P152" s="15" t="str">
        <f t="shared" si="61"/>
        <v/>
      </c>
      <c r="Q152" s="11" t="str">
        <f t="shared" si="62"/>
        <v/>
      </c>
      <c r="R152" s="7" t="str">
        <f t="shared" si="63"/>
        <v/>
      </c>
      <c r="S152" s="7" t="str">
        <f t="shared" si="52"/>
        <v/>
      </c>
      <c r="T152" s="7" t="str">
        <f t="shared" si="53"/>
        <v/>
      </c>
      <c r="U152" s="7" t="str">
        <f t="shared" si="54"/>
        <v/>
      </c>
      <c r="V152" s="7" t="str">
        <f t="shared" si="55"/>
        <v/>
      </c>
      <c r="W152" s="7" t="str">
        <f t="shared" si="56"/>
        <v/>
      </c>
      <c r="X152" s="7" t="str">
        <f t="shared" si="57"/>
        <v/>
      </c>
      <c r="Y152" s="7" t="str">
        <f t="shared" si="58"/>
        <v/>
      </c>
      <c r="Z152" s="7" t="str">
        <f t="shared" si="59"/>
        <v/>
      </c>
      <c r="AA152" s="7" t="str">
        <f t="shared" si="60"/>
        <v/>
      </c>
    </row>
    <row r="153" spans="3:27" x14ac:dyDescent="0.2">
      <c r="C153" s="5"/>
      <c r="P153" s="15" t="str">
        <f t="shared" si="61"/>
        <v/>
      </c>
      <c r="Q153" s="11" t="str">
        <f t="shared" si="62"/>
        <v/>
      </c>
      <c r="R153" s="7" t="str">
        <f t="shared" si="63"/>
        <v/>
      </c>
      <c r="S153" s="7" t="str">
        <f t="shared" si="52"/>
        <v/>
      </c>
      <c r="T153" s="7" t="str">
        <f t="shared" si="53"/>
        <v/>
      </c>
      <c r="U153" s="7" t="str">
        <f t="shared" si="54"/>
        <v/>
      </c>
      <c r="V153" s="7" t="str">
        <f t="shared" si="55"/>
        <v/>
      </c>
      <c r="W153" s="7" t="str">
        <f t="shared" si="56"/>
        <v/>
      </c>
      <c r="X153" s="7" t="str">
        <f t="shared" si="57"/>
        <v/>
      </c>
      <c r="Y153" s="7" t="str">
        <f t="shared" si="58"/>
        <v/>
      </c>
      <c r="Z153" s="7" t="str">
        <f t="shared" si="59"/>
        <v/>
      </c>
      <c r="AA153" s="7" t="str">
        <f t="shared" si="60"/>
        <v/>
      </c>
    </row>
    <row r="154" spans="3:27" x14ac:dyDescent="0.2">
      <c r="C154" s="5"/>
      <c r="P154" s="15" t="str">
        <f t="shared" si="61"/>
        <v/>
      </c>
      <c r="Q154" s="11" t="str">
        <f t="shared" si="62"/>
        <v/>
      </c>
      <c r="R154" s="7" t="str">
        <f t="shared" si="63"/>
        <v/>
      </c>
      <c r="S154" s="7" t="str">
        <f t="shared" si="52"/>
        <v/>
      </c>
      <c r="T154" s="7" t="str">
        <f t="shared" si="53"/>
        <v/>
      </c>
      <c r="U154" s="7" t="str">
        <f t="shared" si="54"/>
        <v/>
      </c>
      <c r="V154" s="7" t="str">
        <f t="shared" si="55"/>
        <v/>
      </c>
      <c r="W154" s="7" t="str">
        <f t="shared" si="56"/>
        <v/>
      </c>
      <c r="X154" s="7" t="str">
        <f t="shared" si="57"/>
        <v/>
      </c>
      <c r="Y154" s="7" t="str">
        <f t="shared" si="58"/>
        <v/>
      </c>
      <c r="Z154" s="7" t="str">
        <f t="shared" si="59"/>
        <v/>
      </c>
      <c r="AA154" s="7" t="str">
        <f t="shared" si="60"/>
        <v/>
      </c>
    </row>
    <row r="155" spans="3:27" x14ac:dyDescent="0.2">
      <c r="C155" s="5"/>
      <c r="P155" s="15" t="str">
        <f t="shared" si="61"/>
        <v/>
      </c>
      <c r="Q155" s="11" t="str">
        <f t="shared" si="62"/>
        <v/>
      </c>
      <c r="R155" s="7" t="str">
        <f t="shared" si="63"/>
        <v/>
      </c>
      <c r="S155" s="7" t="str">
        <f t="shared" si="52"/>
        <v/>
      </c>
      <c r="T155" s="7" t="str">
        <f t="shared" si="53"/>
        <v/>
      </c>
      <c r="U155" s="7" t="str">
        <f t="shared" si="54"/>
        <v/>
      </c>
      <c r="V155" s="7" t="str">
        <f t="shared" si="55"/>
        <v/>
      </c>
      <c r="W155" s="7" t="str">
        <f t="shared" si="56"/>
        <v/>
      </c>
      <c r="X155" s="7" t="str">
        <f t="shared" si="57"/>
        <v/>
      </c>
      <c r="Y155" s="7" t="str">
        <f t="shared" si="58"/>
        <v/>
      </c>
      <c r="Z155" s="7" t="str">
        <f t="shared" si="59"/>
        <v/>
      </c>
      <c r="AA155" s="7" t="str">
        <f t="shared" si="60"/>
        <v/>
      </c>
    </row>
    <row r="156" spans="3:27" x14ac:dyDescent="0.2">
      <c r="C156" s="5"/>
      <c r="P156" s="15" t="str">
        <f t="shared" si="61"/>
        <v/>
      </c>
      <c r="Q156" s="11" t="str">
        <f t="shared" si="62"/>
        <v/>
      </c>
      <c r="R156" s="7" t="str">
        <f t="shared" si="63"/>
        <v/>
      </c>
      <c r="S156" s="7" t="str">
        <f t="shared" si="52"/>
        <v/>
      </c>
      <c r="T156" s="7" t="str">
        <f t="shared" si="53"/>
        <v/>
      </c>
      <c r="U156" s="7" t="str">
        <f t="shared" si="54"/>
        <v/>
      </c>
      <c r="V156" s="7" t="str">
        <f t="shared" si="55"/>
        <v/>
      </c>
      <c r="W156" s="7" t="str">
        <f t="shared" si="56"/>
        <v/>
      </c>
      <c r="X156" s="7" t="str">
        <f t="shared" si="57"/>
        <v/>
      </c>
      <c r="Y156" s="7" t="str">
        <f t="shared" si="58"/>
        <v/>
      </c>
      <c r="Z156" s="7" t="str">
        <f t="shared" si="59"/>
        <v/>
      </c>
      <c r="AA156" s="7" t="str">
        <f t="shared" si="60"/>
        <v/>
      </c>
    </row>
    <row r="157" spans="3:27" x14ac:dyDescent="0.2">
      <c r="C157" s="5"/>
      <c r="P157" s="15" t="str">
        <f t="shared" si="61"/>
        <v/>
      </c>
      <c r="Q157" s="11" t="str">
        <f t="shared" si="62"/>
        <v/>
      </c>
      <c r="R157" s="7" t="str">
        <f t="shared" si="63"/>
        <v/>
      </c>
      <c r="S157" s="7" t="str">
        <f t="shared" si="52"/>
        <v/>
      </c>
      <c r="T157" s="7" t="str">
        <f t="shared" si="53"/>
        <v/>
      </c>
      <c r="U157" s="7" t="str">
        <f t="shared" si="54"/>
        <v/>
      </c>
      <c r="V157" s="7" t="str">
        <f t="shared" si="55"/>
        <v/>
      </c>
      <c r="W157" s="7" t="str">
        <f t="shared" si="56"/>
        <v/>
      </c>
      <c r="X157" s="7" t="str">
        <f t="shared" si="57"/>
        <v/>
      </c>
      <c r="Y157" s="7" t="str">
        <f t="shared" si="58"/>
        <v/>
      </c>
      <c r="Z157" s="7" t="str">
        <f t="shared" si="59"/>
        <v/>
      </c>
      <c r="AA157" s="7" t="str">
        <f t="shared" si="60"/>
        <v/>
      </c>
    </row>
    <row r="158" spans="3:27" x14ac:dyDescent="0.2">
      <c r="C158" s="5"/>
      <c r="P158" s="15" t="str">
        <f t="shared" si="61"/>
        <v/>
      </c>
      <c r="Q158" s="11" t="str">
        <f t="shared" si="62"/>
        <v/>
      </c>
      <c r="R158" s="7" t="str">
        <f t="shared" si="63"/>
        <v/>
      </c>
      <c r="S158" s="7" t="str">
        <f t="shared" si="52"/>
        <v/>
      </c>
      <c r="T158" s="7" t="str">
        <f t="shared" si="53"/>
        <v/>
      </c>
      <c r="U158" s="7" t="str">
        <f t="shared" si="54"/>
        <v/>
      </c>
      <c r="V158" s="7" t="str">
        <f t="shared" si="55"/>
        <v/>
      </c>
      <c r="W158" s="7" t="str">
        <f t="shared" si="56"/>
        <v/>
      </c>
      <c r="X158" s="7" t="str">
        <f t="shared" si="57"/>
        <v/>
      </c>
      <c r="Y158" s="7" t="str">
        <f t="shared" si="58"/>
        <v/>
      </c>
      <c r="Z158" s="7" t="str">
        <f t="shared" si="59"/>
        <v/>
      </c>
      <c r="AA158" s="7" t="str">
        <f t="shared" si="60"/>
        <v/>
      </c>
    </row>
    <row r="159" spans="3:27" x14ac:dyDescent="0.2">
      <c r="C159" s="5"/>
      <c r="P159" s="15" t="str">
        <f t="shared" si="61"/>
        <v/>
      </c>
      <c r="Q159" s="11" t="str">
        <f t="shared" si="62"/>
        <v/>
      </c>
      <c r="R159" s="7" t="str">
        <f t="shared" si="63"/>
        <v/>
      </c>
      <c r="S159" s="7" t="str">
        <f t="shared" si="52"/>
        <v/>
      </c>
      <c r="T159" s="7" t="str">
        <f t="shared" si="53"/>
        <v/>
      </c>
      <c r="U159" s="7" t="str">
        <f t="shared" si="54"/>
        <v/>
      </c>
      <c r="V159" s="7" t="str">
        <f t="shared" si="55"/>
        <v/>
      </c>
      <c r="W159" s="7" t="str">
        <f t="shared" si="56"/>
        <v/>
      </c>
      <c r="X159" s="7" t="str">
        <f t="shared" si="57"/>
        <v/>
      </c>
      <c r="Y159" s="7" t="str">
        <f t="shared" si="58"/>
        <v/>
      </c>
      <c r="Z159" s="7" t="str">
        <f t="shared" si="59"/>
        <v/>
      </c>
      <c r="AA159" s="7" t="str">
        <f t="shared" si="60"/>
        <v/>
      </c>
    </row>
    <row r="160" spans="3:27" x14ac:dyDescent="0.2">
      <c r="C160" s="5"/>
      <c r="P160" s="15" t="str">
        <f t="shared" si="61"/>
        <v/>
      </c>
      <c r="Q160" s="11" t="str">
        <f t="shared" si="62"/>
        <v/>
      </c>
      <c r="R160" s="7" t="str">
        <f t="shared" si="63"/>
        <v/>
      </c>
      <c r="S160" s="7" t="str">
        <f t="shared" si="52"/>
        <v/>
      </c>
      <c r="T160" s="7" t="str">
        <f t="shared" si="53"/>
        <v/>
      </c>
      <c r="U160" s="7" t="str">
        <f t="shared" si="54"/>
        <v/>
      </c>
      <c r="V160" s="7" t="str">
        <f t="shared" si="55"/>
        <v/>
      </c>
      <c r="W160" s="7" t="str">
        <f t="shared" si="56"/>
        <v/>
      </c>
      <c r="X160" s="7" t="str">
        <f t="shared" si="57"/>
        <v/>
      </c>
      <c r="Y160" s="7" t="str">
        <f t="shared" si="58"/>
        <v/>
      </c>
      <c r="Z160" s="7" t="str">
        <f t="shared" si="59"/>
        <v/>
      </c>
      <c r="AA160" s="7" t="str">
        <f t="shared" si="60"/>
        <v/>
      </c>
    </row>
    <row r="161" spans="3:27" x14ac:dyDescent="0.2">
      <c r="C161" s="5"/>
      <c r="P161" s="15" t="str">
        <f t="shared" si="61"/>
        <v/>
      </c>
      <c r="Q161" s="11" t="str">
        <f t="shared" si="62"/>
        <v/>
      </c>
      <c r="R161" s="7" t="str">
        <f t="shared" si="63"/>
        <v/>
      </c>
      <c r="S161" s="7" t="str">
        <f t="shared" si="52"/>
        <v/>
      </c>
      <c r="T161" s="7" t="str">
        <f t="shared" si="53"/>
        <v/>
      </c>
      <c r="U161" s="7" t="str">
        <f t="shared" si="54"/>
        <v/>
      </c>
      <c r="V161" s="7" t="str">
        <f t="shared" si="55"/>
        <v/>
      </c>
      <c r="W161" s="7" t="str">
        <f t="shared" si="56"/>
        <v/>
      </c>
      <c r="X161" s="7" t="str">
        <f t="shared" si="57"/>
        <v/>
      </c>
      <c r="Y161" s="7" t="str">
        <f t="shared" si="58"/>
        <v/>
      </c>
      <c r="Z161" s="7" t="str">
        <f t="shared" si="59"/>
        <v/>
      </c>
      <c r="AA161" s="7" t="str">
        <f t="shared" si="60"/>
        <v/>
      </c>
    </row>
    <row r="162" spans="3:27" x14ac:dyDescent="0.2">
      <c r="C162" s="5"/>
      <c r="P162" s="15" t="str">
        <f t="shared" si="61"/>
        <v/>
      </c>
      <c r="Q162" s="11" t="str">
        <f t="shared" si="62"/>
        <v/>
      </c>
      <c r="R162" s="7" t="str">
        <f t="shared" si="63"/>
        <v/>
      </c>
      <c r="S162" s="7" t="str">
        <f t="shared" si="52"/>
        <v/>
      </c>
      <c r="T162" s="7" t="str">
        <f t="shared" si="53"/>
        <v/>
      </c>
      <c r="U162" s="7" t="str">
        <f t="shared" si="54"/>
        <v/>
      </c>
      <c r="V162" s="7" t="str">
        <f t="shared" si="55"/>
        <v/>
      </c>
      <c r="W162" s="7" t="str">
        <f t="shared" si="56"/>
        <v/>
      </c>
      <c r="X162" s="7" t="str">
        <f t="shared" si="57"/>
        <v/>
      </c>
      <c r="Y162" s="7" t="str">
        <f t="shared" si="58"/>
        <v/>
      </c>
      <c r="Z162" s="7" t="str">
        <f t="shared" si="59"/>
        <v/>
      </c>
      <c r="AA162" s="7" t="str">
        <f t="shared" si="60"/>
        <v/>
      </c>
    </row>
    <row r="163" spans="3:27" x14ac:dyDescent="0.2">
      <c r="C163" s="5"/>
      <c r="P163" s="15" t="str">
        <f t="shared" si="61"/>
        <v/>
      </c>
      <c r="Q163" s="11" t="str">
        <f t="shared" si="62"/>
        <v/>
      </c>
      <c r="R163" s="7" t="str">
        <f t="shared" si="63"/>
        <v/>
      </c>
      <c r="S163" s="7" t="str">
        <f t="shared" si="52"/>
        <v/>
      </c>
      <c r="T163" s="7" t="str">
        <f t="shared" si="53"/>
        <v/>
      </c>
      <c r="U163" s="7" t="str">
        <f t="shared" si="54"/>
        <v/>
      </c>
      <c r="V163" s="7" t="str">
        <f t="shared" si="55"/>
        <v/>
      </c>
      <c r="W163" s="7" t="str">
        <f t="shared" si="56"/>
        <v/>
      </c>
      <c r="X163" s="7" t="str">
        <f t="shared" si="57"/>
        <v/>
      </c>
      <c r="Y163" s="7" t="str">
        <f t="shared" si="58"/>
        <v/>
      </c>
      <c r="Z163" s="7" t="str">
        <f t="shared" si="59"/>
        <v/>
      </c>
      <c r="AA163" s="7" t="str">
        <f t="shared" si="60"/>
        <v/>
      </c>
    </row>
    <row r="164" spans="3:27" x14ac:dyDescent="0.2">
      <c r="C164" s="5"/>
      <c r="P164" s="15" t="str">
        <f t="shared" si="61"/>
        <v/>
      </c>
      <c r="Q164" s="11" t="str">
        <f t="shared" si="62"/>
        <v/>
      </c>
      <c r="R164" s="7" t="str">
        <f t="shared" si="63"/>
        <v/>
      </c>
      <c r="S164" s="7" t="str">
        <f t="shared" si="52"/>
        <v/>
      </c>
      <c r="T164" s="7" t="str">
        <f t="shared" si="53"/>
        <v/>
      </c>
      <c r="U164" s="7" t="str">
        <f t="shared" si="54"/>
        <v/>
      </c>
      <c r="V164" s="7" t="str">
        <f t="shared" si="55"/>
        <v/>
      </c>
      <c r="W164" s="7" t="str">
        <f t="shared" si="56"/>
        <v/>
      </c>
      <c r="X164" s="7" t="str">
        <f t="shared" si="57"/>
        <v/>
      </c>
      <c r="Y164" s="7" t="str">
        <f t="shared" si="58"/>
        <v/>
      </c>
      <c r="Z164" s="7" t="str">
        <f t="shared" si="59"/>
        <v/>
      </c>
      <c r="AA164" s="7" t="str">
        <f t="shared" si="60"/>
        <v/>
      </c>
    </row>
    <row r="165" spans="3:27" x14ac:dyDescent="0.2">
      <c r="C165" s="5"/>
      <c r="P165" s="15" t="str">
        <f t="shared" si="61"/>
        <v/>
      </c>
      <c r="Q165" s="11" t="str">
        <f t="shared" si="62"/>
        <v/>
      </c>
      <c r="R165" s="7" t="str">
        <f t="shared" si="63"/>
        <v/>
      </c>
      <c r="S165" s="7" t="str">
        <f t="shared" si="52"/>
        <v/>
      </c>
      <c r="T165" s="7" t="str">
        <f t="shared" si="53"/>
        <v/>
      </c>
      <c r="U165" s="7" t="str">
        <f t="shared" si="54"/>
        <v/>
      </c>
      <c r="V165" s="7" t="str">
        <f t="shared" si="55"/>
        <v/>
      </c>
      <c r="W165" s="7" t="str">
        <f t="shared" si="56"/>
        <v/>
      </c>
      <c r="X165" s="7" t="str">
        <f t="shared" si="57"/>
        <v/>
      </c>
      <c r="Y165" s="7" t="str">
        <f t="shared" si="58"/>
        <v/>
      </c>
      <c r="Z165" s="7" t="str">
        <f t="shared" si="59"/>
        <v/>
      </c>
      <c r="AA165" s="7" t="str">
        <f t="shared" si="60"/>
        <v/>
      </c>
    </row>
    <row r="166" spans="3:27" x14ac:dyDescent="0.2">
      <c r="C166" s="5"/>
      <c r="P166" s="15" t="str">
        <f t="shared" si="61"/>
        <v/>
      </c>
      <c r="Q166" s="11" t="str">
        <f t="shared" si="62"/>
        <v/>
      </c>
      <c r="R166" s="7" t="str">
        <f t="shared" si="63"/>
        <v/>
      </c>
      <c r="S166" s="7" t="str">
        <f t="shared" si="52"/>
        <v/>
      </c>
      <c r="T166" s="7" t="str">
        <f t="shared" si="53"/>
        <v/>
      </c>
      <c r="U166" s="7" t="str">
        <f t="shared" si="54"/>
        <v/>
      </c>
      <c r="V166" s="7" t="str">
        <f t="shared" si="55"/>
        <v/>
      </c>
      <c r="W166" s="7" t="str">
        <f t="shared" si="56"/>
        <v/>
      </c>
      <c r="X166" s="7" t="str">
        <f t="shared" si="57"/>
        <v/>
      </c>
      <c r="Y166" s="7" t="str">
        <f t="shared" si="58"/>
        <v/>
      </c>
      <c r="Z166" s="7" t="str">
        <f t="shared" si="59"/>
        <v/>
      </c>
      <c r="AA166" s="7" t="str">
        <f t="shared" si="60"/>
        <v/>
      </c>
    </row>
    <row r="167" spans="3:27" x14ac:dyDescent="0.2">
      <c r="C167" s="5"/>
      <c r="P167" s="15" t="str">
        <f t="shared" si="61"/>
        <v/>
      </c>
      <c r="Q167" s="11" t="str">
        <f t="shared" si="62"/>
        <v/>
      </c>
      <c r="R167" s="7" t="str">
        <f t="shared" si="63"/>
        <v/>
      </c>
      <c r="S167" s="7" t="str">
        <f t="shared" si="52"/>
        <v/>
      </c>
      <c r="T167" s="7" t="str">
        <f t="shared" si="53"/>
        <v/>
      </c>
      <c r="U167" s="7" t="str">
        <f t="shared" si="54"/>
        <v/>
      </c>
      <c r="V167" s="7" t="str">
        <f t="shared" si="55"/>
        <v/>
      </c>
      <c r="W167" s="7" t="str">
        <f t="shared" si="56"/>
        <v/>
      </c>
      <c r="X167" s="7" t="str">
        <f t="shared" si="57"/>
        <v/>
      </c>
      <c r="Y167" s="7" t="str">
        <f t="shared" si="58"/>
        <v/>
      </c>
      <c r="Z167" s="7" t="str">
        <f t="shared" si="59"/>
        <v/>
      </c>
      <c r="AA167" s="7" t="str">
        <f t="shared" si="60"/>
        <v/>
      </c>
    </row>
    <row r="168" spans="3:27" x14ac:dyDescent="0.2">
      <c r="C168" s="5"/>
      <c r="P168" s="15" t="str">
        <f t="shared" si="61"/>
        <v/>
      </c>
      <c r="Q168" s="11" t="str">
        <f t="shared" si="62"/>
        <v/>
      </c>
      <c r="R168" s="7" t="str">
        <f t="shared" si="63"/>
        <v/>
      </c>
      <c r="S168" s="7" t="str">
        <f t="shared" si="52"/>
        <v/>
      </c>
      <c r="T168" s="7" t="str">
        <f t="shared" si="53"/>
        <v/>
      </c>
      <c r="U168" s="7" t="str">
        <f t="shared" si="54"/>
        <v/>
      </c>
      <c r="V168" s="7" t="str">
        <f t="shared" si="55"/>
        <v/>
      </c>
      <c r="W168" s="7" t="str">
        <f t="shared" si="56"/>
        <v/>
      </c>
      <c r="X168" s="7" t="str">
        <f t="shared" si="57"/>
        <v/>
      </c>
      <c r="Y168" s="7" t="str">
        <f t="shared" si="58"/>
        <v/>
      </c>
      <c r="Z168" s="7" t="str">
        <f t="shared" si="59"/>
        <v/>
      </c>
      <c r="AA168" s="7" t="str">
        <f t="shared" si="60"/>
        <v/>
      </c>
    </row>
    <row r="169" spans="3:27" x14ac:dyDescent="0.2">
      <c r="C169" s="5"/>
      <c r="P169" s="15" t="str">
        <f t="shared" si="61"/>
        <v/>
      </c>
      <c r="Q169" s="11" t="str">
        <f t="shared" si="62"/>
        <v/>
      </c>
      <c r="R169" s="7" t="str">
        <f t="shared" si="63"/>
        <v/>
      </c>
      <c r="S169" s="7" t="str">
        <f t="shared" si="52"/>
        <v/>
      </c>
      <c r="T169" s="7" t="str">
        <f t="shared" si="53"/>
        <v/>
      </c>
      <c r="U169" s="7" t="str">
        <f t="shared" si="54"/>
        <v/>
      </c>
      <c r="V169" s="7" t="str">
        <f t="shared" si="55"/>
        <v/>
      </c>
      <c r="W169" s="7" t="str">
        <f t="shared" si="56"/>
        <v/>
      </c>
      <c r="X169" s="7" t="str">
        <f t="shared" si="57"/>
        <v/>
      </c>
      <c r="Y169" s="7" t="str">
        <f t="shared" si="58"/>
        <v/>
      </c>
      <c r="Z169" s="7" t="str">
        <f t="shared" si="59"/>
        <v/>
      </c>
      <c r="AA169" s="7" t="str">
        <f t="shared" si="60"/>
        <v/>
      </c>
    </row>
    <row r="170" spans="3:27" x14ac:dyDescent="0.2">
      <c r="C170" s="5"/>
      <c r="P170" s="15" t="str">
        <f t="shared" si="61"/>
        <v/>
      </c>
      <c r="Q170" s="11" t="str">
        <f t="shared" si="62"/>
        <v/>
      </c>
      <c r="R170" s="7" t="str">
        <f t="shared" si="63"/>
        <v/>
      </c>
      <c r="S170" s="7" t="str">
        <f t="shared" si="52"/>
        <v/>
      </c>
      <c r="T170" s="7" t="str">
        <f t="shared" si="53"/>
        <v/>
      </c>
      <c r="U170" s="7" t="str">
        <f t="shared" si="54"/>
        <v/>
      </c>
      <c r="V170" s="7" t="str">
        <f t="shared" si="55"/>
        <v/>
      </c>
      <c r="W170" s="7" t="str">
        <f t="shared" si="56"/>
        <v/>
      </c>
      <c r="X170" s="7" t="str">
        <f t="shared" si="57"/>
        <v/>
      </c>
      <c r="Y170" s="7" t="str">
        <f t="shared" si="58"/>
        <v/>
      </c>
      <c r="Z170" s="7" t="str">
        <f t="shared" si="59"/>
        <v/>
      </c>
      <c r="AA170" s="7" t="str">
        <f t="shared" si="60"/>
        <v/>
      </c>
    </row>
    <row r="171" spans="3:27" x14ac:dyDescent="0.2">
      <c r="C171" s="5"/>
      <c r="P171" s="15" t="str">
        <f t="shared" si="61"/>
        <v/>
      </c>
      <c r="Q171" s="11" t="str">
        <f t="shared" si="62"/>
        <v/>
      </c>
      <c r="R171" s="7" t="str">
        <f t="shared" si="63"/>
        <v/>
      </c>
      <c r="S171" s="7" t="str">
        <f t="shared" si="52"/>
        <v/>
      </c>
      <c r="T171" s="7" t="str">
        <f t="shared" si="53"/>
        <v/>
      </c>
      <c r="U171" s="7" t="str">
        <f t="shared" si="54"/>
        <v/>
      </c>
      <c r="V171" s="7" t="str">
        <f t="shared" si="55"/>
        <v/>
      </c>
      <c r="W171" s="7" t="str">
        <f t="shared" si="56"/>
        <v/>
      </c>
      <c r="X171" s="7" t="str">
        <f t="shared" si="57"/>
        <v/>
      </c>
      <c r="Y171" s="7" t="str">
        <f t="shared" si="58"/>
        <v/>
      </c>
      <c r="Z171" s="7" t="str">
        <f t="shared" si="59"/>
        <v/>
      </c>
      <c r="AA171" s="7" t="str">
        <f t="shared" si="60"/>
        <v/>
      </c>
    </row>
    <row r="172" spans="3:27" x14ac:dyDescent="0.2">
      <c r="C172" s="5"/>
      <c r="P172" s="15" t="str">
        <f t="shared" si="61"/>
        <v/>
      </c>
      <c r="Q172" s="11" t="str">
        <f t="shared" si="62"/>
        <v/>
      </c>
      <c r="R172" s="7" t="str">
        <f t="shared" si="63"/>
        <v/>
      </c>
      <c r="S172" s="7" t="str">
        <f t="shared" si="52"/>
        <v/>
      </c>
      <c r="T172" s="7" t="str">
        <f t="shared" si="53"/>
        <v/>
      </c>
      <c r="U172" s="7" t="str">
        <f t="shared" si="54"/>
        <v/>
      </c>
      <c r="V172" s="7" t="str">
        <f t="shared" si="55"/>
        <v/>
      </c>
      <c r="W172" s="7" t="str">
        <f t="shared" si="56"/>
        <v/>
      </c>
      <c r="X172" s="7" t="str">
        <f t="shared" si="57"/>
        <v/>
      </c>
      <c r="Y172" s="7" t="str">
        <f t="shared" si="58"/>
        <v/>
      </c>
      <c r="Z172" s="7" t="str">
        <f t="shared" si="59"/>
        <v/>
      </c>
      <c r="AA172" s="7" t="str">
        <f t="shared" si="60"/>
        <v/>
      </c>
    </row>
    <row r="173" spans="3:27" x14ac:dyDescent="0.2">
      <c r="C173" s="5"/>
      <c r="P173" s="15" t="str">
        <f t="shared" si="61"/>
        <v/>
      </c>
      <c r="Q173" s="11" t="str">
        <f t="shared" si="62"/>
        <v/>
      </c>
      <c r="R173" s="7" t="str">
        <f t="shared" si="63"/>
        <v/>
      </c>
      <c r="S173" s="7" t="str">
        <f t="shared" si="52"/>
        <v/>
      </c>
      <c r="T173" s="7" t="str">
        <f t="shared" si="53"/>
        <v/>
      </c>
      <c r="U173" s="7" t="str">
        <f t="shared" si="54"/>
        <v/>
      </c>
      <c r="V173" s="7" t="str">
        <f t="shared" si="55"/>
        <v/>
      </c>
      <c r="W173" s="7" t="str">
        <f t="shared" si="56"/>
        <v/>
      </c>
      <c r="X173" s="7" t="str">
        <f t="shared" si="57"/>
        <v/>
      </c>
      <c r="Y173" s="7" t="str">
        <f t="shared" si="58"/>
        <v/>
      </c>
      <c r="Z173" s="7" t="str">
        <f t="shared" si="59"/>
        <v/>
      </c>
      <c r="AA173" s="7" t="str">
        <f t="shared" si="60"/>
        <v/>
      </c>
    </row>
    <row r="174" spans="3:27" x14ac:dyDescent="0.2">
      <c r="C174" s="5"/>
      <c r="P174" s="15" t="str">
        <f t="shared" si="61"/>
        <v/>
      </c>
      <c r="Q174" s="11" t="str">
        <f t="shared" si="62"/>
        <v/>
      </c>
      <c r="R174" s="7" t="str">
        <f t="shared" si="63"/>
        <v/>
      </c>
      <c r="S174" s="7" t="str">
        <f t="shared" si="52"/>
        <v/>
      </c>
      <c r="T174" s="7" t="str">
        <f t="shared" si="53"/>
        <v/>
      </c>
      <c r="U174" s="7" t="str">
        <f t="shared" si="54"/>
        <v/>
      </c>
      <c r="V174" s="7" t="str">
        <f t="shared" si="55"/>
        <v/>
      </c>
      <c r="W174" s="7" t="str">
        <f t="shared" si="56"/>
        <v/>
      </c>
      <c r="X174" s="7" t="str">
        <f t="shared" si="57"/>
        <v/>
      </c>
      <c r="Y174" s="7" t="str">
        <f t="shared" si="58"/>
        <v/>
      </c>
      <c r="Z174" s="7" t="str">
        <f t="shared" si="59"/>
        <v/>
      </c>
      <c r="AA174" s="7" t="str">
        <f t="shared" si="60"/>
        <v/>
      </c>
    </row>
    <row r="175" spans="3:27" x14ac:dyDescent="0.2">
      <c r="C175" s="5"/>
      <c r="P175" s="15" t="str">
        <f t="shared" si="61"/>
        <v/>
      </c>
      <c r="Q175" s="11" t="str">
        <f t="shared" si="62"/>
        <v/>
      </c>
      <c r="R175" s="7" t="str">
        <f t="shared" si="63"/>
        <v/>
      </c>
      <c r="S175" s="7" t="str">
        <f t="shared" si="52"/>
        <v/>
      </c>
      <c r="T175" s="7" t="str">
        <f t="shared" si="53"/>
        <v/>
      </c>
      <c r="U175" s="7" t="str">
        <f t="shared" si="54"/>
        <v/>
      </c>
      <c r="V175" s="7" t="str">
        <f t="shared" si="55"/>
        <v/>
      </c>
      <c r="W175" s="7" t="str">
        <f t="shared" si="56"/>
        <v/>
      </c>
      <c r="X175" s="7" t="str">
        <f t="shared" si="57"/>
        <v/>
      </c>
      <c r="Y175" s="7" t="str">
        <f t="shared" si="58"/>
        <v/>
      </c>
      <c r="Z175" s="7" t="str">
        <f t="shared" si="59"/>
        <v/>
      </c>
      <c r="AA175" s="7" t="str">
        <f t="shared" si="60"/>
        <v/>
      </c>
    </row>
    <row r="176" spans="3:27" x14ac:dyDescent="0.2">
      <c r="C176" s="5"/>
      <c r="P176" s="15" t="str">
        <f t="shared" si="61"/>
        <v/>
      </c>
      <c r="Q176" s="11" t="str">
        <f t="shared" si="62"/>
        <v/>
      </c>
      <c r="R176" s="7" t="str">
        <f t="shared" si="63"/>
        <v/>
      </c>
      <c r="S176" s="7" t="str">
        <f t="shared" si="52"/>
        <v/>
      </c>
      <c r="T176" s="7" t="str">
        <f t="shared" si="53"/>
        <v/>
      </c>
      <c r="U176" s="7" t="str">
        <f t="shared" si="54"/>
        <v/>
      </c>
      <c r="V176" s="7" t="str">
        <f t="shared" si="55"/>
        <v/>
      </c>
      <c r="W176" s="7" t="str">
        <f t="shared" si="56"/>
        <v/>
      </c>
      <c r="X176" s="7" t="str">
        <f t="shared" si="57"/>
        <v/>
      </c>
      <c r="Y176" s="7" t="str">
        <f t="shared" si="58"/>
        <v/>
      </c>
      <c r="Z176" s="7" t="str">
        <f t="shared" si="59"/>
        <v/>
      </c>
      <c r="AA176" s="7" t="str">
        <f t="shared" si="60"/>
        <v/>
      </c>
    </row>
    <row r="177" spans="3:27" x14ac:dyDescent="0.2">
      <c r="C177" s="5"/>
      <c r="P177" s="15" t="str">
        <f t="shared" si="61"/>
        <v/>
      </c>
      <c r="Q177" s="11" t="str">
        <f t="shared" si="62"/>
        <v/>
      </c>
      <c r="R177" s="7" t="str">
        <f t="shared" si="63"/>
        <v/>
      </c>
      <c r="S177" s="7" t="str">
        <f t="shared" si="52"/>
        <v/>
      </c>
      <c r="T177" s="7" t="str">
        <f t="shared" si="53"/>
        <v/>
      </c>
      <c r="U177" s="7" t="str">
        <f t="shared" si="54"/>
        <v/>
      </c>
      <c r="V177" s="7" t="str">
        <f t="shared" si="55"/>
        <v/>
      </c>
      <c r="W177" s="7" t="str">
        <f t="shared" si="56"/>
        <v/>
      </c>
      <c r="X177" s="7" t="str">
        <f t="shared" si="57"/>
        <v/>
      </c>
      <c r="Y177" s="7" t="str">
        <f t="shared" si="58"/>
        <v/>
      </c>
      <c r="Z177" s="7" t="str">
        <f t="shared" si="59"/>
        <v/>
      </c>
      <c r="AA177" s="7" t="str">
        <f t="shared" si="60"/>
        <v/>
      </c>
    </row>
    <row r="178" spans="3:27" x14ac:dyDescent="0.2">
      <c r="C178" s="5"/>
      <c r="P178" s="15" t="str">
        <f t="shared" si="61"/>
        <v/>
      </c>
      <c r="Q178" s="11" t="str">
        <f t="shared" si="62"/>
        <v/>
      </c>
      <c r="R178" s="7" t="str">
        <f t="shared" si="63"/>
        <v/>
      </c>
      <c r="S178" s="7" t="str">
        <f t="shared" si="52"/>
        <v/>
      </c>
      <c r="T178" s="7" t="str">
        <f t="shared" si="53"/>
        <v/>
      </c>
      <c r="U178" s="7" t="str">
        <f t="shared" si="54"/>
        <v/>
      </c>
      <c r="V178" s="7" t="str">
        <f t="shared" si="55"/>
        <v/>
      </c>
      <c r="W178" s="7" t="str">
        <f t="shared" si="56"/>
        <v/>
      </c>
      <c r="X178" s="7" t="str">
        <f t="shared" si="57"/>
        <v/>
      </c>
      <c r="Y178" s="7" t="str">
        <f t="shared" si="58"/>
        <v/>
      </c>
      <c r="Z178" s="7" t="str">
        <f t="shared" si="59"/>
        <v/>
      </c>
      <c r="AA178" s="7" t="str">
        <f t="shared" si="60"/>
        <v/>
      </c>
    </row>
    <row r="179" spans="3:27" x14ac:dyDescent="0.2">
      <c r="C179" s="5"/>
      <c r="P179" s="15" t="str">
        <f t="shared" si="61"/>
        <v/>
      </c>
      <c r="Q179" s="11" t="str">
        <f t="shared" si="62"/>
        <v/>
      </c>
      <c r="R179" s="7" t="str">
        <f t="shared" si="63"/>
        <v/>
      </c>
      <c r="S179" s="7" t="str">
        <f t="shared" si="52"/>
        <v/>
      </c>
      <c r="T179" s="7" t="str">
        <f t="shared" si="53"/>
        <v/>
      </c>
      <c r="U179" s="7" t="str">
        <f t="shared" si="54"/>
        <v/>
      </c>
      <c r="V179" s="7" t="str">
        <f t="shared" si="55"/>
        <v/>
      </c>
      <c r="W179" s="7" t="str">
        <f t="shared" si="56"/>
        <v/>
      </c>
      <c r="X179" s="7" t="str">
        <f t="shared" si="57"/>
        <v/>
      </c>
      <c r="Y179" s="7" t="str">
        <f t="shared" si="58"/>
        <v/>
      </c>
      <c r="Z179" s="7" t="str">
        <f t="shared" si="59"/>
        <v/>
      </c>
      <c r="AA179" s="7" t="str">
        <f t="shared" si="60"/>
        <v/>
      </c>
    </row>
    <row r="180" spans="3:27" x14ac:dyDescent="0.2">
      <c r="C180" s="5"/>
      <c r="P180" s="15" t="str">
        <f t="shared" si="61"/>
        <v/>
      </c>
      <c r="Q180" s="11" t="str">
        <f t="shared" si="62"/>
        <v/>
      </c>
      <c r="R180" s="7" t="str">
        <f t="shared" si="63"/>
        <v/>
      </c>
      <c r="S180" s="7" t="str">
        <f t="shared" si="52"/>
        <v/>
      </c>
      <c r="T180" s="7" t="str">
        <f t="shared" si="53"/>
        <v/>
      </c>
      <c r="U180" s="7" t="str">
        <f t="shared" si="54"/>
        <v/>
      </c>
      <c r="V180" s="7" t="str">
        <f t="shared" si="55"/>
        <v/>
      </c>
      <c r="W180" s="7" t="str">
        <f t="shared" si="56"/>
        <v/>
      </c>
      <c r="X180" s="7" t="str">
        <f t="shared" si="57"/>
        <v/>
      </c>
      <c r="Y180" s="7" t="str">
        <f t="shared" si="58"/>
        <v/>
      </c>
      <c r="Z180" s="7" t="str">
        <f t="shared" si="59"/>
        <v/>
      </c>
      <c r="AA180" s="7" t="str">
        <f t="shared" si="60"/>
        <v/>
      </c>
    </row>
    <row r="181" spans="3:27" x14ac:dyDescent="0.2">
      <c r="C181" s="5"/>
      <c r="P181" s="15" t="str">
        <f t="shared" si="61"/>
        <v/>
      </c>
      <c r="Q181" s="11" t="str">
        <f t="shared" si="62"/>
        <v/>
      </c>
      <c r="R181" s="7" t="str">
        <f t="shared" si="63"/>
        <v/>
      </c>
      <c r="S181" s="7" t="str">
        <f t="shared" si="52"/>
        <v/>
      </c>
      <c r="T181" s="7" t="str">
        <f t="shared" si="53"/>
        <v/>
      </c>
      <c r="U181" s="7" t="str">
        <f t="shared" si="54"/>
        <v/>
      </c>
      <c r="V181" s="7" t="str">
        <f t="shared" si="55"/>
        <v/>
      </c>
      <c r="W181" s="7" t="str">
        <f t="shared" si="56"/>
        <v/>
      </c>
      <c r="X181" s="7" t="str">
        <f t="shared" si="57"/>
        <v/>
      </c>
      <c r="Y181" s="7" t="str">
        <f t="shared" si="58"/>
        <v/>
      </c>
      <c r="Z181" s="7" t="str">
        <f t="shared" si="59"/>
        <v/>
      </c>
      <c r="AA181" s="7" t="str">
        <f t="shared" si="60"/>
        <v/>
      </c>
    </row>
    <row r="182" spans="3:27" x14ac:dyDescent="0.2">
      <c r="C182" s="5"/>
      <c r="P182" s="15" t="str">
        <f t="shared" si="61"/>
        <v/>
      </c>
      <c r="Q182" s="11" t="str">
        <f t="shared" si="62"/>
        <v/>
      </c>
      <c r="R182" s="7" t="str">
        <f t="shared" si="63"/>
        <v/>
      </c>
      <c r="S182" s="7" t="str">
        <f t="shared" si="52"/>
        <v/>
      </c>
      <c r="T182" s="7" t="str">
        <f t="shared" si="53"/>
        <v/>
      </c>
      <c r="U182" s="7" t="str">
        <f t="shared" si="54"/>
        <v/>
      </c>
      <c r="V182" s="7" t="str">
        <f t="shared" si="55"/>
        <v/>
      </c>
      <c r="W182" s="7" t="str">
        <f t="shared" si="56"/>
        <v/>
      </c>
      <c r="X182" s="7" t="str">
        <f t="shared" si="57"/>
        <v/>
      </c>
      <c r="Y182" s="7" t="str">
        <f t="shared" si="58"/>
        <v/>
      </c>
      <c r="Z182" s="7" t="str">
        <f t="shared" si="59"/>
        <v/>
      </c>
      <c r="AA182" s="7" t="str">
        <f t="shared" si="60"/>
        <v/>
      </c>
    </row>
    <row r="183" spans="3:27" x14ac:dyDescent="0.2">
      <c r="C183" s="5"/>
      <c r="P183" s="15" t="str">
        <f t="shared" si="61"/>
        <v/>
      </c>
      <c r="Q183" s="11" t="str">
        <f t="shared" si="62"/>
        <v/>
      </c>
      <c r="R183" s="7" t="str">
        <f t="shared" si="63"/>
        <v/>
      </c>
      <c r="S183" s="7" t="str">
        <f t="shared" si="52"/>
        <v/>
      </c>
      <c r="T183" s="7" t="str">
        <f t="shared" si="53"/>
        <v/>
      </c>
      <c r="U183" s="7" t="str">
        <f t="shared" si="54"/>
        <v/>
      </c>
      <c r="V183" s="7" t="str">
        <f t="shared" si="55"/>
        <v/>
      </c>
      <c r="W183" s="7" t="str">
        <f t="shared" si="56"/>
        <v/>
      </c>
      <c r="X183" s="7" t="str">
        <f t="shared" si="57"/>
        <v/>
      </c>
      <c r="Y183" s="7" t="str">
        <f t="shared" si="58"/>
        <v/>
      </c>
      <c r="Z183" s="7" t="str">
        <f t="shared" si="59"/>
        <v/>
      </c>
      <c r="AA183" s="7" t="str">
        <f t="shared" si="60"/>
        <v/>
      </c>
    </row>
    <row r="184" spans="3:27" x14ac:dyDescent="0.2">
      <c r="C184" s="5"/>
      <c r="P184" s="15" t="str">
        <f t="shared" si="61"/>
        <v/>
      </c>
      <c r="Q184" s="11" t="str">
        <f t="shared" si="62"/>
        <v/>
      </c>
      <c r="R184" s="7" t="str">
        <f t="shared" si="63"/>
        <v/>
      </c>
      <c r="S184" s="7" t="str">
        <f t="shared" si="52"/>
        <v/>
      </c>
      <c r="T184" s="7" t="str">
        <f t="shared" si="53"/>
        <v/>
      </c>
      <c r="U184" s="7" t="str">
        <f t="shared" si="54"/>
        <v/>
      </c>
      <c r="V184" s="7" t="str">
        <f t="shared" si="55"/>
        <v/>
      </c>
      <c r="W184" s="7" t="str">
        <f t="shared" si="56"/>
        <v/>
      </c>
      <c r="X184" s="7" t="str">
        <f t="shared" si="57"/>
        <v/>
      </c>
      <c r="Y184" s="7" t="str">
        <f t="shared" si="58"/>
        <v/>
      </c>
      <c r="Z184" s="7" t="str">
        <f t="shared" si="59"/>
        <v/>
      </c>
      <c r="AA184" s="7" t="str">
        <f t="shared" si="60"/>
        <v/>
      </c>
    </row>
    <row r="185" spans="3:27" x14ac:dyDescent="0.2">
      <c r="C185" s="5"/>
      <c r="P185" s="15" t="str">
        <f t="shared" si="61"/>
        <v/>
      </c>
      <c r="Q185" s="11" t="str">
        <f t="shared" si="62"/>
        <v/>
      </c>
      <c r="R185" s="7" t="str">
        <f t="shared" si="63"/>
        <v/>
      </c>
      <c r="S185" s="7" t="str">
        <f t="shared" si="52"/>
        <v/>
      </c>
      <c r="T185" s="7" t="str">
        <f t="shared" si="53"/>
        <v/>
      </c>
      <c r="U185" s="7" t="str">
        <f t="shared" si="54"/>
        <v/>
      </c>
      <c r="V185" s="7" t="str">
        <f t="shared" si="55"/>
        <v/>
      </c>
      <c r="W185" s="7" t="str">
        <f t="shared" si="56"/>
        <v/>
      </c>
      <c r="X185" s="7" t="str">
        <f t="shared" si="57"/>
        <v/>
      </c>
      <c r="Y185" s="7" t="str">
        <f t="shared" si="58"/>
        <v/>
      </c>
      <c r="Z185" s="7" t="str">
        <f t="shared" si="59"/>
        <v/>
      </c>
      <c r="AA185" s="7" t="str">
        <f t="shared" si="60"/>
        <v/>
      </c>
    </row>
    <row r="186" spans="3:27" x14ac:dyDescent="0.2">
      <c r="C186" s="5"/>
      <c r="P186" s="15" t="str">
        <f t="shared" si="61"/>
        <v/>
      </c>
      <c r="Q186" s="11" t="str">
        <f t="shared" si="62"/>
        <v/>
      </c>
      <c r="R186" s="7" t="str">
        <f t="shared" si="63"/>
        <v/>
      </c>
      <c r="S186" s="7" t="str">
        <f t="shared" si="52"/>
        <v/>
      </c>
      <c r="T186" s="7" t="str">
        <f t="shared" si="53"/>
        <v/>
      </c>
      <c r="U186" s="7" t="str">
        <f t="shared" si="54"/>
        <v/>
      </c>
      <c r="V186" s="7" t="str">
        <f t="shared" si="55"/>
        <v/>
      </c>
      <c r="W186" s="7" t="str">
        <f t="shared" si="56"/>
        <v/>
      </c>
      <c r="X186" s="7" t="str">
        <f t="shared" si="57"/>
        <v/>
      </c>
      <c r="Y186" s="7" t="str">
        <f t="shared" si="58"/>
        <v/>
      </c>
      <c r="Z186" s="7" t="str">
        <f t="shared" si="59"/>
        <v/>
      </c>
      <c r="AA186" s="7" t="str">
        <f t="shared" si="60"/>
        <v/>
      </c>
    </row>
    <row r="187" spans="3:27" x14ac:dyDescent="0.2">
      <c r="C187" s="5"/>
      <c r="P187" s="15" t="str">
        <f t="shared" si="61"/>
        <v/>
      </c>
      <c r="Q187" s="11" t="str">
        <f t="shared" si="62"/>
        <v/>
      </c>
      <c r="R187" s="7" t="str">
        <f t="shared" si="63"/>
        <v/>
      </c>
      <c r="S187" s="7" t="str">
        <f t="shared" si="52"/>
        <v/>
      </c>
      <c r="T187" s="7" t="str">
        <f t="shared" si="53"/>
        <v/>
      </c>
      <c r="U187" s="7" t="str">
        <f t="shared" si="54"/>
        <v/>
      </c>
      <c r="V187" s="7" t="str">
        <f t="shared" si="55"/>
        <v/>
      </c>
      <c r="W187" s="7" t="str">
        <f t="shared" si="56"/>
        <v/>
      </c>
      <c r="X187" s="7" t="str">
        <f t="shared" si="57"/>
        <v/>
      </c>
      <c r="Y187" s="7" t="str">
        <f t="shared" si="58"/>
        <v/>
      </c>
      <c r="Z187" s="7" t="str">
        <f t="shared" si="59"/>
        <v/>
      </c>
      <c r="AA187" s="7" t="str">
        <f t="shared" si="60"/>
        <v/>
      </c>
    </row>
    <row r="188" spans="3:27" x14ac:dyDescent="0.2">
      <c r="C188" s="5"/>
      <c r="P188" s="15" t="str">
        <f t="shared" si="61"/>
        <v/>
      </c>
      <c r="Q188" s="11" t="str">
        <f t="shared" si="62"/>
        <v/>
      </c>
      <c r="R188" s="7" t="str">
        <f t="shared" si="63"/>
        <v/>
      </c>
      <c r="S188" s="7" t="str">
        <f t="shared" si="52"/>
        <v/>
      </c>
      <c r="T188" s="7" t="str">
        <f t="shared" si="53"/>
        <v/>
      </c>
      <c r="U188" s="7" t="str">
        <f t="shared" si="54"/>
        <v/>
      </c>
      <c r="V188" s="7" t="str">
        <f t="shared" si="55"/>
        <v/>
      </c>
      <c r="W188" s="7" t="str">
        <f t="shared" si="56"/>
        <v/>
      </c>
      <c r="X188" s="7" t="str">
        <f t="shared" si="57"/>
        <v/>
      </c>
      <c r="Y188" s="7" t="str">
        <f t="shared" si="58"/>
        <v/>
      </c>
      <c r="Z188" s="7" t="str">
        <f t="shared" si="59"/>
        <v/>
      </c>
      <c r="AA188" s="7" t="str">
        <f t="shared" si="60"/>
        <v/>
      </c>
    </row>
    <row r="189" spans="3:27" x14ac:dyDescent="0.2">
      <c r="C189" s="5"/>
      <c r="P189" s="15" t="str">
        <f t="shared" si="61"/>
        <v/>
      </c>
      <c r="Q189" s="11" t="str">
        <f t="shared" si="62"/>
        <v/>
      </c>
      <c r="R189" s="7" t="str">
        <f t="shared" si="63"/>
        <v/>
      </c>
      <c r="S189" s="7" t="str">
        <f t="shared" si="52"/>
        <v/>
      </c>
      <c r="T189" s="7" t="str">
        <f t="shared" si="53"/>
        <v/>
      </c>
      <c r="U189" s="7" t="str">
        <f t="shared" si="54"/>
        <v/>
      </c>
      <c r="V189" s="7" t="str">
        <f t="shared" si="55"/>
        <v/>
      </c>
      <c r="W189" s="7" t="str">
        <f t="shared" si="56"/>
        <v/>
      </c>
      <c r="X189" s="7" t="str">
        <f t="shared" si="57"/>
        <v/>
      </c>
      <c r="Y189" s="7" t="str">
        <f t="shared" si="58"/>
        <v/>
      </c>
      <c r="Z189" s="7" t="str">
        <f t="shared" si="59"/>
        <v/>
      </c>
      <c r="AA189" s="7" t="str">
        <f t="shared" si="60"/>
        <v/>
      </c>
    </row>
    <row r="190" spans="3:27" x14ac:dyDescent="0.2">
      <c r="C190" s="5"/>
      <c r="P190" s="15" t="str">
        <f t="shared" si="61"/>
        <v/>
      </c>
      <c r="Q190" s="11" t="str">
        <f t="shared" si="62"/>
        <v/>
      </c>
      <c r="R190" s="7" t="str">
        <f t="shared" si="63"/>
        <v/>
      </c>
      <c r="S190" s="7" t="str">
        <f t="shared" si="52"/>
        <v/>
      </c>
      <c r="T190" s="7" t="str">
        <f t="shared" si="53"/>
        <v/>
      </c>
      <c r="U190" s="7" t="str">
        <f t="shared" si="54"/>
        <v/>
      </c>
      <c r="V190" s="7" t="str">
        <f t="shared" si="55"/>
        <v/>
      </c>
      <c r="W190" s="7" t="str">
        <f t="shared" si="56"/>
        <v/>
      </c>
      <c r="X190" s="7" t="str">
        <f t="shared" si="57"/>
        <v/>
      </c>
      <c r="Y190" s="7" t="str">
        <f t="shared" si="58"/>
        <v/>
      </c>
      <c r="Z190" s="7" t="str">
        <f t="shared" si="59"/>
        <v/>
      </c>
      <c r="AA190" s="7" t="str">
        <f t="shared" si="60"/>
        <v/>
      </c>
    </row>
    <row r="191" spans="3:27" x14ac:dyDescent="0.2">
      <c r="C191" s="5"/>
      <c r="P191" s="15" t="str">
        <f t="shared" si="61"/>
        <v/>
      </c>
      <c r="Q191" s="11" t="str">
        <f t="shared" si="62"/>
        <v/>
      </c>
      <c r="R191" s="7" t="str">
        <f t="shared" si="63"/>
        <v/>
      </c>
      <c r="S191" s="7" t="str">
        <f t="shared" si="52"/>
        <v/>
      </c>
      <c r="T191" s="7" t="str">
        <f t="shared" si="53"/>
        <v/>
      </c>
      <c r="U191" s="7" t="str">
        <f t="shared" si="54"/>
        <v/>
      </c>
      <c r="V191" s="7" t="str">
        <f t="shared" si="55"/>
        <v/>
      </c>
      <c r="W191" s="7" t="str">
        <f t="shared" si="56"/>
        <v/>
      </c>
      <c r="X191" s="7" t="str">
        <f t="shared" si="57"/>
        <v/>
      </c>
      <c r="Y191" s="7" t="str">
        <f t="shared" si="58"/>
        <v/>
      </c>
      <c r="Z191" s="7" t="str">
        <f t="shared" si="59"/>
        <v/>
      </c>
      <c r="AA191" s="7" t="str">
        <f t="shared" si="60"/>
        <v/>
      </c>
    </row>
    <row r="192" spans="3:27" x14ac:dyDescent="0.2">
      <c r="C192" s="5"/>
      <c r="P192" s="15" t="str">
        <f t="shared" si="61"/>
        <v/>
      </c>
      <c r="Q192" s="11" t="str">
        <f t="shared" si="62"/>
        <v/>
      </c>
      <c r="R192" s="7" t="str">
        <f t="shared" si="63"/>
        <v/>
      </c>
      <c r="S192" s="7" t="str">
        <f t="shared" si="52"/>
        <v/>
      </c>
      <c r="T192" s="7" t="str">
        <f t="shared" si="53"/>
        <v/>
      </c>
      <c r="U192" s="7" t="str">
        <f t="shared" si="54"/>
        <v/>
      </c>
      <c r="V192" s="7" t="str">
        <f t="shared" si="55"/>
        <v/>
      </c>
      <c r="W192" s="7" t="str">
        <f t="shared" si="56"/>
        <v/>
      </c>
      <c r="X192" s="7" t="str">
        <f t="shared" si="57"/>
        <v/>
      </c>
      <c r="Y192" s="7" t="str">
        <f t="shared" si="58"/>
        <v/>
      </c>
      <c r="Z192" s="7" t="str">
        <f t="shared" si="59"/>
        <v/>
      </c>
      <c r="AA192" s="7" t="str">
        <f t="shared" si="60"/>
        <v/>
      </c>
    </row>
    <row r="193" spans="3:27" x14ac:dyDescent="0.2">
      <c r="C193" s="5"/>
      <c r="P193" s="15" t="str">
        <f t="shared" si="61"/>
        <v/>
      </c>
      <c r="Q193" s="11" t="str">
        <f t="shared" si="62"/>
        <v/>
      </c>
      <c r="R193" s="7" t="str">
        <f t="shared" si="63"/>
        <v/>
      </c>
      <c r="S193" s="7" t="str">
        <f t="shared" si="52"/>
        <v/>
      </c>
      <c r="T193" s="7" t="str">
        <f t="shared" si="53"/>
        <v/>
      </c>
      <c r="U193" s="7" t="str">
        <f t="shared" si="54"/>
        <v/>
      </c>
      <c r="V193" s="7" t="str">
        <f t="shared" si="55"/>
        <v/>
      </c>
      <c r="W193" s="7" t="str">
        <f t="shared" si="56"/>
        <v/>
      </c>
      <c r="X193" s="7" t="str">
        <f t="shared" si="57"/>
        <v/>
      </c>
      <c r="Y193" s="7" t="str">
        <f t="shared" si="58"/>
        <v/>
      </c>
      <c r="Z193" s="7" t="str">
        <f t="shared" si="59"/>
        <v/>
      </c>
      <c r="AA193" s="7" t="str">
        <f t="shared" si="60"/>
        <v/>
      </c>
    </row>
    <row r="194" spans="3:27" x14ac:dyDescent="0.2">
      <c r="C194" s="5"/>
      <c r="P194" s="15" t="str">
        <f t="shared" si="61"/>
        <v/>
      </c>
      <c r="Q194" s="11" t="str">
        <f t="shared" si="62"/>
        <v/>
      </c>
      <c r="R194" s="7" t="str">
        <f t="shared" si="63"/>
        <v/>
      </c>
      <c r="S194" s="7" t="str">
        <f t="shared" si="52"/>
        <v/>
      </c>
      <c r="T194" s="7" t="str">
        <f t="shared" si="53"/>
        <v/>
      </c>
      <c r="U194" s="7" t="str">
        <f t="shared" si="54"/>
        <v/>
      </c>
      <c r="V194" s="7" t="str">
        <f t="shared" si="55"/>
        <v/>
      </c>
      <c r="W194" s="7" t="str">
        <f t="shared" si="56"/>
        <v/>
      </c>
      <c r="X194" s="7" t="str">
        <f t="shared" si="57"/>
        <v/>
      </c>
      <c r="Y194" s="7" t="str">
        <f t="shared" si="58"/>
        <v/>
      </c>
      <c r="Z194" s="7" t="str">
        <f t="shared" si="59"/>
        <v/>
      </c>
      <c r="AA194" s="7" t="str">
        <f t="shared" si="60"/>
        <v/>
      </c>
    </row>
    <row r="195" spans="3:27" x14ac:dyDescent="0.2">
      <c r="C195" s="5"/>
      <c r="P195" s="15" t="str">
        <f t="shared" si="61"/>
        <v/>
      </c>
      <c r="Q195" s="11" t="str">
        <f t="shared" si="62"/>
        <v/>
      </c>
      <c r="R195" s="7" t="str">
        <f t="shared" si="63"/>
        <v/>
      </c>
      <c r="S195" s="7" t="str">
        <f t="shared" si="52"/>
        <v/>
      </c>
      <c r="T195" s="7" t="str">
        <f t="shared" si="53"/>
        <v/>
      </c>
      <c r="U195" s="7" t="str">
        <f t="shared" si="54"/>
        <v/>
      </c>
      <c r="V195" s="7" t="str">
        <f t="shared" si="55"/>
        <v/>
      </c>
      <c r="W195" s="7" t="str">
        <f t="shared" si="56"/>
        <v/>
      </c>
      <c r="X195" s="7" t="str">
        <f t="shared" si="57"/>
        <v/>
      </c>
      <c r="Y195" s="7" t="str">
        <f t="shared" si="58"/>
        <v/>
      </c>
      <c r="Z195" s="7" t="str">
        <f t="shared" si="59"/>
        <v/>
      </c>
      <c r="AA195" s="7" t="str">
        <f t="shared" si="60"/>
        <v/>
      </c>
    </row>
    <row r="196" spans="3:27" x14ac:dyDescent="0.2">
      <c r="C196" s="5"/>
      <c r="P196" s="15" t="str">
        <f t="shared" si="61"/>
        <v/>
      </c>
      <c r="Q196" s="11" t="str">
        <f t="shared" si="62"/>
        <v/>
      </c>
      <c r="R196" s="7" t="str">
        <f t="shared" si="63"/>
        <v/>
      </c>
      <c r="S196" s="7" t="str">
        <f t="shared" si="52"/>
        <v/>
      </c>
      <c r="T196" s="7" t="str">
        <f t="shared" si="53"/>
        <v/>
      </c>
      <c r="U196" s="7" t="str">
        <f t="shared" si="54"/>
        <v/>
      </c>
      <c r="V196" s="7" t="str">
        <f t="shared" si="55"/>
        <v/>
      </c>
      <c r="W196" s="7" t="str">
        <f t="shared" si="56"/>
        <v/>
      </c>
      <c r="X196" s="7" t="str">
        <f t="shared" si="57"/>
        <v/>
      </c>
      <c r="Y196" s="7" t="str">
        <f t="shared" si="58"/>
        <v/>
      </c>
      <c r="Z196" s="7" t="str">
        <f t="shared" si="59"/>
        <v/>
      </c>
      <c r="AA196" s="7" t="str">
        <f t="shared" si="60"/>
        <v/>
      </c>
    </row>
    <row r="197" spans="3:27" x14ac:dyDescent="0.2">
      <c r="C197" s="5"/>
      <c r="P197" s="15" t="str">
        <f t="shared" si="61"/>
        <v/>
      </c>
      <c r="Q197" s="11" t="str">
        <f t="shared" si="62"/>
        <v/>
      </c>
      <c r="R197" s="7" t="str">
        <f t="shared" si="63"/>
        <v/>
      </c>
      <c r="S197" s="7" t="str">
        <f t="shared" si="52"/>
        <v/>
      </c>
      <c r="T197" s="7" t="str">
        <f t="shared" si="53"/>
        <v/>
      </c>
      <c r="U197" s="7" t="str">
        <f t="shared" si="54"/>
        <v/>
      </c>
      <c r="V197" s="7" t="str">
        <f t="shared" si="55"/>
        <v/>
      </c>
      <c r="W197" s="7" t="str">
        <f t="shared" si="56"/>
        <v/>
      </c>
      <c r="X197" s="7" t="str">
        <f t="shared" si="57"/>
        <v/>
      </c>
      <c r="Y197" s="7" t="str">
        <f t="shared" si="58"/>
        <v/>
      </c>
      <c r="Z197" s="7" t="str">
        <f t="shared" si="59"/>
        <v/>
      </c>
      <c r="AA197" s="7" t="str">
        <f t="shared" si="60"/>
        <v/>
      </c>
    </row>
    <row r="198" spans="3:27" x14ac:dyDescent="0.2">
      <c r="C198" s="5"/>
      <c r="P198" s="15" t="str">
        <f t="shared" si="61"/>
        <v/>
      </c>
      <c r="Q198" s="11" t="str">
        <f t="shared" si="62"/>
        <v/>
      </c>
      <c r="R198" s="7" t="str">
        <f t="shared" si="63"/>
        <v/>
      </c>
      <c r="S198" s="7" t="str">
        <f t="shared" si="52"/>
        <v/>
      </c>
      <c r="T198" s="7" t="str">
        <f t="shared" si="53"/>
        <v/>
      </c>
      <c r="U198" s="7" t="str">
        <f t="shared" si="54"/>
        <v/>
      </c>
      <c r="V198" s="7" t="str">
        <f t="shared" si="55"/>
        <v/>
      </c>
      <c r="W198" s="7" t="str">
        <f t="shared" si="56"/>
        <v/>
      </c>
      <c r="X198" s="7" t="str">
        <f t="shared" si="57"/>
        <v/>
      </c>
      <c r="Y198" s="7" t="str">
        <f t="shared" si="58"/>
        <v/>
      </c>
      <c r="Z198" s="7" t="str">
        <f t="shared" si="59"/>
        <v/>
      </c>
      <c r="AA198" s="7" t="str">
        <f t="shared" si="60"/>
        <v/>
      </c>
    </row>
    <row r="199" spans="3:27" x14ac:dyDescent="0.2">
      <c r="C199" s="5"/>
      <c r="P199" s="15" t="str">
        <f t="shared" si="61"/>
        <v/>
      </c>
      <c r="Q199" s="11" t="str">
        <f t="shared" si="62"/>
        <v/>
      </c>
      <c r="R199" s="7" t="str">
        <f t="shared" si="63"/>
        <v/>
      </c>
      <c r="S199" s="7" t="str">
        <f t="shared" ref="S199:S242" si="64">IF(LEN(F199)&gt;0,F199/S$4,"")</f>
        <v/>
      </c>
      <c r="T199" s="7" t="str">
        <f t="shared" ref="T199:T242" si="65">IF(LEN(G199)&gt;0,G199/T$4,"")</f>
        <v/>
      </c>
      <c r="U199" s="7" t="str">
        <f t="shared" ref="U199:U242" si="66">IF(LEN(H199)&gt;0,H199/U$4,"")</f>
        <v/>
      </c>
      <c r="V199" s="7" t="str">
        <f t="shared" ref="V199:V242" si="67">IF(LEN(I199)&gt;0,I199/V$4,"")</f>
        <v/>
      </c>
      <c r="W199" s="7" t="str">
        <f t="shared" ref="W199:W242" si="68">IF(LEN(J199)&gt;0,J199/W$4,"")</f>
        <v/>
      </c>
      <c r="X199" s="7" t="str">
        <f t="shared" ref="X199:X242" si="69">IF(LEN(K199)&gt;0,K199/X$4,"")</f>
        <v/>
      </c>
      <c r="Y199" s="7" t="str">
        <f t="shared" ref="Y199:Y242" si="70">IF(LEN(L199)&gt;0,L199/Y$4,"")</f>
        <v/>
      </c>
      <c r="Z199" s="7" t="str">
        <f t="shared" ref="Z199:Z242" si="71">IF(LEN(M199)&gt;0,M199/Z$4,"")</f>
        <v/>
      </c>
      <c r="AA199" s="7" t="str">
        <f t="shared" ref="AA199:AA242" si="72">IF(LEN(N199)&gt;0,N199/AA$4,"")</f>
        <v/>
      </c>
    </row>
    <row r="200" spans="3:27" x14ac:dyDescent="0.2">
      <c r="C200" s="5"/>
      <c r="P200" s="15" t="str">
        <f t="shared" ref="P200:P242" si="73">IF(LEN(E200)&gt;0,INT(SUM(E200:N200,0.5)),"")</f>
        <v/>
      </c>
      <c r="Q200" s="11" t="str">
        <f t="shared" ref="Q200:Q242" si="74">IF(LEN(E200)&gt;0,SUMPRODUCT(R200:AA200,$R$5:$AA$5)/SUM(R200:AA200),"")</f>
        <v/>
      </c>
      <c r="R200" s="7" t="str">
        <f t="shared" ref="R200:R242" si="75">IF(LEN(E200)&gt;0,E200/R$4,"")</f>
        <v/>
      </c>
      <c r="S200" s="7" t="str">
        <f t="shared" si="64"/>
        <v/>
      </c>
      <c r="T200" s="7" t="str">
        <f t="shared" si="65"/>
        <v/>
      </c>
      <c r="U200" s="7" t="str">
        <f t="shared" si="66"/>
        <v/>
      </c>
      <c r="V200" s="7" t="str">
        <f t="shared" si="67"/>
        <v/>
      </c>
      <c r="W200" s="7" t="str">
        <f t="shared" si="68"/>
        <v/>
      </c>
      <c r="X200" s="7" t="str">
        <f t="shared" si="69"/>
        <v/>
      </c>
      <c r="Y200" s="7" t="str">
        <f t="shared" si="70"/>
        <v/>
      </c>
      <c r="Z200" s="7" t="str">
        <f t="shared" si="71"/>
        <v/>
      </c>
      <c r="AA200" s="7" t="str">
        <f t="shared" si="72"/>
        <v/>
      </c>
    </row>
    <row r="201" spans="3:27" x14ac:dyDescent="0.2">
      <c r="C201" s="5"/>
      <c r="P201" s="15" t="str">
        <f t="shared" si="73"/>
        <v/>
      </c>
      <c r="Q201" s="11" t="str">
        <f t="shared" si="74"/>
        <v/>
      </c>
      <c r="R201" s="7" t="str">
        <f t="shared" si="75"/>
        <v/>
      </c>
      <c r="S201" s="7" t="str">
        <f t="shared" si="64"/>
        <v/>
      </c>
      <c r="T201" s="7" t="str">
        <f t="shared" si="65"/>
        <v/>
      </c>
      <c r="U201" s="7" t="str">
        <f t="shared" si="66"/>
        <v/>
      </c>
      <c r="V201" s="7" t="str">
        <f t="shared" si="67"/>
        <v/>
      </c>
      <c r="W201" s="7" t="str">
        <f t="shared" si="68"/>
        <v/>
      </c>
      <c r="X201" s="7" t="str">
        <f t="shared" si="69"/>
        <v/>
      </c>
      <c r="Y201" s="7" t="str">
        <f t="shared" si="70"/>
        <v/>
      </c>
      <c r="Z201" s="7" t="str">
        <f t="shared" si="71"/>
        <v/>
      </c>
      <c r="AA201" s="7" t="str">
        <f t="shared" si="72"/>
        <v/>
      </c>
    </row>
    <row r="202" spans="3:27" x14ac:dyDescent="0.2">
      <c r="C202" s="5"/>
      <c r="P202" s="15" t="str">
        <f t="shared" si="73"/>
        <v/>
      </c>
      <c r="Q202" s="11" t="str">
        <f t="shared" si="74"/>
        <v/>
      </c>
      <c r="R202" s="7" t="str">
        <f t="shared" si="75"/>
        <v/>
      </c>
      <c r="S202" s="7" t="str">
        <f t="shared" si="64"/>
        <v/>
      </c>
      <c r="T202" s="7" t="str">
        <f t="shared" si="65"/>
        <v/>
      </c>
      <c r="U202" s="7" t="str">
        <f t="shared" si="66"/>
        <v/>
      </c>
      <c r="V202" s="7" t="str">
        <f t="shared" si="67"/>
        <v/>
      </c>
      <c r="W202" s="7" t="str">
        <f t="shared" si="68"/>
        <v/>
      </c>
      <c r="X202" s="7" t="str">
        <f t="shared" si="69"/>
        <v/>
      </c>
      <c r="Y202" s="7" t="str">
        <f t="shared" si="70"/>
        <v/>
      </c>
      <c r="Z202" s="7" t="str">
        <f t="shared" si="71"/>
        <v/>
      </c>
      <c r="AA202" s="7" t="str">
        <f t="shared" si="72"/>
        <v/>
      </c>
    </row>
    <row r="203" spans="3:27" x14ac:dyDescent="0.2">
      <c r="C203" s="5"/>
      <c r="P203" s="15" t="str">
        <f t="shared" si="73"/>
        <v/>
      </c>
      <c r="Q203" s="11" t="str">
        <f t="shared" si="74"/>
        <v/>
      </c>
      <c r="R203" s="7" t="str">
        <f t="shared" si="75"/>
        <v/>
      </c>
      <c r="S203" s="7" t="str">
        <f t="shared" si="64"/>
        <v/>
      </c>
      <c r="T203" s="7" t="str">
        <f t="shared" si="65"/>
        <v/>
      </c>
      <c r="U203" s="7" t="str">
        <f t="shared" si="66"/>
        <v/>
      </c>
      <c r="V203" s="7" t="str">
        <f t="shared" si="67"/>
        <v/>
      </c>
      <c r="W203" s="7" t="str">
        <f t="shared" si="68"/>
        <v/>
      </c>
      <c r="X203" s="7" t="str">
        <f t="shared" si="69"/>
        <v/>
      </c>
      <c r="Y203" s="7" t="str">
        <f t="shared" si="70"/>
        <v/>
      </c>
      <c r="Z203" s="7" t="str">
        <f t="shared" si="71"/>
        <v/>
      </c>
      <c r="AA203" s="7" t="str">
        <f t="shared" si="72"/>
        <v/>
      </c>
    </row>
    <row r="204" spans="3:27" x14ac:dyDescent="0.2">
      <c r="C204" s="5"/>
      <c r="P204" s="15" t="str">
        <f t="shared" si="73"/>
        <v/>
      </c>
      <c r="Q204" s="11" t="str">
        <f t="shared" si="74"/>
        <v/>
      </c>
      <c r="R204" s="7" t="str">
        <f t="shared" si="75"/>
        <v/>
      </c>
      <c r="S204" s="7" t="str">
        <f t="shared" si="64"/>
        <v/>
      </c>
      <c r="T204" s="7" t="str">
        <f t="shared" si="65"/>
        <v/>
      </c>
      <c r="U204" s="7" t="str">
        <f t="shared" si="66"/>
        <v/>
      </c>
      <c r="V204" s="7" t="str">
        <f t="shared" si="67"/>
        <v/>
      </c>
      <c r="W204" s="7" t="str">
        <f t="shared" si="68"/>
        <v/>
      </c>
      <c r="X204" s="7" t="str">
        <f t="shared" si="69"/>
        <v/>
      </c>
      <c r="Y204" s="7" t="str">
        <f t="shared" si="70"/>
        <v/>
      </c>
      <c r="Z204" s="7" t="str">
        <f t="shared" si="71"/>
        <v/>
      </c>
      <c r="AA204" s="7" t="str">
        <f t="shared" si="72"/>
        <v/>
      </c>
    </row>
    <row r="205" spans="3:27" x14ac:dyDescent="0.2">
      <c r="C205" s="5"/>
      <c r="P205" s="15" t="str">
        <f t="shared" si="73"/>
        <v/>
      </c>
      <c r="Q205" s="11" t="str">
        <f t="shared" si="74"/>
        <v/>
      </c>
      <c r="R205" s="7" t="str">
        <f t="shared" si="75"/>
        <v/>
      </c>
      <c r="S205" s="7" t="str">
        <f t="shared" si="64"/>
        <v/>
      </c>
      <c r="T205" s="7" t="str">
        <f t="shared" si="65"/>
        <v/>
      </c>
      <c r="U205" s="7" t="str">
        <f t="shared" si="66"/>
        <v/>
      </c>
      <c r="V205" s="7" t="str">
        <f t="shared" si="67"/>
        <v/>
      </c>
      <c r="W205" s="7" t="str">
        <f t="shared" si="68"/>
        <v/>
      </c>
      <c r="X205" s="7" t="str">
        <f t="shared" si="69"/>
        <v/>
      </c>
      <c r="Y205" s="7" t="str">
        <f t="shared" si="70"/>
        <v/>
      </c>
      <c r="Z205" s="7" t="str">
        <f t="shared" si="71"/>
        <v/>
      </c>
      <c r="AA205" s="7" t="str">
        <f t="shared" si="72"/>
        <v/>
      </c>
    </row>
    <row r="206" spans="3:27" x14ac:dyDescent="0.2">
      <c r="C206" s="5"/>
      <c r="P206" s="15" t="str">
        <f t="shared" si="73"/>
        <v/>
      </c>
      <c r="Q206" s="11" t="str">
        <f t="shared" si="74"/>
        <v/>
      </c>
      <c r="R206" s="7" t="str">
        <f t="shared" si="75"/>
        <v/>
      </c>
      <c r="S206" s="7" t="str">
        <f t="shared" si="64"/>
        <v/>
      </c>
      <c r="T206" s="7" t="str">
        <f t="shared" si="65"/>
        <v/>
      </c>
      <c r="U206" s="7" t="str">
        <f t="shared" si="66"/>
        <v/>
      </c>
      <c r="V206" s="7" t="str">
        <f t="shared" si="67"/>
        <v/>
      </c>
      <c r="W206" s="7" t="str">
        <f t="shared" si="68"/>
        <v/>
      </c>
      <c r="X206" s="7" t="str">
        <f t="shared" si="69"/>
        <v/>
      </c>
      <c r="Y206" s="7" t="str">
        <f t="shared" si="70"/>
        <v/>
      </c>
      <c r="Z206" s="7" t="str">
        <f t="shared" si="71"/>
        <v/>
      </c>
      <c r="AA206" s="7" t="str">
        <f t="shared" si="72"/>
        <v/>
      </c>
    </row>
    <row r="207" spans="3:27" x14ac:dyDescent="0.2">
      <c r="C207" s="5"/>
      <c r="P207" s="15" t="str">
        <f t="shared" si="73"/>
        <v/>
      </c>
      <c r="Q207" s="11" t="str">
        <f t="shared" si="74"/>
        <v/>
      </c>
      <c r="R207" s="7" t="str">
        <f t="shared" si="75"/>
        <v/>
      </c>
      <c r="S207" s="7" t="str">
        <f t="shared" si="64"/>
        <v/>
      </c>
      <c r="T207" s="7" t="str">
        <f t="shared" si="65"/>
        <v/>
      </c>
      <c r="U207" s="7" t="str">
        <f t="shared" si="66"/>
        <v/>
      </c>
      <c r="V207" s="7" t="str">
        <f t="shared" si="67"/>
        <v/>
      </c>
      <c r="W207" s="7" t="str">
        <f t="shared" si="68"/>
        <v/>
      </c>
      <c r="X207" s="7" t="str">
        <f t="shared" si="69"/>
        <v/>
      </c>
      <c r="Y207" s="7" t="str">
        <f t="shared" si="70"/>
        <v/>
      </c>
      <c r="Z207" s="7" t="str">
        <f t="shared" si="71"/>
        <v/>
      </c>
      <c r="AA207" s="7" t="str">
        <f t="shared" si="72"/>
        <v/>
      </c>
    </row>
    <row r="208" spans="3:27" x14ac:dyDescent="0.2">
      <c r="C208" s="5"/>
      <c r="P208" s="15" t="str">
        <f t="shared" si="73"/>
        <v/>
      </c>
      <c r="Q208" s="11" t="str">
        <f t="shared" si="74"/>
        <v/>
      </c>
      <c r="R208" s="7" t="str">
        <f t="shared" si="75"/>
        <v/>
      </c>
      <c r="S208" s="7" t="str">
        <f t="shared" si="64"/>
        <v/>
      </c>
      <c r="T208" s="7" t="str">
        <f t="shared" si="65"/>
        <v/>
      </c>
      <c r="U208" s="7" t="str">
        <f t="shared" si="66"/>
        <v/>
      </c>
      <c r="V208" s="7" t="str">
        <f t="shared" si="67"/>
        <v/>
      </c>
      <c r="W208" s="7" t="str">
        <f t="shared" si="68"/>
        <v/>
      </c>
      <c r="X208" s="7" t="str">
        <f t="shared" si="69"/>
        <v/>
      </c>
      <c r="Y208" s="7" t="str">
        <f t="shared" si="70"/>
        <v/>
      </c>
      <c r="Z208" s="7" t="str">
        <f t="shared" si="71"/>
        <v/>
      </c>
      <c r="AA208" s="7" t="str">
        <f t="shared" si="72"/>
        <v/>
      </c>
    </row>
    <row r="209" spans="3:27" x14ac:dyDescent="0.2">
      <c r="C209" s="5"/>
      <c r="P209" s="15" t="str">
        <f t="shared" si="73"/>
        <v/>
      </c>
      <c r="Q209" s="11" t="str">
        <f t="shared" si="74"/>
        <v/>
      </c>
      <c r="R209" s="7" t="str">
        <f t="shared" si="75"/>
        <v/>
      </c>
      <c r="S209" s="7" t="str">
        <f t="shared" si="64"/>
        <v/>
      </c>
      <c r="T209" s="7" t="str">
        <f t="shared" si="65"/>
        <v/>
      </c>
      <c r="U209" s="7" t="str">
        <f t="shared" si="66"/>
        <v/>
      </c>
      <c r="V209" s="7" t="str">
        <f t="shared" si="67"/>
        <v/>
      </c>
      <c r="W209" s="7" t="str">
        <f t="shared" si="68"/>
        <v/>
      </c>
      <c r="X209" s="7" t="str">
        <f t="shared" si="69"/>
        <v/>
      </c>
      <c r="Y209" s="7" t="str">
        <f t="shared" si="70"/>
        <v/>
      </c>
      <c r="Z209" s="7" t="str">
        <f t="shared" si="71"/>
        <v/>
      </c>
      <c r="AA209" s="7" t="str">
        <f t="shared" si="72"/>
        <v/>
      </c>
    </row>
    <row r="210" spans="3:27" x14ac:dyDescent="0.2">
      <c r="C210" s="5"/>
      <c r="P210" s="15" t="str">
        <f t="shared" si="73"/>
        <v/>
      </c>
      <c r="Q210" s="11" t="str">
        <f t="shared" si="74"/>
        <v/>
      </c>
      <c r="R210" s="7" t="str">
        <f t="shared" si="75"/>
        <v/>
      </c>
      <c r="S210" s="7" t="str">
        <f t="shared" si="64"/>
        <v/>
      </c>
      <c r="T210" s="7" t="str">
        <f t="shared" si="65"/>
        <v/>
      </c>
      <c r="U210" s="7" t="str">
        <f t="shared" si="66"/>
        <v/>
      </c>
      <c r="V210" s="7" t="str">
        <f t="shared" si="67"/>
        <v/>
      </c>
      <c r="W210" s="7" t="str">
        <f t="shared" si="68"/>
        <v/>
      </c>
      <c r="X210" s="7" t="str">
        <f t="shared" si="69"/>
        <v/>
      </c>
      <c r="Y210" s="7" t="str">
        <f t="shared" si="70"/>
        <v/>
      </c>
      <c r="Z210" s="7" t="str">
        <f t="shared" si="71"/>
        <v/>
      </c>
      <c r="AA210" s="7" t="str">
        <f t="shared" si="72"/>
        <v/>
      </c>
    </row>
    <row r="211" spans="3:27" x14ac:dyDescent="0.2">
      <c r="C211" s="5"/>
      <c r="P211" s="15" t="str">
        <f t="shared" si="73"/>
        <v/>
      </c>
      <c r="Q211" s="11" t="str">
        <f t="shared" si="74"/>
        <v/>
      </c>
      <c r="R211" s="7" t="str">
        <f t="shared" si="75"/>
        <v/>
      </c>
      <c r="S211" s="7" t="str">
        <f t="shared" si="64"/>
        <v/>
      </c>
      <c r="T211" s="7" t="str">
        <f t="shared" si="65"/>
        <v/>
      </c>
      <c r="U211" s="7" t="str">
        <f t="shared" si="66"/>
        <v/>
      </c>
      <c r="V211" s="7" t="str">
        <f t="shared" si="67"/>
        <v/>
      </c>
      <c r="W211" s="7" t="str">
        <f t="shared" si="68"/>
        <v/>
      </c>
      <c r="X211" s="7" t="str">
        <f t="shared" si="69"/>
        <v/>
      </c>
      <c r="Y211" s="7" t="str">
        <f t="shared" si="70"/>
        <v/>
      </c>
      <c r="Z211" s="7" t="str">
        <f t="shared" si="71"/>
        <v/>
      </c>
      <c r="AA211" s="7" t="str">
        <f t="shared" si="72"/>
        <v/>
      </c>
    </row>
    <row r="212" spans="3:27" x14ac:dyDescent="0.2">
      <c r="C212" s="5"/>
      <c r="P212" s="15" t="str">
        <f t="shared" si="73"/>
        <v/>
      </c>
      <c r="Q212" s="11" t="str">
        <f t="shared" si="74"/>
        <v/>
      </c>
      <c r="R212" s="7" t="str">
        <f t="shared" si="75"/>
        <v/>
      </c>
      <c r="S212" s="7" t="str">
        <f t="shared" si="64"/>
        <v/>
      </c>
      <c r="T212" s="7" t="str">
        <f t="shared" si="65"/>
        <v/>
      </c>
      <c r="U212" s="7" t="str">
        <f t="shared" si="66"/>
        <v/>
      </c>
      <c r="V212" s="7" t="str">
        <f t="shared" si="67"/>
        <v/>
      </c>
      <c r="W212" s="7" t="str">
        <f t="shared" si="68"/>
        <v/>
      </c>
      <c r="X212" s="7" t="str">
        <f t="shared" si="69"/>
        <v/>
      </c>
      <c r="Y212" s="7" t="str">
        <f t="shared" si="70"/>
        <v/>
      </c>
      <c r="Z212" s="7" t="str">
        <f t="shared" si="71"/>
        <v/>
      </c>
      <c r="AA212" s="7" t="str">
        <f t="shared" si="72"/>
        <v/>
      </c>
    </row>
    <row r="213" spans="3:27" x14ac:dyDescent="0.2">
      <c r="C213" s="5"/>
      <c r="P213" s="15" t="str">
        <f t="shared" si="73"/>
        <v/>
      </c>
      <c r="Q213" s="11" t="str">
        <f t="shared" si="74"/>
        <v/>
      </c>
      <c r="R213" s="7" t="str">
        <f t="shared" si="75"/>
        <v/>
      </c>
      <c r="S213" s="7" t="str">
        <f t="shared" si="64"/>
        <v/>
      </c>
      <c r="T213" s="7" t="str">
        <f t="shared" si="65"/>
        <v/>
      </c>
      <c r="U213" s="7" t="str">
        <f t="shared" si="66"/>
        <v/>
      </c>
      <c r="V213" s="7" t="str">
        <f t="shared" si="67"/>
        <v/>
      </c>
      <c r="W213" s="7" t="str">
        <f t="shared" si="68"/>
        <v/>
      </c>
      <c r="X213" s="7" t="str">
        <f t="shared" si="69"/>
        <v/>
      </c>
      <c r="Y213" s="7" t="str">
        <f t="shared" si="70"/>
        <v/>
      </c>
      <c r="Z213" s="7" t="str">
        <f t="shared" si="71"/>
        <v/>
      </c>
      <c r="AA213" s="7" t="str">
        <f t="shared" si="72"/>
        <v/>
      </c>
    </row>
    <row r="214" spans="3:27" x14ac:dyDescent="0.2">
      <c r="C214" s="5"/>
      <c r="P214" s="15" t="str">
        <f t="shared" si="73"/>
        <v/>
      </c>
      <c r="Q214" s="11" t="str">
        <f t="shared" si="74"/>
        <v/>
      </c>
      <c r="R214" s="7" t="str">
        <f t="shared" si="75"/>
        <v/>
      </c>
      <c r="S214" s="7" t="str">
        <f t="shared" si="64"/>
        <v/>
      </c>
      <c r="T214" s="7" t="str">
        <f t="shared" si="65"/>
        <v/>
      </c>
      <c r="U214" s="7" t="str">
        <f t="shared" si="66"/>
        <v/>
      </c>
      <c r="V214" s="7" t="str">
        <f t="shared" si="67"/>
        <v/>
      </c>
      <c r="W214" s="7" t="str">
        <f t="shared" si="68"/>
        <v/>
      </c>
      <c r="X214" s="7" t="str">
        <f t="shared" si="69"/>
        <v/>
      </c>
      <c r="Y214" s="7" t="str">
        <f t="shared" si="70"/>
        <v/>
      </c>
      <c r="Z214" s="7" t="str">
        <f t="shared" si="71"/>
        <v/>
      </c>
      <c r="AA214" s="7" t="str">
        <f t="shared" si="72"/>
        <v/>
      </c>
    </row>
    <row r="215" spans="3:27" x14ac:dyDescent="0.2">
      <c r="C215" s="5"/>
      <c r="P215" s="15" t="str">
        <f t="shared" si="73"/>
        <v/>
      </c>
      <c r="Q215" s="11" t="str">
        <f t="shared" si="74"/>
        <v/>
      </c>
      <c r="R215" s="7" t="str">
        <f t="shared" si="75"/>
        <v/>
      </c>
      <c r="S215" s="7" t="str">
        <f t="shared" si="64"/>
        <v/>
      </c>
      <c r="T215" s="7" t="str">
        <f t="shared" si="65"/>
        <v/>
      </c>
      <c r="U215" s="7" t="str">
        <f t="shared" si="66"/>
        <v/>
      </c>
      <c r="V215" s="7" t="str">
        <f t="shared" si="67"/>
        <v/>
      </c>
      <c r="W215" s="7" t="str">
        <f t="shared" si="68"/>
        <v/>
      </c>
      <c r="X215" s="7" t="str">
        <f t="shared" si="69"/>
        <v/>
      </c>
      <c r="Y215" s="7" t="str">
        <f t="shared" si="70"/>
        <v/>
      </c>
      <c r="Z215" s="7" t="str">
        <f t="shared" si="71"/>
        <v/>
      </c>
      <c r="AA215" s="7" t="str">
        <f t="shared" si="72"/>
        <v/>
      </c>
    </row>
    <row r="216" spans="3:27" x14ac:dyDescent="0.2">
      <c r="C216" s="5"/>
      <c r="P216" s="15" t="str">
        <f t="shared" si="73"/>
        <v/>
      </c>
      <c r="Q216" s="11" t="str">
        <f t="shared" si="74"/>
        <v/>
      </c>
      <c r="R216" s="7" t="str">
        <f t="shared" si="75"/>
        <v/>
      </c>
      <c r="S216" s="7" t="str">
        <f t="shared" si="64"/>
        <v/>
      </c>
      <c r="T216" s="7" t="str">
        <f t="shared" si="65"/>
        <v/>
      </c>
      <c r="U216" s="7" t="str">
        <f t="shared" si="66"/>
        <v/>
      </c>
      <c r="V216" s="7" t="str">
        <f t="shared" si="67"/>
        <v/>
      </c>
      <c r="W216" s="7" t="str">
        <f t="shared" si="68"/>
        <v/>
      </c>
      <c r="X216" s="7" t="str">
        <f t="shared" si="69"/>
        <v/>
      </c>
      <c r="Y216" s="7" t="str">
        <f t="shared" si="70"/>
        <v/>
      </c>
      <c r="Z216" s="7" t="str">
        <f t="shared" si="71"/>
        <v/>
      </c>
      <c r="AA216" s="7" t="str">
        <f t="shared" si="72"/>
        <v/>
      </c>
    </row>
    <row r="217" spans="3:27" x14ac:dyDescent="0.2">
      <c r="C217" s="5"/>
      <c r="P217" s="15" t="str">
        <f t="shared" si="73"/>
        <v/>
      </c>
      <c r="Q217" s="11" t="str">
        <f t="shared" si="74"/>
        <v/>
      </c>
      <c r="R217" s="7" t="str">
        <f t="shared" si="75"/>
        <v/>
      </c>
      <c r="S217" s="7" t="str">
        <f t="shared" si="64"/>
        <v/>
      </c>
      <c r="T217" s="7" t="str">
        <f t="shared" si="65"/>
        <v/>
      </c>
      <c r="U217" s="7" t="str">
        <f t="shared" si="66"/>
        <v/>
      </c>
      <c r="V217" s="7" t="str">
        <f t="shared" si="67"/>
        <v/>
      </c>
      <c r="W217" s="7" t="str">
        <f t="shared" si="68"/>
        <v/>
      </c>
      <c r="X217" s="7" t="str">
        <f t="shared" si="69"/>
        <v/>
      </c>
      <c r="Y217" s="7" t="str">
        <f t="shared" si="70"/>
        <v/>
      </c>
      <c r="Z217" s="7" t="str">
        <f t="shared" si="71"/>
        <v/>
      </c>
      <c r="AA217" s="7" t="str">
        <f t="shared" si="72"/>
        <v/>
      </c>
    </row>
    <row r="218" spans="3:27" x14ac:dyDescent="0.2">
      <c r="C218" s="5"/>
      <c r="P218" s="15" t="str">
        <f t="shared" si="73"/>
        <v/>
      </c>
      <c r="Q218" s="11" t="str">
        <f t="shared" si="74"/>
        <v/>
      </c>
      <c r="R218" s="7" t="str">
        <f t="shared" si="75"/>
        <v/>
      </c>
      <c r="S218" s="7" t="str">
        <f t="shared" si="64"/>
        <v/>
      </c>
      <c r="T218" s="7" t="str">
        <f t="shared" si="65"/>
        <v/>
      </c>
      <c r="U218" s="7" t="str">
        <f t="shared" si="66"/>
        <v/>
      </c>
      <c r="V218" s="7" t="str">
        <f t="shared" si="67"/>
        <v/>
      </c>
      <c r="W218" s="7" t="str">
        <f t="shared" si="68"/>
        <v/>
      </c>
      <c r="X218" s="7" t="str">
        <f t="shared" si="69"/>
        <v/>
      </c>
      <c r="Y218" s="7" t="str">
        <f t="shared" si="70"/>
        <v/>
      </c>
      <c r="Z218" s="7" t="str">
        <f t="shared" si="71"/>
        <v/>
      </c>
      <c r="AA218" s="7" t="str">
        <f t="shared" si="72"/>
        <v/>
      </c>
    </row>
    <row r="219" spans="3:27" x14ac:dyDescent="0.2">
      <c r="C219" s="5"/>
      <c r="P219" s="15" t="str">
        <f t="shared" si="73"/>
        <v/>
      </c>
      <c r="Q219" s="11" t="str">
        <f t="shared" si="74"/>
        <v/>
      </c>
      <c r="R219" s="7" t="str">
        <f t="shared" si="75"/>
        <v/>
      </c>
      <c r="S219" s="7" t="str">
        <f t="shared" si="64"/>
        <v/>
      </c>
      <c r="T219" s="7" t="str">
        <f t="shared" si="65"/>
        <v/>
      </c>
      <c r="U219" s="7" t="str">
        <f t="shared" si="66"/>
        <v/>
      </c>
      <c r="V219" s="7" t="str">
        <f t="shared" si="67"/>
        <v/>
      </c>
      <c r="W219" s="7" t="str">
        <f t="shared" si="68"/>
        <v/>
      </c>
      <c r="X219" s="7" t="str">
        <f t="shared" si="69"/>
        <v/>
      </c>
      <c r="Y219" s="7" t="str">
        <f t="shared" si="70"/>
        <v/>
      </c>
      <c r="Z219" s="7" t="str">
        <f t="shared" si="71"/>
        <v/>
      </c>
      <c r="AA219" s="7" t="str">
        <f t="shared" si="72"/>
        <v/>
      </c>
    </row>
    <row r="220" spans="3:27" x14ac:dyDescent="0.2">
      <c r="C220" s="5"/>
      <c r="P220" s="15" t="str">
        <f t="shared" si="73"/>
        <v/>
      </c>
      <c r="Q220" s="11" t="str">
        <f t="shared" si="74"/>
        <v/>
      </c>
      <c r="R220" s="7" t="str">
        <f t="shared" si="75"/>
        <v/>
      </c>
      <c r="S220" s="7" t="str">
        <f t="shared" si="64"/>
        <v/>
      </c>
      <c r="T220" s="7" t="str">
        <f t="shared" si="65"/>
        <v/>
      </c>
      <c r="U220" s="7" t="str">
        <f t="shared" si="66"/>
        <v/>
      </c>
      <c r="V220" s="7" t="str">
        <f t="shared" si="67"/>
        <v/>
      </c>
      <c r="W220" s="7" t="str">
        <f t="shared" si="68"/>
        <v/>
      </c>
      <c r="X220" s="7" t="str">
        <f t="shared" si="69"/>
        <v/>
      </c>
      <c r="Y220" s="7" t="str">
        <f t="shared" si="70"/>
        <v/>
      </c>
      <c r="Z220" s="7" t="str">
        <f t="shared" si="71"/>
        <v/>
      </c>
      <c r="AA220" s="7" t="str">
        <f t="shared" si="72"/>
        <v/>
      </c>
    </row>
    <row r="221" spans="3:27" x14ac:dyDescent="0.2">
      <c r="C221" s="5"/>
      <c r="P221" s="15" t="str">
        <f t="shared" si="73"/>
        <v/>
      </c>
      <c r="Q221" s="11" t="str">
        <f t="shared" si="74"/>
        <v/>
      </c>
      <c r="R221" s="7" t="str">
        <f t="shared" si="75"/>
        <v/>
      </c>
      <c r="S221" s="7" t="str">
        <f t="shared" si="64"/>
        <v/>
      </c>
      <c r="T221" s="7" t="str">
        <f t="shared" si="65"/>
        <v/>
      </c>
      <c r="U221" s="7" t="str">
        <f t="shared" si="66"/>
        <v/>
      </c>
      <c r="V221" s="7" t="str">
        <f t="shared" si="67"/>
        <v/>
      </c>
      <c r="W221" s="7" t="str">
        <f t="shared" si="68"/>
        <v/>
      </c>
      <c r="X221" s="7" t="str">
        <f t="shared" si="69"/>
        <v/>
      </c>
      <c r="Y221" s="7" t="str">
        <f t="shared" si="70"/>
        <v/>
      </c>
      <c r="Z221" s="7" t="str">
        <f t="shared" si="71"/>
        <v/>
      </c>
      <c r="AA221" s="7" t="str">
        <f t="shared" si="72"/>
        <v/>
      </c>
    </row>
    <row r="222" spans="3:27" x14ac:dyDescent="0.2">
      <c r="C222" s="5"/>
      <c r="P222" s="15" t="str">
        <f t="shared" si="73"/>
        <v/>
      </c>
      <c r="Q222" s="11" t="str">
        <f t="shared" si="74"/>
        <v/>
      </c>
      <c r="R222" s="7" t="str">
        <f t="shared" si="75"/>
        <v/>
      </c>
      <c r="S222" s="7" t="str">
        <f t="shared" si="64"/>
        <v/>
      </c>
      <c r="T222" s="7" t="str">
        <f t="shared" si="65"/>
        <v/>
      </c>
      <c r="U222" s="7" t="str">
        <f t="shared" si="66"/>
        <v/>
      </c>
      <c r="V222" s="7" t="str">
        <f t="shared" si="67"/>
        <v/>
      </c>
      <c r="W222" s="7" t="str">
        <f t="shared" si="68"/>
        <v/>
      </c>
      <c r="X222" s="7" t="str">
        <f t="shared" si="69"/>
        <v/>
      </c>
      <c r="Y222" s="7" t="str">
        <f t="shared" si="70"/>
        <v/>
      </c>
      <c r="Z222" s="7" t="str">
        <f t="shared" si="71"/>
        <v/>
      </c>
      <c r="AA222" s="7" t="str">
        <f t="shared" si="72"/>
        <v/>
      </c>
    </row>
    <row r="223" spans="3:27" x14ac:dyDescent="0.2">
      <c r="C223" s="5"/>
      <c r="P223" s="15" t="str">
        <f t="shared" si="73"/>
        <v/>
      </c>
      <c r="Q223" s="11" t="str">
        <f t="shared" si="74"/>
        <v/>
      </c>
      <c r="R223" s="7" t="str">
        <f t="shared" si="75"/>
        <v/>
      </c>
      <c r="S223" s="7" t="str">
        <f t="shared" si="64"/>
        <v/>
      </c>
      <c r="T223" s="7" t="str">
        <f t="shared" si="65"/>
        <v/>
      </c>
      <c r="U223" s="7" t="str">
        <f t="shared" si="66"/>
        <v/>
      </c>
      <c r="V223" s="7" t="str">
        <f t="shared" si="67"/>
        <v/>
      </c>
      <c r="W223" s="7" t="str">
        <f t="shared" si="68"/>
        <v/>
      </c>
      <c r="X223" s="7" t="str">
        <f t="shared" si="69"/>
        <v/>
      </c>
      <c r="Y223" s="7" t="str">
        <f t="shared" si="70"/>
        <v/>
      </c>
      <c r="Z223" s="7" t="str">
        <f t="shared" si="71"/>
        <v/>
      </c>
      <c r="AA223" s="7" t="str">
        <f t="shared" si="72"/>
        <v/>
      </c>
    </row>
    <row r="224" spans="3:27" x14ac:dyDescent="0.2">
      <c r="C224" s="5"/>
      <c r="P224" s="15" t="str">
        <f t="shared" si="73"/>
        <v/>
      </c>
      <c r="Q224" s="11" t="str">
        <f t="shared" si="74"/>
        <v/>
      </c>
      <c r="R224" s="7" t="str">
        <f t="shared" si="75"/>
        <v/>
      </c>
      <c r="S224" s="7" t="str">
        <f t="shared" si="64"/>
        <v/>
      </c>
      <c r="T224" s="7" t="str">
        <f t="shared" si="65"/>
        <v/>
      </c>
      <c r="U224" s="7" t="str">
        <f t="shared" si="66"/>
        <v/>
      </c>
      <c r="V224" s="7" t="str">
        <f t="shared" si="67"/>
        <v/>
      </c>
      <c r="W224" s="7" t="str">
        <f t="shared" si="68"/>
        <v/>
      </c>
      <c r="X224" s="7" t="str">
        <f t="shared" si="69"/>
        <v/>
      </c>
      <c r="Y224" s="7" t="str">
        <f t="shared" si="70"/>
        <v/>
      </c>
      <c r="Z224" s="7" t="str">
        <f t="shared" si="71"/>
        <v/>
      </c>
      <c r="AA224" s="7" t="str">
        <f t="shared" si="72"/>
        <v/>
      </c>
    </row>
    <row r="225" spans="3:27" x14ac:dyDescent="0.2">
      <c r="C225" s="5"/>
      <c r="P225" s="15" t="str">
        <f t="shared" si="73"/>
        <v/>
      </c>
      <c r="Q225" s="11" t="str">
        <f t="shared" si="74"/>
        <v/>
      </c>
      <c r="R225" s="7" t="str">
        <f t="shared" si="75"/>
        <v/>
      </c>
      <c r="S225" s="7" t="str">
        <f t="shared" si="64"/>
        <v/>
      </c>
      <c r="T225" s="7" t="str">
        <f t="shared" si="65"/>
        <v/>
      </c>
      <c r="U225" s="7" t="str">
        <f t="shared" si="66"/>
        <v/>
      </c>
      <c r="V225" s="7" t="str">
        <f t="shared" si="67"/>
        <v/>
      </c>
      <c r="W225" s="7" t="str">
        <f t="shared" si="68"/>
        <v/>
      </c>
      <c r="X225" s="7" t="str">
        <f t="shared" si="69"/>
        <v/>
      </c>
      <c r="Y225" s="7" t="str">
        <f t="shared" si="70"/>
        <v/>
      </c>
      <c r="Z225" s="7" t="str">
        <f t="shared" si="71"/>
        <v/>
      </c>
      <c r="AA225" s="7" t="str">
        <f t="shared" si="72"/>
        <v/>
      </c>
    </row>
    <row r="226" spans="3:27" x14ac:dyDescent="0.2">
      <c r="C226" s="5"/>
      <c r="P226" s="15" t="str">
        <f t="shared" si="73"/>
        <v/>
      </c>
      <c r="Q226" s="11" t="str">
        <f t="shared" si="74"/>
        <v/>
      </c>
      <c r="R226" s="7" t="str">
        <f t="shared" si="75"/>
        <v/>
      </c>
      <c r="S226" s="7" t="str">
        <f t="shared" si="64"/>
        <v/>
      </c>
      <c r="T226" s="7" t="str">
        <f t="shared" si="65"/>
        <v/>
      </c>
      <c r="U226" s="7" t="str">
        <f t="shared" si="66"/>
        <v/>
      </c>
      <c r="V226" s="7" t="str">
        <f t="shared" si="67"/>
        <v/>
      </c>
      <c r="W226" s="7" t="str">
        <f t="shared" si="68"/>
        <v/>
      </c>
      <c r="X226" s="7" t="str">
        <f t="shared" si="69"/>
        <v/>
      </c>
      <c r="Y226" s="7" t="str">
        <f t="shared" si="70"/>
        <v/>
      </c>
      <c r="Z226" s="7" t="str">
        <f t="shared" si="71"/>
        <v/>
      </c>
      <c r="AA226" s="7" t="str">
        <f t="shared" si="72"/>
        <v/>
      </c>
    </row>
    <row r="227" spans="3:27" x14ac:dyDescent="0.2">
      <c r="C227" s="5"/>
      <c r="P227" s="15" t="str">
        <f t="shared" si="73"/>
        <v/>
      </c>
      <c r="Q227" s="11" t="str">
        <f t="shared" si="74"/>
        <v/>
      </c>
      <c r="R227" s="7" t="str">
        <f t="shared" si="75"/>
        <v/>
      </c>
      <c r="S227" s="7" t="str">
        <f t="shared" si="64"/>
        <v/>
      </c>
      <c r="T227" s="7" t="str">
        <f t="shared" si="65"/>
        <v/>
      </c>
      <c r="U227" s="7" t="str">
        <f t="shared" si="66"/>
        <v/>
      </c>
      <c r="V227" s="7" t="str">
        <f t="shared" si="67"/>
        <v/>
      </c>
      <c r="W227" s="7" t="str">
        <f t="shared" si="68"/>
        <v/>
      </c>
      <c r="X227" s="7" t="str">
        <f t="shared" si="69"/>
        <v/>
      </c>
      <c r="Y227" s="7" t="str">
        <f t="shared" si="70"/>
        <v/>
      </c>
      <c r="Z227" s="7" t="str">
        <f t="shared" si="71"/>
        <v/>
      </c>
      <c r="AA227" s="7" t="str">
        <f t="shared" si="72"/>
        <v/>
      </c>
    </row>
    <row r="228" spans="3:27" x14ac:dyDescent="0.2">
      <c r="C228" s="5"/>
      <c r="P228" s="15" t="str">
        <f t="shared" si="73"/>
        <v/>
      </c>
      <c r="Q228" s="11" t="str">
        <f t="shared" si="74"/>
        <v/>
      </c>
      <c r="R228" s="7" t="str">
        <f t="shared" si="75"/>
        <v/>
      </c>
      <c r="S228" s="7" t="str">
        <f t="shared" si="64"/>
        <v/>
      </c>
      <c r="T228" s="7" t="str">
        <f t="shared" si="65"/>
        <v/>
      </c>
      <c r="U228" s="7" t="str">
        <f t="shared" si="66"/>
        <v/>
      </c>
      <c r="V228" s="7" t="str">
        <f t="shared" si="67"/>
        <v/>
      </c>
      <c r="W228" s="7" t="str">
        <f t="shared" si="68"/>
        <v/>
      </c>
      <c r="X228" s="7" t="str">
        <f t="shared" si="69"/>
        <v/>
      </c>
      <c r="Y228" s="7" t="str">
        <f t="shared" si="70"/>
        <v/>
      </c>
      <c r="Z228" s="7" t="str">
        <f t="shared" si="71"/>
        <v/>
      </c>
      <c r="AA228" s="7" t="str">
        <f t="shared" si="72"/>
        <v/>
      </c>
    </row>
    <row r="229" spans="3:27" x14ac:dyDescent="0.2">
      <c r="C229" s="5"/>
      <c r="P229" s="15" t="str">
        <f t="shared" si="73"/>
        <v/>
      </c>
      <c r="Q229" s="11" t="str">
        <f t="shared" si="74"/>
        <v/>
      </c>
      <c r="R229" s="7" t="str">
        <f t="shared" si="75"/>
        <v/>
      </c>
      <c r="S229" s="7" t="str">
        <f t="shared" si="64"/>
        <v/>
      </c>
      <c r="T229" s="7" t="str">
        <f t="shared" si="65"/>
        <v/>
      </c>
      <c r="U229" s="7" t="str">
        <f t="shared" si="66"/>
        <v/>
      </c>
      <c r="V229" s="7" t="str">
        <f t="shared" si="67"/>
        <v/>
      </c>
      <c r="W229" s="7" t="str">
        <f t="shared" si="68"/>
        <v/>
      </c>
      <c r="X229" s="7" t="str">
        <f t="shared" si="69"/>
        <v/>
      </c>
      <c r="Y229" s="7" t="str">
        <f t="shared" si="70"/>
        <v/>
      </c>
      <c r="Z229" s="7" t="str">
        <f t="shared" si="71"/>
        <v/>
      </c>
      <c r="AA229" s="7" t="str">
        <f t="shared" si="72"/>
        <v/>
      </c>
    </row>
    <row r="230" spans="3:27" x14ac:dyDescent="0.2">
      <c r="C230" s="5"/>
      <c r="P230" s="15" t="str">
        <f t="shared" si="73"/>
        <v/>
      </c>
      <c r="Q230" s="11" t="str">
        <f t="shared" si="74"/>
        <v/>
      </c>
      <c r="R230" s="7" t="str">
        <f t="shared" si="75"/>
        <v/>
      </c>
      <c r="S230" s="7" t="str">
        <f t="shared" si="64"/>
        <v/>
      </c>
      <c r="T230" s="7" t="str">
        <f t="shared" si="65"/>
        <v/>
      </c>
      <c r="U230" s="7" t="str">
        <f t="shared" si="66"/>
        <v/>
      </c>
      <c r="V230" s="7" t="str">
        <f t="shared" si="67"/>
        <v/>
      </c>
      <c r="W230" s="7" t="str">
        <f t="shared" si="68"/>
        <v/>
      </c>
      <c r="X230" s="7" t="str">
        <f t="shared" si="69"/>
        <v/>
      </c>
      <c r="Y230" s="7" t="str">
        <f t="shared" si="70"/>
        <v/>
      </c>
      <c r="Z230" s="7" t="str">
        <f t="shared" si="71"/>
        <v/>
      </c>
      <c r="AA230" s="7" t="str">
        <f t="shared" si="72"/>
        <v/>
      </c>
    </row>
    <row r="231" spans="3:27" x14ac:dyDescent="0.2">
      <c r="C231" s="5"/>
      <c r="P231" s="15" t="str">
        <f t="shared" si="73"/>
        <v/>
      </c>
      <c r="Q231" s="11" t="str">
        <f t="shared" si="74"/>
        <v/>
      </c>
      <c r="R231" s="7" t="str">
        <f t="shared" si="75"/>
        <v/>
      </c>
      <c r="S231" s="7" t="str">
        <f t="shared" si="64"/>
        <v/>
      </c>
      <c r="T231" s="7" t="str">
        <f t="shared" si="65"/>
        <v/>
      </c>
      <c r="U231" s="7" t="str">
        <f t="shared" si="66"/>
        <v/>
      </c>
      <c r="V231" s="7" t="str">
        <f t="shared" si="67"/>
        <v/>
      </c>
      <c r="W231" s="7" t="str">
        <f t="shared" si="68"/>
        <v/>
      </c>
      <c r="X231" s="7" t="str">
        <f t="shared" si="69"/>
        <v/>
      </c>
      <c r="Y231" s="7" t="str">
        <f t="shared" si="70"/>
        <v/>
      </c>
      <c r="Z231" s="7" t="str">
        <f t="shared" si="71"/>
        <v/>
      </c>
      <c r="AA231" s="7" t="str">
        <f t="shared" si="72"/>
        <v/>
      </c>
    </row>
    <row r="232" spans="3:27" x14ac:dyDescent="0.2">
      <c r="C232" s="5"/>
      <c r="P232" s="15" t="str">
        <f t="shared" si="73"/>
        <v/>
      </c>
      <c r="Q232" s="11" t="str">
        <f t="shared" si="74"/>
        <v/>
      </c>
      <c r="R232" s="7" t="str">
        <f t="shared" si="75"/>
        <v/>
      </c>
      <c r="S232" s="7" t="str">
        <f t="shared" si="64"/>
        <v/>
      </c>
      <c r="T232" s="7" t="str">
        <f t="shared" si="65"/>
        <v/>
      </c>
      <c r="U232" s="7" t="str">
        <f t="shared" si="66"/>
        <v/>
      </c>
      <c r="V232" s="7" t="str">
        <f t="shared" si="67"/>
        <v/>
      </c>
      <c r="W232" s="7" t="str">
        <f t="shared" si="68"/>
        <v/>
      </c>
      <c r="X232" s="7" t="str">
        <f t="shared" si="69"/>
        <v/>
      </c>
      <c r="Y232" s="7" t="str">
        <f t="shared" si="70"/>
        <v/>
      </c>
      <c r="Z232" s="7" t="str">
        <f t="shared" si="71"/>
        <v/>
      </c>
      <c r="AA232" s="7" t="str">
        <f t="shared" si="72"/>
        <v/>
      </c>
    </row>
    <row r="233" spans="3:27" x14ac:dyDescent="0.2">
      <c r="C233" s="5"/>
      <c r="P233" s="15" t="str">
        <f t="shared" si="73"/>
        <v/>
      </c>
      <c r="Q233" s="11" t="str">
        <f t="shared" si="74"/>
        <v/>
      </c>
      <c r="R233" s="7" t="str">
        <f t="shared" si="75"/>
        <v/>
      </c>
      <c r="S233" s="7" t="str">
        <f t="shared" si="64"/>
        <v/>
      </c>
      <c r="T233" s="7" t="str">
        <f t="shared" si="65"/>
        <v/>
      </c>
      <c r="U233" s="7" t="str">
        <f t="shared" si="66"/>
        <v/>
      </c>
      <c r="V233" s="7" t="str">
        <f t="shared" si="67"/>
        <v/>
      </c>
      <c r="W233" s="7" t="str">
        <f t="shared" si="68"/>
        <v/>
      </c>
      <c r="X233" s="7" t="str">
        <f t="shared" si="69"/>
        <v/>
      </c>
      <c r="Y233" s="7" t="str">
        <f t="shared" si="70"/>
        <v/>
      </c>
      <c r="Z233" s="7" t="str">
        <f t="shared" si="71"/>
        <v/>
      </c>
      <c r="AA233" s="7" t="str">
        <f t="shared" si="72"/>
        <v/>
      </c>
    </row>
    <row r="234" spans="3:27" x14ac:dyDescent="0.2">
      <c r="C234" s="5"/>
      <c r="P234" s="15" t="str">
        <f t="shared" si="73"/>
        <v/>
      </c>
      <c r="Q234" s="11" t="str">
        <f t="shared" si="74"/>
        <v/>
      </c>
      <c r="R234" s="7" t="str">
        <f t="shared" si="75"/>
        <v/>
      </c>
      <c r="S234" s="7" t="str">
        <f t="shared" si="64"/>
        <v/>
      </c>
      <c r="T234" s="7" t="str">
        <f t="shared" si="65"/>
        <v/>
      </c>
      <c r="U234" s="7" t="str">
        <f t="shared" si="66"/>
        <v/>
      </c>
      <c r="V234" s="7" t="str">
        <f t="shared" si="67"/>
        <v/>
      </c>
      <c r="W234" s="7" t="str">
        <f t="shared" si="68"/>
        <v/>
      </c>
      <c r="X234" s="7" t="str">
        <f t="shared" si="69"/>
        <v/>
      </c>
      <c r="Y234" s="7" t="str">
        <f t="shared" si="70"/>
        <v/>
      </c>
      <c r="Z234" s="7" t="str">
        <f t="shared" si="71"/>
        <v/>
      </c>
      <c r="AA234" s="7" t="str">
        <f t="shared" si="72"/>
        <v/>
      </c>
    </row>
    <row r="235" spans="3:27" x14ac:dyDescent="0.2">
      <c r="C235" s="5"/>
      <c r="P235" s="15" t="str">
        <f t="shared" si="73"/>
        <v/>
      </c>
      <c r="Q235" s="11" t="str">
        <f t="shared" si="74"/>
        <v/>
      </c>
      <c r="R235" s="7" t="str">
        <f t="shared" si="75"/>
        <v/>
      </c>
      <c r="S235" s="7" t="str">
        <f t="shared" si="64"/>
        <v/>
      </c>
      <c r="T235" s="7" t="str">
        <f t="shared" si="65"/>
        <v/>
      </c>
      <c r="U235" s="7" t="str">
        <f t="shared" si="66"/>
        <v/>
      </c>
      <c r="V235" s="7" t="str">
        <f t="shared" si="67"/>
        <v/>
      </c>
      <c r="W235" s="7" t="str">
        <f t="shared" si="68"/>
        <v/>
      </c>
      <c r="X235" s="7" t="str">
        <f t="shared" si="69"/>
        <v/>
      </c>
      <c r="Y235" s="7" t="str">
        <f t="shared" si="70"/>
        <v/>
      </c>
      <c r="Z235" s="7" t="str">
        <f t="shared" si="71"/>
        <v/>
      </c>
      <c r="AA235" s="7" t="str">
        <f t="shared" si="72"/>
        <v/>
      </c>
    </row>
    <row r="236" spans="3:27" x14ac:dyDescent="0.2">
      <c r="C236" s="5"/>
      <c r="P236" s="15" t="str">
        <f t="shared" si="73"/>
        <v/>
      </c>
      <c r="Q236" s="11" t="str">
        <f t="shared" si="74"/>
        <v/>
      </c>
      <c r="R236" s="7" t="str">
        <f t="shared" si="75"/>
        <v/>
      </c>
      <c r="S236" s="7" t="str">
        <f t="shared" si="64"/>
        <v/>
      </c>
      <c r="T236" s="7" t="str">
        <f t="shared" si="65"/>
        <v/>
      </c>
      <c r="U236" s="7" t="str">
        <f t="shared" si="66"/>
        <v/>
      </c>
      <c r="V236" s="7" t="str">
        <f t="shared" si="67"/>
        <v/>
      </c>
      <c r="W236" s="7" t="str">
        <f t="shared" si="68"/>
        <v/>
      </c>
      <c r="X236" s="7" t="str">
        <f t="shared" si="69"/>
        <v/>
      </c>
      <c r="Y236" s="7" t="str">
        <f t="shared" si="70"/>
        <v/>
      </c>
      <c r="Z236" s="7" t="str">
        <f t="shared" si="71"/>
        <v/>
      </c>
      <c r="AA236" s="7" t="str">
        <f t="shared" si="72"/>
        <v/>
      </c>
    </row>
    <row r="237" spans="3:27" x14ac:dyDescent="0.2">
      <c r="C237" s="5"/>
      <c r="P237" s="15" t="str">
        <f t="shared" si="73"/>
        <v/>
      </c>
      <c r="Q237" s="11" t="str">
        <f t="shared" si="74"/>
        <v/>
      </c>
      <c r="R237" s="7" t="str">
        <f t="shared" si="75"/>
        <v/>
      </c>
      <c r="S237" s="7" t="str">
        <f t="shared" si="64"/>
        <v/>
      </c>
      <c r="T237" s="7" t="str">
        <f t="shared" si="65"/>
        <v/>
      </c>
      <c r="U237" s="7" t="str">
        <f t="shared" si="66"/>
        <v/>
      </c>
      <c r="V237" s="7" t="str">
        <f t="shared" si="67"/>
        <v/>
      </c>
      <c r="W237" s="7" t="str">
        <f t="shared" si="68"/>
        <v/>
      </c>
      <c r="X237" s="7" t="str">
        <f t="shared" si="69"/>
        <v/>
      </c>
      <c r="Y237" s="7" t="str">
        <f t="shared" si="70"/>
        <v/>
      </c>
      <c r="Z237" s="7" t="str">
        <f t="shared" si="71"/>
        <v/>
      </c>
      <c r="AA237" s="7" t="str">
        <f t="shared" si="72"/>
        <v/>
      </c>
    </row>
    <row r="238" spans="3:27" x14ac:dyDescent="0.2">
      <c r="C238" s="5"/>
      <c r="P238" s="15" t="str">
        <f t="shared" si="73"/>
        <v/>
      </c>
      <c r="Q238" s="11" t="str">
        <f t="shared" si="74"/>
        <v/>
      </c>
      <c r="R238" s="7" t="str">
        <f t="shared" si="75"/>
        <v/>
      </c>
      <c r="S238" s="7" t="str">
        <f t="shared" si="64"/>
        <v/>
      </c>
      <c r="T238" s="7" t="str">
        <f t="shared" si="65"/>
        <v/>
      </c>
      <c r="U238" s="7" t="str">
        <f t="shared" si="66"/>
        <v/>
      </c>
      <c r="V238" s="7" t="str">
        <f t="shared" si="67"/>
        <v/>
      </c>
      <c r="W238" s="7" t="str">
        <f t="shared" si="68"/>
        <v/>
      </c>
      <c r="X238" s="7" t="str">
        <f t="shared" si="69"/>
        <v/>
      </c>
      <c r="Y238" s="7" t="str">
        <f t="shared" si="70"/>
        <v/>
      </c>
      <c r="Z238" s="7" t="str">
        <f t="shared" si="71"/>
        <v/>
      </c>
      <c r="AA238" s="7" t="str">
        <f t="shared" si="72"/>
        <v/>
      </c>
    </row>
    <row r="239" spans="3:27" x14ac:dyDescent="0.2">
      <c r="C239" s="5"/>
      <c r="P239" s="15" t="str">
        <f t="shared" si="73"/>
        <v/>
      </c>
      <c r="Q239" s="11" t="str">
        <f t="shared" si="74"/>
        <v/>
      </c>
      <c r="R239" s="7" t="str">
        <f t="shared" si="75"/>
        <v/>
      </c>
      <c r="S239" s="7" t="str">
        <f t="shared" si="64"/>
        <v/>
      </c>
      <c r="T239" s="7" t="str">
        <f t="shared" si="65"/>
        <v/>
      </c>
      <c r="U239" s="7" t="str">
        <f t="shared" si="66"/>
        <v/>
      </c>
      <c r="V239" s="7" t="str">
        <f t="shared" si="67"/>
        <v/>
      </c>
      <c r="W239" s="7" t="str">
        <f t="shared" si="68"/>
        <v/>
      </c>
      <c r="X239" s="7" t="str">
        <f t="shared" si="69"/>
        <v/>
      </c>
      <c r="Y239" s="7" t="str">
        <f t="shared" si="70"/>
        <v/>
      </c>
      <c r="Z239" s="7" t="str">
        <f t="shared" si="71"/>
        <v/>
      </c>
      <c r="AA239" s="7" t="str">
        <f t="shared" si="72"/>
        <v/>
      </c>
    </row>
    <row r="240" spans="3:27" x14ac:dyDescent="0.2">
      <c r="C240" s="5"/>
      <c r="P240" s="15" t="str">
        <f t="shared" si="73"/>
        <v/>
      </c>
      <c r="Q240" s="11" t="str">
        <f t="shared" si="74"/>
        <v/>
      </c>
      <c r="R240" s="7" t="str">
        <f t="shared" si="75"/>
        <v/>
      </c>
      <c r="S240" s="7" t="str">
        <f t="shared" si="64"/>
        <v/>
      </c>
      <c r="T240" s="7" t="str">
        <f t="shared" si="65"/>
        <v/>
      </c>
      <c r="U240" s="7" t="str">
        <f t="shared" si="66"/>
        <v/>
      </c>
      <c r="V240" s="7" t="str">
        <f t="shared" si="67"/>
        <v/>
      </c>
      <c r="W240" s="7" t="str">
        <f t="shared" si="68"/>
        <v/>
      </c>
      <c r="X240" s="7" t="str">
        <f t="shared" si="69"/>
        <v/>
      </c>
      <c r="Y240" s="7" t="str">
        <f t="shared" si="70"/>
        <v/>
      </c>
      <c r="Z240" s="7" t="str">
        <f t="shared" si="71"/>
        <v/>
      </c>
      <c r="AA240" s="7" t="str">
        <f t="shared" si="72"/>
        <v/>
      </c>
    </row>
    <row r="241" spans="3:27" x14ac:dyDescent="0.2">
      <c r="C241" s="5"/>
      <c r="P241" s="15" t="str">
        <f t="shared" si="73"/>
        <v/>
      </c>
      <c r="Q241" s="11" t="str">
        <f t="shared" si="74"/>
        <v/>
      </c>
      <c r="R241" s="7" t="str">
        <f t="shared" si="75"/>
        <v/>
      </c>
      <c r="S241" s="7" t="str">
        <f t="shared" si="64"/>
        <v/>
      </c>
      <c r="T241" s="7" t="str">
        <f t="shared" si="65"/>
        <v/>
      </c>
      <c r="U241" s="7" t="str">
        <f t="shared" si="66"/>
        <v/>
      </c>
      <c r="V241" s="7" t="str">
        <f t="shared" si="67"/>
        <v/>
      </c>
      <c r="W241" s="7" t="str">
        <f t="shared" si="68"/>
        <v/>
      </c>
      <c r="X241" s="7" t="str">
        <f t="shared" si="69"/>
        <v/>
      </c>
      <c r="Y241" s="7" t="str">
        <f t="shared" si="70"/>
        <v/>
      </c>
      <c r="Z241" s="7" t="str">
        <f t="shared" si="71"/>
        <v/>
      </c>
      <c r="AA241" s="7" t="str">
        <f t="shared" si="72"/>
        <v/>
      </c>
    </row>
    <row r="242" spans="3:27" x14ac:dyDescent="0.2">
      <c r="C242" s="5"/>
      <c r="P242" s="15" t="str">
        <f t="shared" si="73"/>
        <v/>
      </c>
      <c r="Q242" s="11" t="str">
        <f t="shared" si="74"/>
        <v/>
      </c>
      <c r="R242" s="7" t="str">
        <f t="shared" si="75"/>
        <v/>
      </c>
      <c r="S242" s="7" t="str">
        <f t="shared" si="64"/>
        <v/>
      </c>
      <c r="T242" s="7" t="str">
        <f t="shared" si="65"/>
        <v/>
      </c>
      <c r="U242" s="7" t="str">
        <f t="shared" si="66"/>
        <v/>
      </c>
      <c r="V242" s="7" t="str">
        <f t="shared" si="67"/>
        <v/>
      </c>
      <c r="W242" s="7" t="str">
        <f t="shared" si="68"/>
        <v/>
      </c>
      <c r="X242" s="7" t="str">
        <f t="shared" si="69"/>
        <v/>
      </c>
      <c r="Y242" s="7" t="str">
        <f t="shared" si="70"/>
        <v/>
      </c>
      <c r="Z242" s="7" t="str">
        <f t="shared" si="71"/>
        <v/>
      </c>
      <c r="AA242" s="7" t="str">
        <f t="shared" si="72"/>
        <v/>
      </c>
    </row>
    <row r="243" spans="3:27" x14ac:dyDescent="0.2">
      <c r="Q243" s="11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3:27" x14ac:dyDescent="0.2">
      <c r="Q244" s="11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3:27" x14ac:dyDescent="0.2">
      <c r="Q245" s="11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3:27" x14ac:dyDescent="0.2">
      <c r="Q246" s="11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3:27" x14ac:dyDescent="0.2">
      <c r="Q247" s="11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3:27" x14ac:dyDescent="0.2">
      <c r="Q248" s="11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3:27" x14ac:dyDescent="0.2">
      <c r="Q249" s="11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3:27" x14ac:dyDescent="0.2">
      <c r="Q250" s="11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3:27" x14ac:dyDescent="0.2">
      <c r="Q251" s="11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3:27" x14ac:dyDescent="0.2">
      <c r="Q252" s="11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3:27" x14ac:dyDescent="0.2">
      <c r="Q253" s="11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3:27" x14ac:dyDescent="0.2">
      <c r="Q254" s="11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3:27" x14ac:dyDescent="0.2">
      <c r="Q255" s="11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3:27" x14ac:dyDescent="0.2">
      <c r="Q256" s="11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7:27" x14ac:dyDescent="0.2">
      <c r="Q257" s="11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7:27" x14ac:dyDescent="0.2">
      <c r="Q258" s="11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7:27" x14ac:dyDescent="0.2">
      <c r="Q259" s="11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7:27" x14ac:dyDescent="0.2">
      <c r="Q260" s="11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7:27" x14ac:dyDescent="0.2">
      <c r="Q261" s="11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7:27" x14ac:dyDescent="0.2">
      <c r="Q262" s="11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7:27" x14ac:dyDescent="0.2">
      <c r="Q263" s="11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7:27" x14ac:dyDescent="0.2">
      <c r="Q264" s="11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7:27" x14ac:dyDescent="0.2">
      <c r="Q265" s="11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7:27" x14ac:dyDescent="0.2">
      <c r="Q266" s="11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7:27" x14ac:dyDescent="0.2">
      <c r="Q267" s="11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7:27" x14ac:dyDescent="0.2">
      <c r="Q268" s="11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7:27" x14ac:dyDescent="0.2">
      <c r="Q269" s="11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7:27" x14ac:dyDescent="0.2">
      <c r="Q270" s="11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7:27" x14ac:dyDescent="0.2">
      <c r="Q271" s="11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7:27" x14ac:dyDescent="0.2">
      <c r="Q272" s="11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7:27" x14ac:dyDescent="0.2">
      <c r="Q273" s="11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7:27" x14ac:dyDescent="0.2">
      <c r="Q274" s="11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7:27" x14ac:dyDescent="0.2">
      <c r="Q275" s="11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7:27" x14ac:dyDescent="0.2">
      <c r="Q276" s="11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7:27" x14ac:dyDescent="0.2">
      <c r="Q277" s="11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7:27" x14ac:dyDescent="0.2">
      <c r="Q278" s="11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7:27" x14ac:dyDescent="0.2">
      <c r="Q279" s="11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7:27" x14ac:dyDescent="0.2">
      <c r="Q280" s="11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7:27" x14ac:dyDescent="0.2">
      <c r="Q281" s="11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7:27" x14ac:dyDescent="0.2">
      <c r="Q282" s="11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7:27" x14ac:dyDescent="0.2">
      <c r="Q283" s="11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7:27" x14ac:dyDescent="0.2">
      <c r="Q284" s="11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7:27" x14ac:dyDescent="0.2">
      <c r="Q285" s="11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7:27" x14ac:dyDescent="0.2">
      <c r="Q286" s="11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7:27" x14ac:dyDescent="0.2">
      <c r="Q287" s="11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7:27" x14ac:dyDescent="0.2">
      <c r="Q288" s="11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7:27" x14ac:dyDescent="0.2">
      <c r="Q289" s="11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7:27" x14ac:dyDescent="0.2">
      <c r="Q290" s="11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7:27" x14ac:dyDescent="0.2">
      <c r="Q291" s="11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7:27" x14ac:dyDescent="0.2">
      <c r="Q292" s="11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7:27" x14ac:dyDescent="0.2">
      <c r="Q293" s="11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7:27" x14ac:dyDescent="0.2">
      <c r="Q294" s="11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7:27" x14ac:dyDescent="0.2">
      <c r="Q295" s="11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7:27" x14ac:dyDescent="0.2">
      <c r="Q296" s="11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7:27" x14ac:dyDescent="0.2">
      <c r="Q297" s="11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7:27" x14ac:dyDescent="0.2">
      <c r="Q298" s="11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7:27" x14ac:dyDescent="0.2">
      <c r="Q299" s="11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7:27" x14ac:dyDescent="0.2">
      <c r="Q300" s="11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7:27" x14ac:dyDescent="0.2">
      <c r="Q301" s="11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7:27" x14ac:dyDescent="0.2">
      <c r="Q302" s="11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7:27" x14ac:dyDescent="0.2">
      <c r="Q303" s="11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7:27" x14ac:dyDescent="0.2">
      <c r="Q304" s="11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7:27" x14ac:dyDescent="0.2">
      <c r="Q305" s="11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7:27" x14ac:dyDescent="0.2">
      <c r="Q306" s="11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7:27" x14ac:dyDescent="0.2">
      <c r="Q307" s="11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7:27" x14ac:dyDescent="0.2">
      <c r="Q308" s="11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7:27" x14ac:dyDescent="0.2">
      <c r="Q309" s="11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7:27" x14ac:dyDescent="0.2">
      <c r="Q310" s="11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7:27" x14ac:dyDescent="0.2">
      <c r="Q311" s="11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7:27" x14ac:dyDescent="0.2">
      <c r="Q312" s="11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7:27" x14ac:dyDescent="0.2">
      <c r="Q313" s="11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7:27" x14ac:dyDescent="0.2">
      <c r="Q314" s="11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7:27" x14ac:dyDescent="0.2">
      <c r="Q315" s="11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7:27" x14ac:dyDescent="0.2">
      <c r="Q316" s="11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7:27" x14ac:dyDescent="0.2">
      <c r="Q317" s="11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7:27" x14ac:dyDescent="0.2">
      <c r="Q318" s="11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7:27" x14ac:dyDescent="0.2">
      <c r="Q319" s="11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7:27" x14ac:dyDescent="0.2">
      <c r="Q320" s="11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7:27" x14ac:dyDescent="0.2">
      <c r="Q321" s="11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7:27" x14ac:dyDescent="0.2">
      <c r="Q322" s="11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7:27" x14ac:dyDescent="0.2">
      <c r="Q323" s="11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7:27" x14ac:dyDescent="0.2">
      <c r="Q324" s="11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7:27" x14ac:dyDescent="0.2">
      <c r="Q325" s="11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7:27" x14ac:dyDescent="0.2">
      <c r="Q326" s="11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7:27" x14ac:dyDescent="0.2">
      <c r="Q327" s="11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7:27" x14ac:dyDescent="0.2">
      <c r="Q328" s="11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7:27" x14ac:dyDescent="0.2">
      <c r="Q329" s="11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7:27" x14ac:dyDescent="0.2">
      <c r="Q330" s="11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7:27" x14ac:dyDescent="0.2">
      <c r="Q331" s="11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7:27" x14ac:dyDescent="0.2">
      <c r="Q332" s="11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7:27" x14ac:dyDescent="0.2">
      <c r="Q333" s="11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7:27" x14ac:dyDescent="0.2">
      <c r="Q334" s="11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7:27" x14ac:dyDescent="0.2">
      <c r="Q335" s="11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7:27" x14ac:dyDescent="0.2">
      <c r="Q336" s="11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7:27" x14ac:dyDescent="0.2">
      <c r="Q337" s="11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7:27" x14ac:dyDescent="0.2">
      <c r="Q338" s="11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7:27" x14ac:dyDescent="0.2">
      <c r="Q339" s="11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7:27" x14ac:dyDescent="0.2">
      <c r="Q340" s="11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7:27" x14ac:dyDescent="0.2">
      <c r="Q341" s="11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7:27" x14ac:dyDescent="0.2">
      <c r="Q342" s="11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7:27" x14ac:dyDescent="0.2">
      <c r="Q343" s="11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7:27" x14ac:dyDescent="0.2">
      <c r="Q344" s="11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7:27" x14ac:dyDescent="0.2">
      <c r="Q345" s="11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7:27" x14ac:dyDescent="0.2">
      <c r="Q346" s="11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7:27" x14ac:dyDescent="0.2">
      <c r="Q347" s="11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7:27" x14ac:dyDescent="0.2">
      <c r="Q348" s="11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7:27" x14ac:dyDescent="0.2">
      <c r="Q349" s="11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7:27" x14ac:dyDescent="0.2">
      <c r="Q350" s="11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7:27" x14ac:dyDescent="0.2">
      <c r="Q351" s="11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7:27" x14ac:dyDescent="0.2">
      <c r="Q352" s="11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7:27" x14ac:dyDescent="0.2">
      <c r="Q353" s="11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7:27" x14ac:dyDescent="0.2">
      <c r="Q354" s="11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7:27" x14ac:dyDescent="0.2">
      <c r="Q355" s="11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7:27" x14ac:dyDescent="0.2">
      <c r="Q356" s="11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7:27" x14ac:dyDescent="0.2">
      <c r="Q357" s="11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7:27" x14ac:dyDescent="0.2">
      <c r="Q358" s="11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7:27" x14ac:dyDescent="0.2">
      <c r="Q359" s="11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7:27" x14ac:dyDescent="0.2">
      <c r="Q360" s="11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7:27" x14ac:dyDescent="0.2">
      <c r="Q361" s="11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7:27" x14ac:dyDescent="0.2">
      <c r="Q362" s="11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7:27" x14ac:dyDescent="0.2">
      <c r="Q363" s="11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7:27" x14ac:dyDescent="0.2">
      <c r="Q364" s="11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7:27" x14ac:dyDescent="0.2">
      <c r="Q365" s="11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7:27" x14ac:dyDescent="0.2">
      <c r="Q366" s="11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7:27" x14ac:dyDescent="0.2">
      <c r="Q367" s="11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7:27" x14ac:dyDescent="0.2">
      <c r="Q368" s="11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7:27" x14ac:dyDescent="0.2">
      <c r="Q369" s="11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7:27" x14ac:dyDescent="0.2">
      <c r="Q370" s="11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7:27" x14ac:dyDescent="0.2">
      <c r="Q371" s="11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7:27" x14ac:dyDescent="0.2">
      <c r="Q372" s="11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7:27" x14ac:dyDescent="0.2">
      <c r="Q373" s="11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7:27" x14ac:dyDescent="0.2">
      <c r="Q374" s="11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7:27" x14ac:dyDescent="0.2">
      <c r="Q375" s="11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7:27" x14ac:dyDescent="0.2">
      <c r="Q376" s="11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7:27" x14ac:dyDescent="0.2">
      <c r="Q377" s="11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7:27" x14ac:dyDescent="0.2">
      <c r="Q378" s="11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7:27" x14ac:dyDescent="0.2">
      <c r="Q379" s="11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7:27" x14ac:dyDescent="0.2">
      <c r="Q380" s="11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7:27" x14ac:dyDescent="0.2">
      <c r="Q381" s="11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7:27" x14ac:dyDescent="0.2">
      <c r="Q382" s="11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7:27" x14ac:dyDescent="0.2">
      <c r="Q383" s="11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7:27" x14ac:dyDescent="0.2">
      <c r="Q384" s="11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7:27" x14ac:dyDescent="0.2">
      <c r="Q385" s="11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7:27" x14ac:dyDescent="0.2">
      <c r="Q386" s="11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7:27" x14ac:dyDescent="0.2">
      <c r="Q387" s="11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7:27" x14ac:dyDescent="0.2">
      <c r="Q388" s="11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7:27" x14ac:dyDescent="0.2">
      <c r="Q389" s="11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7:27" x14ac:dyDescent="0.2">
      <c r="Q390" s="11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7:27" x14ac:dyDescent="0.2">
      <c r="Q391" s="11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7:27" x14ac:dyDescent="0.2">
      <c r="Q392" s="11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7:27" x14ac:dyDescent="0.2">
      <c r="Q393" s="11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7:27" x14ac:dyDescent="0.2">
      <c r="Q394" s="11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7:27" x14ac:dyDescent="0.2">
      <c r="Q395" s="11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7:27" x14ac:dyDescent="0.2">
      <c r="Q396" s="11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7:27" x14ac:dyDescent="0.2">
      <c r="Q397" s="11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7:27" x14ac:dyDescent="0.2">
      <c r="Q398" s="11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7:27" x14ac:dyDescent="0.2">
      <c r="Q399" s="11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7:27" x14ac:dyDescent="0.2">
      <c r="Q400" s="11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7:27" x14ac:dyDescent="0.2">
      <c r="Q401" s="11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7:27" x14ac:dyDescent="0.2">
      <c r="Q402" s="11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7:27" x14ac:dyDescent="0.2">
      <c r="Q403" s="11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7:27" x14ac:dyDescent="0.2">
      <c r="Q404" s="11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7:27" x14ac:dyDescent="0.2">
      <c r="Q405" s="11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7:27" x14ac:dyDescent="0.2">
      <c r="Q406" s="11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7:27" x14ac:dyDescent="0.2">
      <c r="Q407" s="11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7:27" x14ac:dyDescent="0.2">
      <c r="Q408" s="11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7:27" x14ac:dyDescent="0.2">
      <c r="Q409" s="11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7:27" x14ac:dyDescent="0.2">
      <c r="Q410" s="11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7:27" x14ac:dyDescent="0.2">
      <c r="Q411" s="11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7:27" x14ac:dyDescent="0.2">
      <c r="Q412" s="11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7:27" x14ac:dyDescent="0.2">
      <c r="Q413" s="11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7:27" x14ac:dyDescent="0.2">
      <c r="Q414" s="11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7:27" x14ac:dyDescent="0.2">
      <c r="Q415" s="11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7:27" x14ac:dyDescent="0.2">
      <c r="Q416" s="11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7:27" x14ac:dyDescent="0.2">
      <c r="Q417" s="11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7:27" x14ac:dyDescent="0.2">
      <c r="Q418" s="11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7:27" x14ac:dyDescent="0.2">
      <c r="Q419" s="11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7:27" x14ac:dyDescent="0.2">
      <c r="Q420" s="11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7:27" x14ac:dyDescent="0.2">
      <c r="Q421" s="11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7:27" x14ac:dyDescent="0.2">
      <c r="Q422" s="11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7:27" x14ac:dyDescent="0.2">
      <c r="Q423" s="11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7:27" x14ac:dyDescent="0.2">
      <c r="Q424" s="11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7:27" x14ac:dyDescent="0.2">
      <c r="Q425" s="11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7:27" x14ac:dyDescent="0.2">
      <c r="Q426" s="11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7:27" x14ac:dyDescent="0.2">
      <c r="Q427" s="11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7:27" x14ac:dyDescent="0.2">
      <c r="Q428" s="11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7:27" x14ac:dyDescent="0.2">
      <c r="Q429" s="11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7:27" x14ac:dyDescent="0.2">
      <c r="Q430" s="11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7:27" x14ac:dyDescent="0.2">
      <c r="Q431" s="11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7:27" x14ac:dyDescent="0.2">
      <c r="Q432" s="11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7:27" x14ac:dyDescent="0.2">
      <c r="Q433" s="11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7:27" x14ac:dyDescent="0.2">
      <c r="Q434" s="11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7:27" x14ac:dyDescent="0.2">
      <c r="Q435" s="11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7:27" x14ac:dyDescent="0.2">
      <c r="Q436" s="11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7:27" x14ac:dyDescent="0.2">
      <c r="Q437" s="11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7:27" x14ac:dyDescent="0.2">
      <c r="Q438" s="11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7:27" x14ac:dyDescent="0.2">
      <c r="Q439" s="11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7:27" x14ac:dyDescent="0.2">
      <c r="Q440" s="11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7:27" x14ac:dyDescent="0.2">
      <c r="Q441" s="11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7:27" x14ac:dyDescent="0.2">
      <c r="Q442" s="11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7:27" x14ac:dyDescent="0.2">
      <c r="Q443" s="11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7:27" x14ac:dyDescent="0.2">
      <c r="Q444" s="11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7:27" x14ac:dyDescent="0.2">
      <c r="Q445" s="11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7:27" x14ac:dyDescent="0.2">
      <c r="Q446" s="11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7:27" x14ac:dyDescent="0.2">
      <c r="Q447" s="11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7:27" x14ac:dyDescent="0.2">
      <c r="Q448" s="11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7:27" x14ac:dyDescent="0.2">
      <c r="Q449" s="11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7:27" x14ac:dyDescent="0.2">
      <c r="Q450" s="11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7:27" x14ac:dyDescent="0.2">
      <c r="Q451" s="11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7:27" x14ac:dyDescent="0.2">
      <c r="Q452" s="11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7:27" x14ac:dyDescent="0.2">
      <c r="Q453" s="11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7:27" x14ac:dyDescent="0.2">
      <c r="Q454" s="11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7:27" x14ac:dyDescent="0.2">
      <c r="Q455" s="11"/>
      <c r="R455" s="7"/>
      <c r="S455" s="7"/>
      <c r="T455" s="7"/>
      <c r="U455" s="7"/>
      <c r="V455" s="7"/>
      <c r="W455" s="7"/>
      <c r="X455" s="7"/>
      <c r="Y455" s="7"/>
      <c r="Z455" s="7"/>
      <c r="AA455" s="7"/>
    </row>
  </sheetData>
  <sortState xmlns:xlrd2="http://schemas.microsoft.com/office/spreadsheetml/2017/richdata2" ref="A15:M104">
    <sortCondition ref="D15" customList="Sun,Mon,Tue,Wed,Thu,Fri,Sat"/>
  </sortState>
  <conditionalFormatting sqref="N15:AA32 A33:AA242">
    <cfRule type="expression" dxfId="2" priority="3">
      <formula>ABS($Q15)&gt;$Q$12</formula>
    </cfRule>
  </conditionalFormatting>
  <conditionalFormatting sqref="B13">
    <cfRule type="expression" dxfId="1" priority="2">
      <formula>ABS($Q13)&gt;$Q$12</formula>
    </cfRule>
  </conditionalFormatting>
  <conditionalFormatting sqref="A15:M32">
    <cfRule type="expression" dxfId="0" priority="1">
      <formula>ABS($Q15)&gt;$Q$12</formula>
    </cfRule>
  </conditionalFormatting>
  <dataValidations count="3">
    <dataValidation type="list" allowBlank="1" showInputMessage="1" showErrorMessage="1" sqref="E14:N14" xr:uid="{7A62884D-8EE4-4C5B-9EA6-D10CE83F9C7B}">
      <formula1>pickION</formula1>
    </dataValidation>
    <dataValidation type="list" allowBlank="1" showInputMessage="1" showErrorMessage="1" sqref="E13:N13" xr:uid="{D37C6057-F5CA-497F-9E57-5CA44E2CAC3E}">
      <formula1>pickELEMENT</formula1>
    </dataValidation>
    <dataValidation type="list" allowBlank="1" showInputMessage="1" showErrorMessage="1" sqref="Q12" xr:uid="{16C65514-91D5-4816-933B-1845CBC3ECE7}">
      <formula1>"2%,5%,10%,15%,20%"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E2F0D-7116-4C5E-9441-A5F49AC7DF44}">
  <sheetPr codeName="Sheet1"/>
  <dimension ref="J1:P24"/>
  <sheetViews>
    <sheetView tabSelected="1" workbookViewId="0">
      <selection activeCell="K23" sqref="K23"/>
    </sheetView>
  </sheetViews>
  <sheetFormatPr defaultRowHeight="15" x14ac:dyDescent="0.25"/>
  <cols>
    <col min="10" max="10" width="27.140625" bestFit="1" customWidth="1"/>
    <col min="12" max="12" width="4.28515625" bestFit="1" customWidth="1"/>
    <col min="13" max="13" width="3.7109375" customWidth="1"/>
    <col min="14" max="14" width="19.7109375" bestFit="1" customWidth="1"/>
    <col min="15" max="16" width="14.28515625" customWidth="1"/>
  </cols>
  <sheetData>
    <row r="1" spans="10:16" ht="20.45" customHeight="1" x14ac:dyDescent="0.25">
      <c r="J1" s="24" t="s">
        <v>275</v>
      </c>
      <c r="N1" s="26" t="s">
        <v>97</v>
      </c>
    </row>
    <row r="2" spans="10:16" ht="20.45" customHeight="1" x14ac:dyDescent="0.25"/>
    <row r="4" spans="10:16" ht="15.75" thickBot="1" x14ac:dyDescent="0.3">
      <c r="J4" s="16" t="s">
        <v>29</v>
      </c>
      <c r="K4" s="16" t="s">
        <v>56</v>
      </c>
      <c r="L4" s="16" t="s">
        <v>78</v>
      </c>
    </row>
    <row r="5" spans="10:16" x14ac:dyDescent="0.25">
      <c r="J5" s="36" t="s">
        <v>236</v>
      </c>
      <c r="K5" s="27" t="b">
        <v>1</v>
      </c>
      <c r="L5">
        <v>4</v>
      </c>
    </row>
    <row r="6" spans="10:16" x14ac:dyDescent="0.25">
      <c r="J6" s="42" t="s">
        <v>182</v>
      </c>
      <c r="K6" t="b">
        <v>1</v>
      </c>
      <c r="L6">
        <v>5</v>
      </c>
    </row>
    <row r="7" spans="10:16" x14ac:dyDescent="0.25">
      <c r="J7" s="37" t="s">
        <v>185</v>
      </c>
      <c r="K7" t="b">
        <v>1</v>
      </c>
      <c r="L7">
        <v>5</v>
      </c>
    </row>
    <row r="8" spans="10:16" x14ac:dyDescent="0.25">
      <c r="J8" s="43" t="s">
        <v>257</v>
      </c>
      <c r="K8" t="b">
        <v>1</v>
      </c>
      <c r="L8">
        <v>5</v>
      </c>
    </row>
    <row r="9" spans="10:16" x14ac:dyDescent="0.25">
      <c r="J9" s="44" t="s">
        <v>207</v>
      </c>
      <c r="K9" t="b">
        <v>1</v>
      </c>
      <c r="L9">
        <v>6</v>
      </c>
    </row>
    <row r="10" spans="10:16" x14ac:dyDescent="0.25">
      <c r="J10" s="45" t="s">
        <v>224</v>
      </c>
      <c r="K10" t="b">
        <v>1</v>
      </c>
      <c r="L10">
        <v>6</v>
      </c>
      <c r="N10" s="31"/>
    </row>
    <row r="11" spans="10:16" x14ac:dyDescent="0.25">
      <c r="J11" s="46" t="s">
        <v>250</v>
      </c>
      <c r="K11" t="b">
        <v>1</v>
      </c>
      <c r="L11">
        <v>5</v>
      </c>
      <c r="N11" s="31" t="s">
        <v>98</v>
      </c>
      <c r="O11" s="30" t="s">
        <v>279</v>
      </c>
    </row>
    <row r="12" spans="10:16" x14ac:dyDescent="0.25">
      <c r="J12" s="47"/>
      <c r="L12">
        <v>7</v>
      </c>
      <c r="N12" s="31" t="s">
        <v>108</v>
      </c>
      <c r="O12" s="34">
        <v>1.2</v>
      </c>
    </row>
    <row r="13" spans="10:16" x14ac:dyDescent="0.25">
      <c r="N13" s="31" t="s">
        <v>109</v>
      </c>
      <c r="O13" s="34">
        <v>5.0999999999999996</v>
      </c>
    </row>
    <row r="14" spans="10:16" x14ac:dyDescent="0.25">
      <c r="N14" s="31" t="s">
        <v>149</v>
      </c>
      <c r="O14" s="35">
        <v>0.2</v>
      </c>
    </row>
    <row r="15" spans="10:16" x14ac:dyDescent="0.25">
      <c r="N15" s="48" t="s">
        <v>179</v>
      </c>
      <c r="O15" s="50"/>
      <c r="P15" s="49">
        <f ca="1">MAX(DATA!$R$15:$AA$242)</f>
        <v>14.136685656222772</v>
      </c>
    </row>
    <row r="16" spans="10:16" ht="15.75" thickBot="1" x14ac:dyDescent="0.3">
      <c r="J16" s="23"/>
      <c r="K16" s="23"/>
      <c r="L16" s="23"/>
      <c r="N16" s="48" t="s">
        <v>181</v>
      </c>
      <c r="O16" s="50"/>
    </row>
    <row r="18" spans="14:16" x14ac:dyDescent="0.25">
      <c r="N18" s="31" t="s">
        <v>178</v>
      </c>
    </row>
    <row r="21" spans="14:16" ht="15.75" thickBot="1" x14ac:dyDescent="0.3">
      <c r="N21" s="18" t="s">
        <v>89</v>
      </c>
      <c r="O21" s="1" t="s">
        <v>90</v>
      </c>
      <c r="P21" s="1" t="s">
        <v>91</v>
      </c>
    </row>
    <row r="22" spans="14:16" x14ac:dyDescent="0.25">
      <c r="O22" s="30" t="s">
        <v>93</v>
      </c>
      <c r="P22" s="30" t="s">
        <v>92</v>
      </c>
    </row>
    <row r="23" spans="14:16" x14ac:dyDescent="0.25">
      <c r="O23" s="30" t="s">
        <v>33</v>
      </c>
      <c r="P23" s="30" t="s">
        <v>37</v>
      </c>
    </row>
    <row r="24" spans="14:16" x14ac:dyDescent="0.25">
      <c r="O24" s="30" t="s">
        <v>21</v>
      </c>
      <c r="P24" s="30" t="s">
        <v>94</v>
      </c>
    </row>
  </sheetData>
  <dataValidations count="4">
    <dataValidation type="list" allowBlank="1" showInputMessage="1" showErrorMessage="1" sqref="K13:K16 K5:K11" xr:uid="{49ACB4C1-88C3-4CF3-9725-F2DB307DA72F}">
      <formula1>"TRUE,FALSE"</formula1>
    </dataValidation>
    <dataValidation type="list" allowBlank="1" showInputMessage="1" showErrorMessage="1" sqref="J1" xr:uid="{E4BAD2CF-8DF9-45FE-99E1-F1E315EF8136}">
      <formula1>pickSITE</formula1>
    </dataValidation>
    <dataValidation type="list" allowBlank="1" showInputMessage="1" showErrorMessage="1" sqref="P22:P24" xr:uid="{86A98FF4-F8FE-47A5-9224-803F70F73CCA}">
      <formula1>pickANgrp</formula1>
    </dataValidation>
    <dataValidation type="list" allowBlank="1" showInputMessage="1" showErrorMessage="1" sqref="O22:O24" xr:uid="{D2DEA02A-EA97-4831-B881-8E8E3F5101BD}">
      <formula1>pickCATgrp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7" r:id="rId3" name="cmbSCALE">
          <controlPr defaultSize="0" autoLine="0" listFillRange="pickSCALE" r:id="rId4">
            <anchor moveWithCells="1">
              <from>
                <xdr:col>14</xdr:col>
                <xdr:colOff>38100</xdr:colOff>
                <xdr:row>17</xdr:row>
                <xdr:rowOff>19050</xdr:rowOff>
              </from>
              <to>
                <xdr:col>14</xdr:col>
                <xdr:colOff>933450</xdr:colOff>
                <xdr:row>18</xdr:row>
                <xdr:rowOff>57150</xdr:rowOff>
              </to>
            </anchor>
          </controlPr>
        </control>
      </mc:Choice>
      <mc:Fallback>
        <control shapeId="1037" r:id="rId3" name="cmbSCALE"/>
      </mc:Fallback>
    </mc:AlternateContent>
    <mc:AlternateContent xmlns:mc="http://schemas.openxmlformats.org/markup-compatibility/2006">
      <mc:Choice Requires="x14">
        <control shapeId="1029" r:id="rId5" name="cmdREFRESH">
          <controlPr defaultSize="0" autoLine="0" r:id="rId6">
            <anchor moveWithCells="1">
              <from>
                <xdr:col>9</xdr:col>
                <xdr:colOff>123825</xdr:colOff>
                <xdr:row>1</xdr:row>
                <xdr:rowOff>9525</xdr:rowOff>
              </from>
              <to>
                <xdr:col>9</xdr:col>
                <xdr:colOff>828675</xdr:colOff>
                <xdr:row>2</xdr:row>
                <xdr:rowOff>0</xdr:rowOff>
              </to>
            </anchor>
          </controlPr>
        </control>
      </mc:Choice>
      <mc:Fallback>
        <control shapeId="1029" r:id="rId5" name="cmdREFRESH"/>
      </mc:Fallback>
    </mc:AlternateContent>
    <mc:AlternateContent xmlns:mc="http://schemas.openxmlformats.org/markup-compatibility/2006">
      <mc:Choice Requires="x14">
        <control shapeId="1031" r:id="rId7" name="cmdLABELS">
          <controlPr defaultSize="0" autoLine="0" r:id="rId8">
            <anchor moveWithCells="1">
              <from>
                <xdr:col>10</xdr:col>
                <xdr:colOff>38100</xdr:colOff>
                <xdr:row>1</xdr:row>
                <xdr:rowOff>9525</xdr:rowOff>
              </from>
              <to>
                <xdr:col>11</xdr:col>
                <xdr:colOff>209550</xdr:colOff>
                <xdr:row>1</xdr:row>
                <xdr:rowOff>247650</xdr:rowOff>
              </to>
            </anchor>
          </controlPr>
        </control>
      </mc:Choice>
      <mc:Fallback>
        <control shapeId="1031" r:id="rId7" name="cmdLABELS"/>
      </mc:Fallback>
    </mc:AlternateContent>
    <mc:AlternateContent xmlns:mc="http://schemas.openxmlformats.org/markup-compatibility/2006">
      <mc:Choice Requires="x14">
        <control shapeId="1034" r:id="rId9" name="chkGE">
          <controlPr defaultSize="0" autoLine="0" r:id="rId10">
            <anchor moveWithCells="1">
              <from>
                <xdr:col>13</xdr:col>
                <xdr:colOff>628650</xdr:colOff>
                <xdr:row>18</xdr:row>
                <xdr:rowOff>171450</xdr:rowOff>
              </from>
              <to>
                <xdr:col>15</xdr:col>
                <xdr:colOff>200025</xdr:colOff>
                <xdr:row>20</xdr:row>
                <xdr:rowOff>0</xdr:rowOff>
              </to>
            </anchor>
          </controlPr>
        </control>
      </mc:Choice>
      <mc:Fallback>
        <control shapeId="1034" r:id="rId9" name="chkGE"/>
      </mc:Fallback>
    </mc:AlternateContent>
    <mc:AlternateContent xmlns:mc="http://schemas.openxmlformats.org/markup-compatibility/2006">
      <mc:Choice Requires="x14">
        <control shapeId="1035" r:id="rId11" name="cmdKMZ">
          <controlPr defaultSize="0" autoLine="0" r:id="rId12">
            <anchor moveWithCells="1">
              <from>
                <xdr:col>15</xdr:col>
                <xdr:colOff>47625</xdr:colOff>
                <xdr:row>17</xdr:row>
                <xdr:rowOff>19050</xdr:rowOff>
              </from>
              <to>
                <xdr:col>15</xdr:col>
                <xdr:colOff>838200</xdr:colOff>
                <xdr:row>18</xdr:row>
                <xdr:rowOff>57150</xdr:rowOff>
              </to>
            </anchor>
          </controlPr>
        </control>
      </mc:Choice>
      <mc:Fallback>
        <control shapeId="1035" r:id="rId11" name="cmdKMZ"/>
      </mc:Fallback>
    </mc:AlternateContent>
    <mc:AlternateContent xmlns:mc="http://schemas.openxmlformats.org/markup-compatibility/2006">
      <mc:Choice Requires="x14">
        <control shapeId="1038" r:id="rId13" name="cmdStiffDIAG">
          <controlPr defaultSize="0" autoLine="0" r:id="rId14">
            <anchor moveWithCells="1">
              <from>
                <xdr:col>15</xdr:col>
                <xdr:colOff>47625</xdr:colOff>
                <xdr:row>15</xdr:row>
                <xdr:rowOff>38100</xdr:rowOff>
              </from>
              <to>
                <xdr:col>15</xdr:col>
                <xdr:colOff>838200</xdr:colOff>
                <xdr:row>16</xdr:row>
                <xdr:rowOff>66675</xdr:rowOff>
              </to>
            </anchor>
          </controlPr>
        </control>
      </mc:Choice>
      <mc:Fallback>
        <control shapeId="1038" r:id="rId13" name="cmdStiffDIAG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CONTROL</vt:lpstr>
      <vt:lpstr>DATA</vt:lpstr>
      <vt:lpstr>PIPER</vt:lpstr>
      <vt:lpstr>AnionOffset</vt:lpstr>
      <vt:lpstr>ApexCAT</vt:lpstr>
      <vt:lpstr>dAnionOFF</vt:lpstr>
      <vt:lpstr>dNULL</vt:lpstr>
      <vt:lpstr>LabelOFF</vt:lpstr>
      <vt:lpstr>lCNTsites</vt:lpstr>
      <vt:lpstr>NumberOFF</vt:lpstr>
      <vt:lpstr>pickANgrp</vt:lpstr>
      <vt:lpstr>pickCATgrp</vt:lpstr>
      <vt:lpstr>pickELEMENT</vt:lpstr>
      <vt:lpstr>pickSCALE</vt:lpstr>
      <vt:lpstr>sSITEnow</vt:lpstr>
      <vt:lpstr>sTEXTform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Keith Halford</dc:creator>
  <cp:lastModifiedBy>kjhal</cp:lastModifiedBy>
  <dcterms:created xsi:type="dcterms:W3CDTF">2019-01-23T04:35:46Z</dcterms:created>
  <dcterms:modified xsi:type="dcterms:W3CDTF">2021-05-04T21:57:27Z</dcterms:modified>
</cp:coreProperties>
</file>